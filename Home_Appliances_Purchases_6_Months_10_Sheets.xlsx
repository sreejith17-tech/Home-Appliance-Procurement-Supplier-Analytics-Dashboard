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tables/table8.xml" ContentType="application/vnd.openxmlformats-officedocument.spreadsheetml.table+xml"/>
  <Override PartName="/xl/slicers/slicer3.xml" ContentType="application/vnd.ms-excel.slicer+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Welcome\Documents\Project 5\"/>
    </mc:Choice>
  </mc:AlternateContent>
  <bookViews>
    <workbookView xWindow="0" yWindow="0" windowWidth="23040" windowHeight="9072"/>
  </bookViews>
  <sheets>
    <sheet name="All_Purchases" sheetId="1" r:id="rId1"/>
    <sheet name="Sri Balaji Home Appliances Supp" sheetId="2" r:id="rId2"/>
    <sheet name="ABC Electronics Distributors" sheetId="3" r:id="rId3"/>
    <sheet name="Sheet1" sheetId="11" r:id="rId4"/>
    <sheet name="Prime Appliance Traders" sheetId="4" r:id="rId5"/>
    <sheet name="Global Home Tech" sheetId="5" r:id="rId6"/>
    <sheet name="Elite Electricals" sheetId="6" r:id="rId7"/>
    <sheet name="South India Appliances" sheetId="7" r:id="rId8"/>
    <sheet name="Sheet3" sheetId="13" r:id="rId9"/>
    <sheet name="Smart Living Supplies" sheetId="8" r:id="rId10"/>
    <sheet name="HomeZone Wholesale" sheetId="9" r:id="rId11"/>
    <sheet name="Future Electronics Hub" sheetId="10" r:id="rId12"/>
    <sheet name="Sheet2" sheetId="12" r:id="rId13"/>
  </sheets>
  <definedNames>
    <definedName name="Slicer_Product_Name">#N/A</definedName>
    <definedName name="Slicer_Supplier">#N/A</definedName>
    <definedName name="Slicer_Warehouse">#N/A</definedName>
  </definedNames>
  <calcPr calcId="162913"/>
  <pivotCaches>
    <pivotCache cacheId="0" r:id="rId14"/>
    <pivotCache cacheId="6" r:id="rId15"/>
    <pivotCache cacheId="2"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Lst>
</workbook>
</file>

<file path=xl/calcChain.xml><?xml version="1.0" encoding="utf-8"?>
<calcChain xmlns="http://schemas.openxmlformats.org/spreadsheetml/2006/main">
  <c r="L113" i="13" l="1"/>
  <c r="L112" i="13"/>
  <c r="L111" i="13"/>
  <c r="L110" i="13"/>
  <c r="L109" i="13"/>
  <c r="L108" i="13"/>
  <c r="L107" i="13"/>
  <c r="L106" i="13"/>
  <c r="L105" i="13"/>
  <c r="L104" i="13"/>
  <c r="L103" i="13"/>
  <c r="L102" i="13"/>
  <c r="L101" i="13"/>
  <c r="L100" i="13"/>
  <c r="L99" i="13"/>
  <c r="L98" i="13"/>
  <c r="L97" i="13"/>
  <c r="L96" i="13"/>
  <c r="L95" i="13"/>
  <c r="L94" i="13"/>
  <c r="L93" i="13"/>
  <c r="L92" i="13"/>
  <c r="L91" i="13"/>
  <c r="L90" i="13"/>
  <c r="L89" i="13"/>
  <c r="L88" i="13"/>
  <c r="L87" i="13"/>
  <c r="L86" i="13"/>
  <c r="L85" i="13"/>
  <c r="L84" i="13"/>
  <c r="L83" i="13"/>
  <c r="L82" i="13"/>
  <c r="L81" i="13"/>
  <c r="L80" i="13"/>
  <c r="L79" i="13"/>
  <c r="L78" i="13"/>
  <c r="L77" i="13"/>
  <c r="L76" i="13"/>
  <c r="L75" i="13"/>
  <c r="L74" i="13"/>
  <c r="L73" i="13"/>
  <c r="L72" i="13"/>
  <c r="L71" i="13"/>
  <c r="L70" i="13"/>
  <c r="L69" i="13"/>
  <c r="L68" i="13"/>
  <c r="L67" i="13"/>
  <c r="L66" i="13"/>
  <c r="L65" i="13"/>
  <c r="L64" i="13"/>
  <c r="L63" i="13"/>
  <c r="L62" i="13"/>
  <c r="L61" i="13"/>
  <c r="L60" i="13"/>
  <c r="L59" i="13"/>
  <c r="L58" i="13"/>
  <c r="L57" i="13"/>
  <c r="L56" i="13"/>
  <c r="L55" i="13"/>
  <c r="L54" i="13"/>
  <c r="L53" i="13"/>
  <c r="L52" i="13"/>
  <c r="L51" i="13"/>
  <c r="L50" i="13"/>
  <c r="L49" i="13"/>
  <c r="L48" i="13"/>
  <c r="L47" i="13"/>
  <c r="L46" i="13"/>
  <c r="L45" i="13"/>
  <c r="L44" i="13"/>
  <c r="L43" i="13"/>
  <c r="L42" i="13"/>
  <c r="L41" i="13"/>
  <c r="L40" i="13"/>
  <c r="L39" i="13"/>
  <c r="L38" i="13"/>
  <c r="L37" i="13"/>
  <c r="L36" i="13"/>
  <c r="L35" i="13"/>
  <c r="L34" i="13"/>
  <c r="L33" i="13"/>
  <c r="L32" i="13"/>
  <c r="L31" i="13"/>
  <c r="L30" i="13"/>
  <c r="L29" i="13"/>
  <c r="L28" i="13"/>
  <c r="L27" i="13"/>
  <c r="L26" i="13"/>
  <c r="L25" i="13"/>
  <c r="L24" i="13"/>
  <c r="L23" i="13"/>
  <c r="L22" i="13"/>
  <c r="L21" i="13"/>
  <c r="L20" i="13"/>
  <c r="L19" i="13"/>
  <c r="L18" i="13"/>
  <c r="L17" i="13"/>
  <c r="L16" i="13"/>
  <c r="L15" i="13"/>
  <c r="L14" i="13"/>
  <c r="L13" i="13"/>
  <c r="L12" i="13"/>
  <c r="L11" i="13"/>
  <c r="L10" i="13"/>
  <c r="L9" i="13"/>
  <c r="L8" i="13"/>
  <c r="L7" i="13"/>
  <c r="L6" i="13"/>
  <c r="L5" i="13"/>
  <c r="L4" i="13"/>
  <c r="L3" i="13"/>
  <c r="L2" i="13"/>
  <c r="L104" i="12"/>
  <c r="L103" i="12"/>
  <c r="L102" i="12"/>
  <c r="L101" i="12"/>
  <c r="L100" i="12"/>
  <c r="L99" i="12"/>
  <c r="L98" i="12"/>
  <c r="L97" i="12"/>
  <c r="L96" i="12"/>
  <c r="L95" i="12"/>
  <c r="L94" i="12"/>
  <c r="L93" i="12"/>
  <c r="L92" i="12"/>
  <c r="L91" i="12"/>
  <c r="L90" i="12"/>
  <c r="L89" i="12"/>
  <c r="L88" i="12"/>
  <c r="L87" i="12"/>
  <c r="L86" i="12"/>
  <c r="L85" i="12"/>
  <c r="L84" i="12"/>
  <c r="L83" i="12"/>
  <c r="L82" i="12"/>
  <c r="L81" i="12"/>
  <c r="L80" i="12"/>
  <c r="L79" i="12"/>
  <c r="L78" i="12"/>
  <c r="L77" i="12"/>
  <c r="L76" i="12"/>
  <c r="L75" i="12"/>
  <c r="L74" i="12"/>
  <c r="L73" i="12"/>
  <c r="L72" i="12"/>
  <c r="L71" i="12"/>
  <c r="L70" i="12"/>
  <c r="L69" i="12"/>
  <c r="L68" i="12"/>
  <c r="L67" i="12"/>
  <c r="L66" i="12"/>
  <c r="L65" i="12"/>
  <c r="L64" i="12"/>
  <c r="L63" i="12"/>
  <c r="L62" i="12"/>
  <c r="L61" i="12"/>
  <c r="L60" i="12"/>
  <c r="L59" i="12"/>
  <c r="L58" i="12"/>
  <c r="L57" i="12"/>
  <c r="L56" i="12"/>
  <c r="L55" i="12"/>
  <c r="L54" i="12"/>
  <c r="L53" i="12"/>
  <c r="L52" i="12"/>
  <c r="L51" i="12"/>
  <c r="L50" i="12"/>
  <c r="L49" i="12"/>
  <c r="L48" i="12"/>
  <c r="L47" i="12"/>
  <c r="L46" i="12"/>
  <c r="L45" i="12"/>
  <c r="L44" i="12"/>
  <c r="L43" i="12"/>
  <c r="L42" i="12"/>
  <c r="L41" i="12"/>
  <c r="L40" i="12"/>
  <c r="L39" i="12"/>
  <c r="L38" i="12"/>
  <c r="L37" i="12"/>
  <c r="L36" i="12"/>
  <c r="L35" i="12"/>
  <c r="L34" i="12"/>
  <c r="L33" i="12"/>
  <c r="L32" i="12"/>
  <c r="L31" i="12"/>
  <c r="L30" i="12"/>
  <c r="L29" i="12"/>
  <c r="L28" i="12"/>
  <c r="L27" i="12"/>
  <c r="L26" i="12"/>
  <c r="L25" i="12"/>
  <c r="L24" i="12"/>
  <c r="L23" i="12"/>
  <c r="L22" i="12"/>
  <c r="L21" i="12"/>
  <c r="L20" i="12"/>
  <c r="L19" i="12"/>
  <c r="L18" i="12"/>
  <c r="L17" i="12"/>
  <c r="L16" i="12"/>
  <c r="L15" i="12"/>
  <c r="L14" i="12"/>
  <c r="L13" i="12"/>
  <c r="L12" i="12"/>
  <c r="L11" i="12"/>
  <c r="L10" i="12"/>
  <c r="L9" i="12"/>
  <c r="L8" i="12"/>
  <c r="L7" i="12"/>
  <c r="L6" i="12"/>
  <c r="L5" i="12"/>
  <c r="L4" i="12"/>
  <c r="L3" i="12"/>
  <c r="L2" i="12"/>
  <c r="L1" i="12"/>
  <c r="L105" i="12"/>
  <c r="L112" i="11"/>
  <c r="L111" i="11"/>
  <c r="L110" i="11"/>
  <c r="L109" i="11"/>
  <c r="L108" i="11"/>
  <c r="L107" i="11"/>
  <c r="L106" i="11"/>
  <c r="L105" i="11"/>
  <c r="L104" i="11"/>
  <c r="L103" i="11"/>
  <c r="L102" i="11"/>
  <c r="L101" i="11"/>
  <c r="L100" i="11"/>
  <c r="L99" i="11"/>
  <c r="L98" i="11"/>
  <c r="L97" i="11"/>
  <c r="L96" i="11"/>
  <c r="L95" i="11"/>
  <c r="L94" i="11"/>
  <c r="L93" i="11"/>
  <c r="L92" i="11"/>
  <c r="L91" i="11"/>
  <c r="L90" i="11"/>
  <c r="L89" i="11"/>
  <c r="L88" i="11"/>
  <c r="L87" i="11"/>
  <c r="L86" i="11"/>
  <c r="L85" i="11"/>
  <c r="L84" i="11"/>
  <c r="L83" i="11"/>
  <c r="L82" i="11"/>
  <c r="L81" i="11"/>
  <c r="L80" i="11"/>
  <c r="L79" i="11"/>
  <c r="L78" i="11"/>
  <c r="L77" i="11"/>
  <c r="L76" i="11"/>
  <c r="L75" i="11"/>
  <c r="L74" i="11"/>
  <c r="L73" i="11"/>
  <c r="L72" i="11"/>
  <c r="L71" i="11"/>
  <c r="L70" i="11"/>
  <c r="L69" i="11"/>
  <c r="L68" i="11"/>
  <c r="L67" i="11"/>
  <c r="L66" i="11"/>
  <c r="L65" i="11"/>
  <c r="L64" i="11"/>
  <c r="L63" i="11"/>
  <c r="L62" i="11"/>
  <c r="L61" i="11"/>
  <c r="L60" i="11"/>
  <c r="L59" i="11"/>
  <c r="L58" i="11"/>
  <c r="L57" i="11"/>
  <c r="L56" i="11"/>
  <c r="L55" i="11"/>
  <c r="L54" i="11"/>
  <c r="L53" i="11"/>
  <c r="L52" i="11"/>
  <c r="L51" i="11"/>
  <c r="L50" i="11"/>
  <c r="L49" i="11"/>
  <c r="L48" i="11"/>
  <c r="L47" i="11"/>
  <c r="L46" i="11"/>
  <c r="L45" i="11"/>
  <c r="L44" i="11"/>
  <c r="L43" i="11"/>
  <c r="L42" i="11"/>
  <c r="L41" i="11"/>
  <c r="L40" i="11"/>
  <c r="L39" i="11"/>
  <c r="L38" i="11"/>
  <c r="L37" i="11"/>
  <c r="L36" i="11"/>
  <c r="L35" i="11"/>
  <c r="L34" i="11"/>
  <c r="L33" i="11"/>
  <c r="L32" i="11"/>
  <c r="L31" i="11"/>
  <c r="L30" i="11"/>
  <c r="L29" i="11"/>
  <c r="L28" i="11"/>
  <c r="L27" i="11"/>
  <c r="L26" i="11"/>
  <c r="L25" i="11"/>
  <c r="L24" i="11"/>
  <c r="L23" i="11"/>
  <c r="L22" i="11"/>
  <c r="L21" i="11"/>
  <c r="L20" i="11"/>
  <c r="L19" i="11"/>
  <c r="L18" i="11"/>
  <c r="L17" i="11"/>
  <c r="L16" i="11"/>
  <c r="L15" i="11"/>
  <c r="L14" i="11"/>
  <c r="L13" i="11"/>
  <c r="L12" i="11"/>
  <c r="L11" i="11"/>
  <c r="L10" i="11"/>
  <c r="L9" i="11"/>
  <c r="L8" i="11"/>
  <c r="L7" i="11"/>
  <c r="L6" i="11"/>
  <c r="L5" i="11"/>
  <c r="L4" i="11"/>
  <c r="L3" i="11"/>
  <c r="L2" i="11"/>
  <c r="L1" i="11"/>
  <c r="L2" i="10"/>
  <c r="L3" i="10"/>
  <c r="L4" i="10"/>
  <c r="L5" i="10"/>
  <c r="L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5" i="10"/>
  <c r="L96" i="10"/>
  <c r="L97" i="10"/>
  <c r="L98" i="10"/>
  <c r="L99" i="10"/>
  <c r="L100" i="10"/>
  <c r="L101" i="10"/>
  <c r="L102" i="10"/>
  <c r="L103" i="10"/>
  <c r="L104" i="10"/>
  <c r="L105" i="10"/>
  <c r="L106" i="10"/>
  <c r="L107" i="10"/>
  <c r="L108" i="10"/>
  <c r="L109" i="10"/>
  <c r="L110" i="10"/>
  <c r="L111" i="10"/>
  <c r="L112" i="10"/>
  <c r="L113" i="10"/>
  <c r="L2"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2"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alcChain>
</file>

<file path=xl/sharedStrings.xml><?xml version="1.0" encoding="utf-8"?>
<sst xmlns="http://schemas.openxmlformats.org/spreadsheetml/2006/main" count="15196" uniqueCount="257">
  <si>
    <t>Purchase_Date</t>
  </si>
  <si>
    <t>Supplier</t>
  </si>
  <si>
    <t>Product_Name</t>
  </si>
  <si>
    <t>Model</t>
  </si>
  <si>
    <t>Qty</t>
  </si>
  <si>
    <t>Unit_Price</t>
  </si>
  <si>
    <t>Discount_%</t>
  </si>
  <si>
    <t>GST_%</t>
  </si>
  <si>
    <t>Total_Amount</t>
  </si>
  <si>
    <t>Warehouse</t>
  </si>
  <si>
    <t>Payment_Mode</t>
  </si>
  <si>
    <t>2025-01-19</t>
  </si>
  <si>
    <t>HomeZone Wholesale</t>
  </si>
  <si>
    <t>Microwave Oven</t>
  </si>
  <si>
    <t>28L</t>
  </si>
  <si>
    <t>Salem</t>
  </si>
  <si>
    <t>RTGS</t>
  </si>
  <si>
    <t>2025-06-06</t>
  </si>
  <si>
    <t>South India Appliances</t>
  </si>
  <si>
    <t>Air Cooler</t>
  </si>
  <si>
    <t>35L</t>
  </si>
  <si>
    <t>Coimbatore</t>
  </si>
  <si>
    <t>2025-04-10</t>
  </si>
  <si>
    <t>Elite Electricals</t>
  </si>
  <si>
    <t>Television</t>
  </si>
  <si>
    <t>43 Smart</t>
  </si>
  <si>
    <t>Credit</t>
  </si>
  <si>
    <t>2025-05-19</t>
  </si>
  <si>
    <t>Future Electronics Hub</t>
  </si>
  <si>
    <t>Ceiling Fan</t>
  </si>
  <si>
    <t>1200mm</t>
  </si>
  <si>
    <t>2025-06-05</t>
  </si>
  <si>
    <t>20L</t>
  </si>
  <si>
    <t>NEFT</t>
  </si>
  <si>
    <t>2025-04-29</t>
  </si>
  <si>
    <t>AC</t>
  </si>
  <si>
    <t>1.5 Ton Inverter</t>
  </si>
  <si>
    <t>Chennai</t>
  </si>
  <si>
    <t>Cheque</t>
  </si>
  <si>
    <t>2025-03-13</t>
  </si>
  <si>
    <t>32 LED</t>
  </si>
  <si>
    <t>2025-04-18</t>
  </si>
  <si>
    <t>Global Home Tech</t>
  </si>
  <si>
    <t>2025-02-28</t>
  </si>
  <si>
    <t>Washing Machine</t>
  </si>
  <si>
    <t>Front Load</t>
  </si>
  <si>
    <t>Madurai</t>
  </si>
  <si>
    <t>2025-05-10</t>
  </si>
  <si>
    <t>Refrigerator</t>
  </si>
  <si>
    <t>190L</t>
  </si>
  <si>
    <t>2025-06-12</t>
  </si>
  <si>
    <t>Top Load</t>
  </si>
  <si>
    <t>2025-04-15</t>
  </si>
  <si>
    <t>Prime Appliance Traders</t>
  </si>
  <si>
    <t>2025-03-22</t>
  </si>
  <si>
    <t>2025-04-08</t>
  </si>
  <si>
    <t>2 Ton</t>
  </si>
  <si>
    <t>2025-05-16</t>
  </si>
  <si>
    <t>ABC Electronics Distributors</t>
  </si>
  <si>
    <t>260L</t>
  </si>
  <si>
    <t>2025-02-15</t>
  </si>
  <si>
    <t>2025-04-19</t>
  </si>
  <si>
    <t>Mixer Grinder</t>
  </si>
  <si>
    <t>750W</t>
  </si>
  <si>
    <t>2025-02-24</t>
  </si>
  <si>
    <t>2025-03-20</t>
  </si>
  <si>
    <t>2025-01-31</t>
  </si>
  <si>
    <t>2025-05-26</t>
  </si>
  <si>
    <t>2025-01-12</t>
  </si>
  <si>
    <t>2025-05-23</t>
  </si>
  <si>
    <t>Smart Living Supplies</t>
  </si>
  <si>
    <t>2025-03-08</t>
  </si>
  <si>
    <t>2025-02-13</t>
  </si>
  <si>
    <t>2025-02-18</t>
  </si>
  <si>
    <t>2025-06-26</t>
  </si>
  <si>
    <t>2025-01-15</t>
  </si>
  <si>
    <t>55 4K</t>
  </si>
  <si>
    <t>1 Ton Split</t>
  </si>
  <si>
    <t>2025-06-22</t>
  </si>
  <si>
    <t>2025-01-21</t>
  </si>
  <si>
    <t>Sri Balaji Home Appliances Supply</t>
  </si>
  <si>
    <t>2025-03-30</t>
  </si>
  <si>
    <t>2025-06-29</t>
  </si>
  <si>
    <t>2025-02-07</t>
  </si>
  <si>
    <t>2025-04-22</t>
  </si>
  <si>
    <t>2025-04-11</t>
  </si>
  <si>
    <t>2025-05-20</t>
  </si>
  <si>
    <t>2025-05-25</t>
  </si>
  <si>
    <t>2025-06-18</t>
  </si>
  <si>
    <t>2025-02-04</t>
  </si>
  <si>
    <t>2025-01-26</t>
  </si>
  <si>
    <t>2025-03-05</t>
  </si>
  <si>
    <t>500W</t>
  </si>
  <si>
    <t>2025-05-11</t>
  </si>
  <si>
    <t>2025-05-01</t>
  </si>
  <si>
    <t>2025-06-04</t>
  </si>
  <si>
    <t>2025-03-27</t>
  </si>
  <si>
    <t>2025-05-12</t>
  </si>
  <si>
    <t>2025-03-07</t>
  </si>
  <si>
    <t>2025-04-01</t>
  </si>
  <si>
    <t>2025-04-07</t>
  </si>
  <si>
    <t>2025-03-03</t>
  </si>
  <si>
    <t>2025-03-21</t>
  </si>
  <si>
    <t>2025-01-10</t>
  </si>
  <si>
    <t>2025-03-14</t>
  </si>
  <si>
    <t>2025-04-30</t>
  </si>
  <si>
    <t>2025-04-23</t>
  </si>
  <si>
    <t>2025-04-03</t>
  </si>
  <si>
    <t>2025-03-26</t>
  </si>
  <si>
    <t>2025-02-17</t>
  </si>
  <si>
    <t>2025-04-16</t>
  </si>
  <si>
    <t>2025-03-10</t>
  </si>
  <si>
    <t>2025-05-21</t>
  </si>
  <si>
    <t>2025-01-03</t>
  </si>
  <si>
    <t>2025-03-19</t>
  </si>
  <si>
    <t>2025-05-08</t>
  </si>
  <si>
    <t>2025-05-03</t>
  </si>
  <si>
    <t>2025-04-26</t>
  </si>
  <si>
    <t>2025-02-12</t>
  </si>
  <si>
    <t>2025-05-14</t>
  </si>
  <si>
    <t>2025-02-06</t>
  </si>
  <si>
    <t>2025-05-02</t>
  </si>
  <si>
    <t>2025-03-04</t>
  </si>
  <si>
    <t>2025-03-11</t>
  </si>
  <si>
    <t>2025-06-01</t>
  </si>
  <si>
    <t>2025-04-14</t>
  </si>
  <si>
    <t>2025-02-11</t>
  </si>
  <si>
    <t>2025-02-03</t>
  </si>
  <si>
    <t>2025-05-06</t>
  </si>
  <si>
    <t>2025-03-12</t>
  </si>
  <si>
    <t>2025-06-21</t>
  </si>
  <si>
    <t>2025-01-22</t>
  </si>
  <si>
    <t>2025-01-11</t>
  </si>
  <si>
    <t>2025-04-20</t>
  </si>
  <si>
    <t>2025-04-17</t>
  </si>
  <si>
    <t>2025-06-27</t>
  </si>
  <si>
    <t>2025-02-10</t>
  </si>
  <si>
    <t>2025-01-01</t>
  </si>
  <si>
    <t>2025-02-22</t>
  </si>
  <si>
    <t>2025-05-07</t>
  </si>
  <si>
    <t>2025-04-28</t>
  </si>
  <si>
    <t>2025-05-13</t>
  </si>
  <si>
    <t>2025-04-04</t>
  </si>
  <si>
    <t>2025-01-13</t>
  </si>
  <si>
    <t>2025-02-01</t>
  </si>
  <si>
    <t>2025-02-25</t>
  </si>
  <si>
    <t>2025-05-24</t>
  </si>
  <si>
    <t>2025-02-02</t>
  </si>
  <si>
    <t>2025-02-21</t>
  </si>
  <si>
    <t>2025-05-04</t>
  </si>
  <si>
    <t>2025-03-17</t>
  </si>
  <si>
    <t>2025-06-02</t>
  </si>
  <si>
    <t>2025-04-21</t>
  </si>
  <si>
    <t>2025-06-16</t>
  </si>
  <si>
    <t>2025-06-19</t>
  </si>
  <si>
    <t>2025-04-06</t>
  </si>
  <si>
    <t>2025-06-08</t>
  </si>
  <si>
    <t>2025-02-08</t>
  </si>
  <si>
    <t>2025-01-25</t>
  </si>
  <si>
    <t>2025-06-28</t>
  </si>
  <si>
    <t>2025-03-09</t>
  </si>
  <si>
    <t>2025-02-27</t>
  </si>
  <si>
    <t>2025-05-15</t>
  </si>
  <si>
    <t>2025-02-14</t>
  </si>
  <si>
    <t>2025-01-27</t>
  </si>
  <si>
    <t>2025-01-29</t>
  </si>
  <si>
    <t>2025-04-02</t>
  </si>
  <si>
    <t>2025-06-15</t>
  </si>
  <si>
    <t>2025-04-13</t>
  </si>
  <si>
    <t>2025-01-24</t>
  </si>
  <si>
    <t>2025-03-31</t>
  </si>
  <si>
    <t>2025-02-26</t>
  </si>
  <si>
    <t>2025-06-23</t>
  </si>
  <si>
    <t>2025-02-09</t>
  </si>
  <si>
    <t>2025-01-09</t>
  </si>
  <si>
    <t>2025-01-20</t>
  </si>
  <si>
    <t>2025-04-25</t>
  </si>
  <si>
    <t>2025-06-07</t>
  </si>
  <si>
    <t>2025-03-28</t>
  </si>
  <si>
    <t>2025-06-24</t>
  </si>
  <si>
    <t>2025-03-01</t>
  </si>
  <si>
    <t>2025-01-05</t>
  </si>
  <si>
    <t>2025-06-30</t>
  </si>
  <si>
    <t>2025-03-15</t>
  </si>
  <si>
    <t>2025-04-12</t>
  </si>
  <si>
    <t>2025-02-16</t>
  </si>
  <si>
    <t>2025-03-16</t>
  </si>
  <si>
    <t>2025-01-06</t>
  </si>
  <si>
    <t>2025-06-09</t>
  </si>
  <si>
    <t>2025-03-25</t>
  </si>
  <si>
    <t>2025-03-02</t>
  </si>
  <si>
    <t>2025-01-16</t>
  </si>
  <si>
    <t>2025-05-27</t>
  </si>
  <si>
    <t>2025-01-17</t>
  </si>
  <si>
    <t>2025-06-25</t>
  </si>
  <si>
    <t>2025-05-05</t>
  </si>
  <si>
    <t>2025-05-28</t>
  </si>
  <si>
    <t>2025-06-20</t>
  </si>
  <si>
    <t>2025-01-04</t>
  </si>
  <si>
    <t>2025-06-17</t>
  </si>
  <si>
    <t>2025-04-05</t>
  </si>
  <si>
    <t>2025-03-06</t>
  </si>
  <si>
    <t>2025-06-11</t>
  </si>
  <si>
    <t>2025-03-24</t>
  </si>
  <si>
    <t>2025-01-07</t>
  </si>
  <si>
    <t>2025-01-23</t>
  </si>
  <si>
    <t>2025-04-27</t>
  </si>
  <si>
    <t>2025-05-29</t>
  </si>
  <si>
    <t>2025-05-18</t>
  </si>
  <si>
    <t>2025-06-14</t>
  </si>
  <si>
    <t>2025-06-10</t>
  </si>
  <si>
    <t>2025-04-09</t>
  </si>
  <si>
    <t>2025-01-28</t>
  </si>
  <si>
    <t>2025-05-31</t>
  </si>
  <si>
    <t>2025-02-20</t>
  </si>
  <si>
    <t>2025-05-22</t>
  </si>
  <si>
    <t>2025-06-13</t>
  </si>
  <si>
    <t>2025-05-30</t>
  </si>
  <si>
    <t>2025-04-24</t>
  </si>
  <si>
    <t>2025-01-18</t>
  </si>
  <si>
    <t>2025-03-29</t>
  </si>
  <si>
    <t>2025-05-09</t>
  </si>
  <si>
    <t>2025-03-18</t>
  </si>
  <si>
    <t>2025-06-03</t>
  </si>
  <si>
    <t>2025-01-02</t>
  </si>
  <si>
    <t>2025-05-17</t>
  </si>
  <si>
    <t>2025-01-14</t>
  </si>
  <si>
    <t>2025-02-19</t>
  </si>
  <si>
    <t>2025-03-23</t>
  </si>
  <si>
    <t>2025-01-30</t>
  </si>
  <si>
    <t>2025-02-05</t>
  </si>
  <si>
    <t>2025-02-23</t>
  </si>
  <si>
    <t>2025-01-08</t>
  </si>
  <si>
    <t>Quantity</t>
  </si>
  <si>
    <t>Row Labels</t>
  </si>
  <si>
    <t>Grand Total</t>
  </si>
  <si>
    <t>Sum of Total_Amount</t>
  </si>
  <si>
    <t>Supplier_Id</t>
  </si>
  <si>
    <t>SUP001</t>
  </si>
  <si>
    <t>SUP002</t>
  </si>
  <si>
    <t>SUP003</t>
  </si>
  <si>
    <t>SUP005</t>
  </si>
  <si>
    <t>SUP006</t>
  </si>
  <si>
    <t>SUP007</t>
  </si>
  <si>
    <t>SUP008</t>
  </si>
  <si>
    <t>SUP004</t>
  </si>
  <si>
    <t>SUP009</t>
  </si>
  <si>
    <t>Expect_delivery_date</t>
  </si>
  <si>
    <t>Recived_date</t>
  </si>
  <si>
    <t>Delay_date</t>
  </si>
  <si>
    <t>Delivery Status</t>
  </si>
  <si>
    <t>Total_Revenue</t>
  </si>
  <si>
    <t>total_Revenue</t>
  </si>
  <si>
    <t>Delayed</t>
  </si>
  <si>
    <t>Delivered</t>
  </si>
  <si>
    <t>On Delivery</t>
  </si>
  <si>
    <t>Sum of Delay_date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</si>
</sst>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 &quot;₹&quot;\ * #,##0.00_ ;_ &quot;₹&quot;\ * \-#,##0.00_ ;_ &quot;₹&quot;\ * &quot;-&quot;??_ ;_ @_ "/>
    <numFmt numFmtId="164" formatCode="dd\-mm\-yyyy"/>
  </numFmts>
  <fonts count="4" x14ac:knownFonts="1">
    <font>
      <sz val="11"/>
      <color theme="1"/>
      <name val="Calibri"/>
      <family val="2"/>
      <scheme val="minor"/>
    </font>
    <font>
      <b/>
      <sz val="12"/>
      <color theme="1"/>
      <name val="Calibri"/>
      <family val="2"/>
      <scheme val="minor"/>
    </font>
    <font>
      <b/>
      <sz val="12"/>
      <color theme="1"/>
      <name val="Calibri"/>
      <scheme val="minor"/>
    </font>
    <font>
      <sz val="11"/>
      <color rgb="FF000000"/>
      <name val="Calibri"/>
      <family val="2"/>
      <scheme val="minor"/>
    </font>
  </fonts>
  <fills count="4">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s>
  <borders count="7">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1">
    <xf numFmtId="0" fontId="0" fillId="0" borderId="0"/>
  </cellStyleXfs>
  <cellXfs count="21">
    <xf numFmtId="0" fontId="0" fillId="0" borderId="0" xfId="0"/>
    <xf numFmtId="0" fontId="1" fillId="0" borderId="0" xfId="0" applyFont="1" applyAlignment="1">
      <alignment vertical="center"/>
    </xf>
    <xf numFmtId="0" fontId="0" fillId="0" borderId="0" xfId="0" pivotButton="1"/>
    <xf numFmtId="0" fontId="0" fillId="0" borderId="0" xfId="0" applyAlignment="1">
      <alignment horizontal="left"/>
    </xf>
    <xf numFmtId="0" fontId="0" fillId="0" borderId="0" xfId="0" applyNumberFormat="1"/>
    <xf numFmtId="0" fontId="2" fillId="0" borderId="0" xfId="0" applyFont="1" applyAlignment="1">
      <alignment vertical="center"/>
    </xf>
    <xf numFmtId="0" fontId="0" fillId="0" borderId="0" xfId="0" applyAlignment="1">
      <alignment horizontal="center" vertical="center"/>
    </xf>
    <xf numFmtId="164" fontId="3" fillId="0" borderId="0" xfId="0" applyNumberFormat="1" applyFont="1"/>
    <xf numFmtId="0" fontId="3" fillId="0" borderId="0" xfId="0" applyFont="1"/>
    <xf numFmtId="49" fontId="1" fillId="0" borderId="0" xfId="0" applyNumberFormat="1" applyFont="1" applyAlignment="1">
      <alignment vertical="center"/>
    </xf>
    <xf numFmtId="0" fontId="0" fillId="2" borderId="1" xfId="0" applyFont="1" applyFill="1" applyBorder="1"/>
    <xf numFmtId="0" fontId="0" fillId="2" borderId="2" xfId="0" applyFont="1" applyFill="1" applyBorder="1"/>
    <xf numFmtId="0" fontId="0" fillId="3" borderId="1" xfId="0" applyFont="1" applyFill="1" applyBorder="1"/>
    <xf numFmtId="0" fontId="0" fillId="3" borderId="2" xfId="0" applyFont="1" applyFill="1" applyBorder="1"/>
    <xf numFmtId="0" fontId="0" fillId="2" borderId="3" xfId="0" applyFont="1" applyFill="1" applyBorder="1"/>
    <xf numFmtId="0" fontId="0" fillId="3" borderId="3" xfId="0" applyFont="1" applyFill="1" applyBorder="1"/>
    <xf numFmtId="0" fontId="0" fillId="3" borderId="4" xfId="0" applyFont="1" applyFill="1" applyBorder="1"/>
    <xf numFmtId="0" fontId="0" fillId="3" borderId="5" xfId="0" applyFont="1" applyFill="1" applyBorder="1"/>
    <xf numFmtId="0" fontId="0" fillId="3" borderId="6" xfId="0" applyFont="1" applyFill="1" applyBorder="1"/>
    <xf numFmtId="44" fontId="0" fillId="0" borderId="0" xfId="0" applyNumberFormat="1"/>
    <xf numFmtId="44" fontId="0" fillId="0" borderId="0" xfId="0" applyNumberFormat="1" applyAlignment="1">
      <alignment vertical="center"/>
    </xf>
  </cellXfs>
  <cellStyles count="1">
    <cellStyle name="Normal" xfId="0" builtinId="0"/>
  </cellStyles>
  <dxfs count="137">
    <dxf>
      <font>
        <color rgb="FF9C0006"/>
      </font>
      <fill>
        <patternFill>
          <bgColor rgb="FFFFC7CE"/>
        </patternFill>
      </fill>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alignment vertical="center" readingOrder="0"/>
    </dxf>
    <dxf>
      <alignment vertical="top" readingOrder="0"/>
    </dxf>
    <dxf>
      <alignment horizontal="center" readingOrder="0"/>
    </dxf>
    <dxf>
      <alignment horizontal="general" readingOrder="0"/>
    </dxf>
    <dxf>
      <alignment horizontal="left" readingOrder="0"/>
    </dxf>
    <dxf>
      <alignment horizontal="general" readingOrder="0"/>
    </dxf>
    <dxf>
      <alignment vertical="center" readingOrder="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alignment vertical="center" readingOrder="0"/>
    </dxf>
    <dxf>
      <alignment vertical="top" readingOrder="0"/>
    </dxf>
    <dxf>
      <alignment horizontal="center" readingOrder="0"/>
    </dxf>
    <dxf>
      <alignment horizontal="general" readingOrder="0"/>
    </dxf>
    <dxf>
      <alignment horizontal="left" readingOrder="0"/>
    </dxf>
    <dxf>
      <alignment horizontal="general" readingOrder="0"/>
    </dxf>
    <dxf>
      <alignment vertical="center" readingOrder="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alignment vertical="center" readingOrder="0"/>
    </dxf>
    <dxf>
      <alignment vertical="top" readingOrder="0"/>
    </dxf>
    <dxf>
      <alignment horizontal="center" readingOrder="0"/>
    </dxf>
    <dxf>
      <alignment horizontal="general" readingOrder="0"/>
    </dxf>
    <dxf>
      <alignment horizontal="left" readingOrder="0"/>
    </dxf>
    <dxf>
      <alignment horizontal="general" readingOrder="0"/>
    </dxf>
    <dxf>
      <alignment vertical="center" readingOrder="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alignment vertical="center" readingOrder="0"/>
    </dxf>
    <dxf>
      <alignment vertical="top" readingOrder="0"/>
    </dxf>
    <dxf>
      <alignment horizontal="center" readingOrder="0"/>
    </dxf>
    <dxf>
      <alignment horizontal="general" readingOrder="0"/>
    </dxf>
    <dxf>
      <alignment horizontal="left" readingOrder="0"/>
    </dxf>
    <dxf>
      <alignment horizontal="general" readingOrder="0"/>
    </dxf>
    <dxf>
      <alignment vertical="center" readingOrder="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alignment vertical="center" readingOrder="0"/>
    </dxf>
    <dxf>
      <alignment vertical="top" readingOrder="0"/>
    </dxf>
    <dxf>
      <alignment horizontal="center" readingOrder="0"/>
    </dxf>
    <dxf>
      <alignment horizontal="general" readingOrder="0"/>
    </dxf>
    <dxf>
      <alignment horizontal="left" readingOrder="0"/>
    </dxf>
    <dxf>
      <alignment horizontal="general" readingOrder="0"/>
    </dxf>
    <dxf>
      <alignment vertical="center" readingOrder="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alignment vertical="center" readingOrder="0"/>
    </dxf>
    <dxf>
      <alignment vertical="top" readingOrder="0"/>
    </dxf>
    <dxf>
      <alignment horizontal="center" readingOrder="0"/>
    </dxf>
    <dxf>
      <alignment horizontal="general" readingOrder="0"/>
    </dxf>
    <dxf>
      <alignment horizontal="left" readingOrder="0"/>
    </dxf>
    <dxf>
      <alignment horizontal="general" readingOrder="0"/>
    </dxf>
    <dxf>
      <alignment vertical="center" readingOrder="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alignment vertical="center" readingOrder="0"/>
    </dxf>
    <dxf>
      <alignment vertical="top" readingOrder="0"/>
    </dxf>
    <dxf>
      <alignment horizontal="center" readingOrder="0"/>
    </dxf>
    <dxf>
      <alignment horizontal="general" readingOrder="0"/>
    </dxf>
    <dxf>
      <alignment horizontal="left" readingOrder="0"/>
    </dxf>
    <dxf>
      <alignment horizontal="general" readingOrder="0"/>
    </dxf>
    <dxf>
      <alignment vertical="center" readingOrder="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alignment vertical="center" readingOrder="0"/>
    </dxf>
    <dxf>
      <alignment vertical="top" readingOrder="0"/>
    </dxf>
    <dxf>
      <alignment horizontal="center" readingOrder="0"/>
    </dxf>
    <dxf>
      <alignment horizontal="general" readingOrder="0"/>
    </dxf>
    <dxf>
      <alignment horizontal="left" readingOrder="0"/>
    </dxf>
    <dxf>
      <alignment horizontal="general" readingOrder="0"/>
    </dxf>
    <dxf>
      <alignment vertical="center" readingOrder="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alignment vertical="center" readingOrder="0"/>
    </dxf>
    <dxf>
      <alignment horizontal="general" readingOrder="0"/>
    </dxf>
    <dxf>
      <alignment horizontal="left" readingOrder="0"/>
    </dxf>
    <dxf>
      <alignment horizontal="general" readingOrder="0"/>
    </dxf>
    <dxf>
      <alignment horizontal="center" readingOrder="0"/>
    </dxf>
    <dxf>
      <alignment vertical="top" readingOrder="0"/>
    </dxf>
    <dxf>
      <alignment vertical="center" readingOrder="0"/>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00"/>
        <name val="Calibri"/>
        <scheme val="minor"/>
      </font>
      <numFmt numFmtId="164" formatCode="dd\-mm\-yyyy"/>
    </dxf>
    <dxf>
      <font>
        <b val="0"/>
        <i val="0"/>
        <strike val="0"/>
        <condense val="0"/>
        <extend val="0"/>
        <outline val="0"/>
        <shadow val="0"/>
        <u val="none"/>
        <vertAlign val="baseline"/>
        <sz val="11"/>
        <color rgb="FF000000"/>
        <name val="Calibri"/>
        <scheme val="minor"/>
      </font>
      <numFmt numFmtId="164" formatCode="dd\-mm\-yyyy"/>
    </dxf>
    <dxf>
      <alignment horizontal="center" vertical="center" textRotation="0" wrapText="0" indent="0" justifyLastLine="0" shrinkToFit="0" readingOrder="0"/>
    </dxf>
    <dxf>
      <font>
        <b/>
        <strike val="0"/>
        <outline val="0"/>
        <shadow val="0"/>
        <u val="none"/>
        <vertAlign val="baseline"/>
        <sz val="12"/>
        <color theme="1"/>
        <name val="Calibri"/>
        <scheme val="minor"/>
      </font>
      <alignment horizontal="general"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[Home_Appliances_Purchases_6_Months_10_Sheets.xlsx]All_Purchases!PivotTable4</c:name>
    <c:fmtId val="0"/>
  </c:pivotSource>
  <c:chart>
    <c:title>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All_Purchases!$S$3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All_Purchases!$R$4:$R$12</c:f>
              <c:strCache>
                <c:ptCount val="8"/>
                <c:pt idx="0">
                  <c:v>AC</c:v>
                </c:pt>
                <c:pt idx="1">
                  <c:v>Air Cooler</c:v>
                </c:pt>
                <c:pt idx="2">
                  <c:v>Ceiling Fan</c:v>
                </c:pt>
                <c:pt idx="3">
                  <c:v>Microwave Oven</c:v>
                </c:pt>
                <c:pt idx="4">
                  <c:v>Mixer Grinder</c:v>
                </c:pt>
                <c:pt idx="5">
                  <c:v>Refrigerator</c:v>
                </c:pt>
                <c:pt idx="6">
                  <c:v>Television</c:v>
                </c:pt>
                <c:pt idx="7">
                  <c:v>Washing Machine</c:v>
                </c:pt>
              </c:strCache>
            </c:strRef>
          </c:cat>
          <c:val>
            <c:numRef>
              <c:f>All_Purchases!$S$4:$S$12</c:f>
              <c:numCache>
                <c:formatCode>General</c:formatCode>
                <c:ptCount val="8"/>
                <c:pt idx="0">
                  <c:v>180819060.18999988</c:v>
                </c:pt>
                <c:pt idx="1">
                  <c:v>59353268.379999995</c:v>
                </c:pt>
                <c:pt idx="2">
                  <c:v>60651622.280000001</c:v>
                </c:pt>
                <c:pt idx="3">
                  <c:v>139332585.73000002</c:v>
                </c:pt>
                <c:pt idx="4">
                  <c:v>114140807.09000006</c:v>
                </c:pt>
                <c:pt idx="5">
                  <c:v>130348991.97999999</c:v>
                </c:pt>
                <c:pt idx="6">
                  <c:v>211437458.87</c:v>
                </c:pt>
                <c:pt idx="7">
                  <c:v>119691834.81000006</c:v>
                </c:pt>
              </c:numCache>
            </c:numRef>
          </c:val>
          <c:extLst>
            <c:ext xmlns:c16="http://schemas.microsoft.com/office/drawing/2014/chart" uri="{C3380CC4-5D6E-409C-BE32-E72D297353CC}">
              <c16:uniqueId val="{00000000-02D4-417F-91BC-3529CF001B32}"/>
            </c:ext>
          </c:extLst>
        </c:ser>
        <c:dLbls>
          <c:showLegendKey val="0"/>
          <c:showVal val="1"/>
          <c:showCatName val="0"/>
          <c:showSerName val="0"/>
          <c:showPercent val="0"/>
          <c:showBubbleSize val="0"/>
        </c:dLbls>
        <c:gapWidth val="84"/>
        <c:gapDepth val="53"/>
        <c:shape val="box"/>
        <c:axId val="1833483791"/>
        <c:axId val="1833486703"/>
        <c:axId val="0"/>
      </c:bar3DChart>
      <c:catAx>
        <c:axId val="1833483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3486703"/>
        <c:crosses val="autoZero"/>
        <c:auto val="1"/>
        <c:lblAlgn val="ctr"/>
        <c:lblOffset val="100"/>
        <c:noMultiLvlLbl val="0"/>
      </c:catAx>
      <c:valAx>
        <c:axId val="1833486703"/>
        <c:scaling>
          <c:orientation val="minMax"/>
        </c:scaling>
        <c:delete val="1"/>
        <c:axPos val="l"/>
        <c:numFmt formatCode="General" sourceLinked="1"/>
        <c:majorTickMark val="out"/>
        <c:minorTickMark val="none"/>
        <c:tickLblPos val="nextTo"/>
        <c:crossAx val="18334837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[Home_Appliances_Purchases_6_Months_10_Sheets.xlsx]All_Purchases!PivotTable5</c:name>
    <c:fmtId val="0"/>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All_Purchases!$S$20</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4CC-40D9-B856-4CCE61AAEA9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4CC-40D9-B856-4CCE61AAEA9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4CC-40D9-B856-4CCE61AAEA9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4CC-40D9-B856-4CCE61AAEA90}"/>
              </c:ext>
            </c:extLst>
          </c:dPt>
          <c:cat>
            <c:strRef>
              <c:f>All_Purchases!$R$21:$R$25</c:f>
              <c:strCache>
                <c:ptCount val="4"/>
                <c:pt idx="0">
                  <c:v>Chennai</c:v>
                </c:pt>
                <c:pt idx="1">
                  <c:v>Coimbatore</c:v>
                </c:pt>
                <c:pt idx="2">
                  <c:v>Madurai</c:v>
                </c:pt>
                <c:pt idx="3">
                  <c:v>Salem</c:v>
                </c:pt>
              </c:strCache>
            </c:strRef>
          </c:cat>
          <c:val>
            <c:numRef>
              <c:f>All_Purchases!$S$21:$S$25</c:f>
              <c:numCache>
                <c:formatCode>General</c:formatCode>
                <c:ptCount val="4"/>
                <c:pt idx="0">
                  <c:v>221507524.92000002</c:v>
                </c:pt>
                <c:pt idx="1">
                  <c:v>267137242.33000001</c:v>
                </c:pt>
                <c:pt idx="2">
                  <c:v>248783342.13999996</c:v>
                </c:pt>
                <c:pt idx="3">
                  <c:v>278347519.93999982</c:v>
                </c:pt>
              </c:numCache>
            </c:numRef>
          </c:val>
          <c:extLst>
            <c:ext xmlns:c16="http://schemas.microsoft.com/office/drawing/2014/chart" uri="{C3380CC4-5D6E-409C-BE32-E72D297353CC}">
              <c16:uniqueId val="{00000000-4C64-49E8-8CFD-5134BEE7A8C2}"/>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[Home_Appliances_Purchases_6_Months_10_Sheets.xlsx]All_Purchases!PivotTable2</c:name>
    <c:fmtId val="0"/>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All_Purchases!$S$14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All_Purchases!$R$15:$R$18</c:f>
              <c:strCache>
                <c:ptCount val="3"/>
                <c:pt idx="0">
                  <c:v>Delayed</c:v>
                </c:pt>
                <c:pt idx="1">
                  <c:v>Delivered</c:v>
                </c:pt>
                <c:pt idx="2">
                  <c:v>On Delivery</c:v>
                </c:pt>
              </c:strCache>
            </c:strRef>
          </c:cat>
          <c:val>
            <c:numRef>
              <c:f>All_Purchases!$S$15:$S$18</c:f>
              <c:numCache>
                <c:formatCode>General</c:formatCode>
                <c:ptCount val="3"/>
                <c:pt idx="0">
                  <c:v>7326</c:v>
                </c:pt>
                <c:pt idx="1">
                  <c:v>0</c:v>
                </c:pt>
                <c:pt idx="2">
                  <c:v>388</c:v>
                </c:pt>
              </c:numCache>
            </c:numRef>
          </c:val>
          <c:extLst>
            <c:ext xmlns:c16="http://schemas.microsoft.com/office/drawing/2014/chart" uri="{C3380CC4-5D6E-409C-BE32-E72D297353CC}">
              <c16:uniqueId val="{00000000-0D3A-4178-9864-2016E2512009}"/>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[Home_Appliances_Purchases_6_Months_10_Sheets.xlsx]All_Purchases!PivotTable7</c:name>
    <c:fmtId val="1"/>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All_Purchases!$S$27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All_Purchases!$R$28:$R$32</c:f>
              <c:strCache>
                <c:ptCount val="4"/>
                <c:pt idx="0">
                  <c:v>Cheque</c:v>
                </c:pt>
                <c:pt idx="1">
                  <c:v>Credit</c:v>
                </c:pt>
                <c:pt idx="2">
                  <c:v>NEFT</c:v>
                </c:pt>
                <c:pt idx="3">
                  <c:v>RTGS</c:v>
                </c:pt>
              </c:strCache>
            </c:strRef>
          </c:cat>
          <c:val>
            <c:numRef>
              <c:f>All_Purchases!$S$28:$S$32</c:f>
              <c:numCache>
                <c:formatCode>General</c:formatCode>
                <c:ptCount val="4"/>
                <c:pt idx="0">
                  <c:v>257751083.54999992</c:v>
                </c:pt>
                <c:pt idx="1">
                  <c:v>273967594.68999994</c:v>
                </c:pt>
                <c:pt idx="2">
                  <c:v>255504326.20999986</c:v>
                </c:pt>
                <c:pt idx="3">
                  <c:v>228552624.88</c:v>
                </c:pt>
              </c:numCache>
            </c:numRef>
          </c:val>
          <c:extLst>
            <c:ext xmlns:c16="http://schemas.microsoft.com/office/drawing/2014/chart" uri="{C3380CC4-5D6E-409C-BE32-E72D297353CC}">
              <c16:uniqueId val="{00000000-C303-4433-8180-81D85F2B23CC}"/>
            </c:ext>
          </c:extLst>
        </c:ser>
        <c:dLbls>
          <c:dLblPos val="ctr"/>
          <c:showLegendKey val="0"/>
          <c:showVal val="1"/>
          <c:showCatName val="0"/>
          <c:showSerName val="0"/>
          <c:showPercent val="0"/>
          <c:showBubbleSize val="0"/>
        </c:dLbls>
        <c:gapWidth val="150"/>
        <c:overlap val="100"/>
        <c:axId val="281047232"/>
        <c:axId val="281048480"/>
      </c:barChart>
      <c:catAx>
        <c:axId val="2810472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1048480"/>
        <c:crosses val="autoZero"/>
        <c:auto val="1"/>
        <c:lblAlgn val="ctr"/>
        <c:lblOffset val="100"/>
        <c:noMultiLvlLbl val="0"/>
      </c:catAx>
      <c:valAx>
        <c:axId val="28104848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10472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[Home_Appliances_Purchases_6_Months_10_Sheets.xlsx]Sri Balaji Home Appliances Supp!PivotTable1</c:name>
    <c:fmtId val="0"/>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bg1"/>
              </a:solidFill>
              <a:latin typeface="+mn-lt"/>
              <a:ea typeface="+mn-ea"/>
              <a:cs typeface="+mn-cs"/>
            </a:defRPr>
          </a:pPr>
          <a:endParaRPr lang="en-US"/>
        </a:p>
      </c:txPr>
    </c:title>
    <c:autoTitleDeleted val="0"/>
    <c:pivotFmts>
      <c:pivotFmt>
        <c:idx val="0"/>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1"/>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'Sri Balaji Home Appliances Supp'!$B$117</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'Sri Balaji Home Appliances Supp'!$A$118:$A$126</c:f>
              <c:strCache>
                <c:ptCount val="8"/>
                <c:pt idx="0">
                  <c:v>AC</c:v>
                </c:pt>
                <c:pt idx="1">
                  <c:v>Air Cooler</c:v>
                </c:pt>
                <c:pt idx="2">
                  <c:v>Ceiling Fan</c:v>
                </c:pt>
                <c:pt idx="3">
                  <c:v>Microwave Oven</c:v>
                </c:pt>
                <c:pt idx="4">
                  <c:v>Mixer Grinder</c:v>
                </c:pt>
                <c:pt idx="5">
                  <c:v>Refrigerator</c:v>
                </c:pt>
                <c:pt idx="6">
                  <c:v>Television</c:v>
                </c:pt>
                <c:pt idx="7">
                  <c:v>Washing Machine</c:v>
                </c:pt>
              </c:strCache>
            </c:strRef>
          </c:cat>
          <c:val>
            <c:numRef>
              <c:f>'Sri Balaji Home Appliances Supp'!$B$118:$B$126</c:f>
              <c:numCache>
                <c:formatCode>General</c:formatCode>
                <c:ptCount val="8"/>
                <c:pt idx="0">
                  <c:v>16336811.85</c:v>
                </c:pt>
                <c:pt idx="1">
                  <c:v>6114301.4499999993</c:v>
                </c:pt>
                <c:pt idx="2">
                  <c:v>8261670.2000000002</c:v>
                </c:pt>
                <c:pt idx="3">
                  <c:v>12791933.620000001</c:v>
                </c:pt>
                <c:pt idx="4">
                  <c:v>15450180.989999998</c:v>
                </c:pt>
                <c:pt idx="5">
                  <c:v>6783610.8300000001</c:v>
                </c:pt>
                <c:pt idx="6">
                  <c:v>17106307.849999998</c:v>
                </c:pt>
                <c:pt idx="7">
                  <c:v>19782930.940000001</c:v>
                </c:pt>
              </c:numCache>
            </c:numRef>
          </c:val>
          <c:extLst>
            <c:ext xmlns:c16="http://schemas.microsoft.com/office/drawing/2014/chart" uri="{C3380CC4-5D6E-409C-BE32-E72D297353CC}">
              <c16:uniqueId val="{00000000-64A7-4C94-95F3-274931ABA1F5}"/>
            </c:ext>
          </c:extLst>
        </c:ser>
        <c:dLbls>
          <c:showLegendKey val="0"/>
          <c:showVal val="1"/>
          <c:showCatName val="0"/>
          <c:showSerName val="0"/>
          <c:showPercent val="0"/>
          <c:showBubbleSize val="0"/>
        </c:dLbls>
        <c:gapWidth val="84"/>
        <c:gapDepth val="53"/>
        <c:shape val="box"/>
        <c:axId val="979194784"/>
        <c:axId val="979183136"/>
        <c:axId val="0"/>
      </c:bar3DChart>
      <c:catAx>
        <c:axId val="9791947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79183136"/>
        <c:crosses val="autoZero"/>
        <c:auto val="1"/>
        <c:lblAlgn val="ctr"/>
        <c:lblOffset val="100"/>
        <c:noMultiLvlLbl val="0"/>
      </c:catAx>
      <c:valAx>
        <c:axId val="9791831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79194784"/>
        <c:crosses val="autoZero"/>
        <c:crossBetween val="between"/>
      </c:valAx>
      <c:spPr>
        <a:noFill/>
        <a:ln>
          <a:noFill/>
        </a:ln>
        <a:effectLst/>
      </c:spPr>
    </c:plotArea>
    <c:plotVisOnly val="1"/>
    <c:dispBlanksAs val="gap"/>
    <c:showDLblsOverMax val="0"/>
  </c:chart>
  <c:spPr>
    <a:solidFill>
      <a:schemeClr val="dk1">
        <a:lumMod val="75000"/>
        <a:lumOff val="25000"/>
      </a:schemeClr>
    </a:solidFill>
    <a:ln w="6350" cap="flat" cmpd="sng" algn="ctr">
      <a:solidFill>
        <a:schemeClr val="dk1">
          <a:tint val="75000"/>
        </a:schemeClr>
      </a:solidFill>
      <a:round/>
    </a:ln>
    <a:effectLst/>
  </c:spPr>
  <c:txPr>
    <a:bodyPr anchor="t" anchorCtr="1"/>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[Home_Appliances_Purchases_6_Months_10_Sheets.xlsx]Sri Balaji Home Appliances Supp!PivotTable2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'Sri Balaji Home Appliances Supp'!$K$117</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172-4AB4-AA83-DFB6F134EB1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172-4AB4-AA83-DFB6F134EB1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172-4AB4-AA83-DFB6F134EB17}"/>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172-4AB4-AA83-DFB6F134EB17}"/>
              </c:ext>
            </c:extLst>
          </c:dPt>
          <c:cat>
            <c:strRef>
              <c:f>'Sri Balaji Home Appliances Supp'!$J$118:$J$122</c:f>
              <c:strCache>
                <c:ptCount val="4"/>
                <c:pt idx="0">
                  <c:v>Chennai</c:v>
                </c:pt>
                <c:pt idx="1">
                  <c:v>Coimbatore</c:v>
                </c:pt>
                <c:pt idx="2">
                  <c:v>Madurai</c:v>
                </c:pt>
                <c:pt idx="3">
                  <c:v>Salem</c:v>
                </c:pt>
              </c:strCache>
            </c:strRef>
          </c:cat>
          <c:val>
            <c:numRef>
              <c:f>'Sri Balaji Home Appliances Supp'!$K$118:$K$122</c:f>
              <c:numCache>
                <c:formatCode>General</c:formatCode>
                <c:ptCount val="4"/>
                <c:pt idx="0">
                  <c:v>34114429.82</c:v>
                </c:pt>
                <c:pt idx="1">
                  <c:v>17364677.210000001</c:v>
                </c:pt>
                <c:pt idx="2">
                  <c:v>26885257.289999995</c:v>
                </c:pt>
                <c:pt idx="3">
                  <c:v>24263383.409999996</c:v>
                </c:pt>
              </c:numCache>
            </c:numRef>
          </c:val>
          <c:extLst>
            <c:ext xmlns:c16="http://schemas.microsoft.com/office/drawing/2014/chart" uri="{C3380CC4-5D6E-409C-BE32-E72D297353CC}">
              <c16:uniqueId val="{00000000-628C-4B57-85FF-CFFC79EFBA9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[Home_Appliances_Purchases_6_Months_10_Sheets.xlsx]Sri Balaji Home Appliances Supp!PivotTable3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stacked"/>
        <c:varyColors val="0"/>
        <c:ser>
          <c:idx val="0"/>
          <c:order val="0"/>
          <c:tx>
            <c:strRef>
              <c:f>'Sri Balaji Home Appliances Supp'!$B$135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'Sri Balaji Home Appliances Supp'!$A$136:$A$140</c:f>
              <c:strCache>
                <c:ptCount val="4"/>
                <c:pt idx="0">
                  <c:v>Cheque</c:v>
                </c:pt>
                <c:pt idx="1">
                  <c:v>Credit</c:v>
                </c:pt>
                <c:pt idx="2">
                  <c:v>NEFT</c:v>
                </c:pt>
                <c:pt idx="3">
                  <c:v>RTGS</c:v>
                </c:pt>
              </c:strCache>
            </c:strRef>
          </c:cat>
          <c:val>
            <c:numRef>
              <c:f>'Sri Balaji Home Appliances Supp'!$B$136:$B$140</c:f>
              <c:numCache>
                <c:formatCode>General</c:formatCode>
                <c:ptCount val="4"/>
                <c:pt idx="0">
                  <c:v>24816834.180000003</c:v>
                </c:pt>
                <c:pt idx="1">
                  <c:v>35857512.270000003</c:v>
                </c:pt>
                <c:pt idx="2">
                  <c:v>17132680.390000001</c:v>
                </c:pt>
                <c:pt idx="3">
                  <c:v>24820720.890000001</c:v>
                </c:pt>
              </c:numCache>
            </c:numRef>
          </c:val>
          <c:extLst>
            <c:ext xmlns:c16="http://schemas.microsoft.com/office/drawing/2014/chart" uri="{C3380CC4-5D6E-409C-BE32-E72D297353CC}">
              <c16:uniqueId val="{00000000-8DAD-4AC7-AA13-F96E208FC1E4}"/>
            </c:ext>
          </c:extLst>
        </c:ser>
        <c:dLbls>
          <c:showLegendKey val="0"/>
          <c:showVal val="0"/>
          <c:showCatName val="0"/>
          <c:showSerName val="0"/>
          <c:showPercent val="0"/>
          <c:showBubbleSize val="0"/>
        </c:dLbls>
        <c:gapWidth val="150"/>
        <c:overlap val="100"/>
        <c:axId val="1708273519"/>
        <c:axId val="1708278511"/>
      </c:barChart>
      <c:catAx>
        <c:axId val="17082735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8278511"/>
        <c:crosses val="autoZero"/>
        <c:auto val="1"/>
        <c:lblAlgn val="ctr"/>
        <c:lblOffset val="100"/>
        <c:noMultiLvlLbl val="0"/>
      </c:catAx>
      <c:valAx>
        <c:axId val="17082785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827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19</xdr:col>
      <xdr:colOff>182880</xdr:colOff>
      <xdr:row>2</xdr:row>
      <xdr:rowOff>3810</xdr:rowOff>
    </xdr:from>
    <xdr:to>
      <xdr:col>27</xdr:col>
      <xdr:colOff>21771</xdr:colOff>
      <xdr:row>17</xdr:row>
      <xdr:rowOff>3810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182880</xdr:colOff>
      <xdr:row>18</xdr:row>
      <xdr:rowOff>11430</xdr:rowOff>
    </xdr:from>
    <xdr:to>
      <xdr:col>27</xdr:col>
      <xdr:colOff>0</xdr:colOff>
      <xdr:row>33</xdr:row>
      <xdr:rowOff>11430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27</xdr:col>
      <xdr:colOff>338523</xdr:colOff>
      <xdr:row>2</xdr:row>
      <xdr:rowOff>10875</xdr:rowOff>
    </xdr:from>
    <xdr:to>
      <xdr:col>30</xdr:col>
      <xdr:colOff>333996</xdr:colOff>
      <xdr:row>15</xdr:row>
      <xdr:rowOff>127937</xdr:rowOff>
    </xdr:to>
    <mc:AlternateContent xmlns:mc="http://schemas.openxmlformats.org/markup-compatibility/2006">
      <mc:Choice xmlns:a14="http://schemas.microsoft.com/office/drawing/2010/main" Requires="a14">
        <xdr:graphicFrame macro="">
          <xdr:nvGraphicFramePr>
            <xdr:cNvPr id="5" name="Supplie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dr:sp macro="" textlink="">
          <xdr:nvSpPr>
            <xdr:cNvPr id="0" name=""/>
            <xdr:cNvSpPr>
              <a:spLocks noTextEdit="1"/>
            </xdr:cNvSpPr>
          </xdr:nvSpPr>
          <xdr:spPr>
            <a:xfrm>
              <a:off x="26986752" y="489846"/>
              <a:ext cx="1824273" cy="25228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0</xdr:colOff>
      <xdr:row>1</xdr:row>
      <xdr:rowOff>179614</xdr:rowOff>
    </xdr:from>
    <xdr:to>
      <xdr:col>36</xdr:col>
      <xdr:colOff>587829</xdr:colOff>
      <xdr:row>16</xdr:row>
      <xdr:rowOff>146957</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0</xdr:colOff>
      <xdr:row>18</xdr:row>
      <xdr:rowOff>27214</xdr:rowOff>
    </xdr:from>
    <xdr:to>
      <xdr:col>36</xdr:col>
      <xdr:colOff>587829</xdr:colOff>
      <xdr:row>33</xdr:row>
      <xdr:rowOff>43543</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53340</xdr:colOff>
      <xdr:row>116</xdr:row>
      <xdr:rowOff>3810</xdr:rowOff>
    </xdr:from>
    <xdr:to>
      <xdr:col>8</xdr:col>
      <xdr:colOff>457200</xdr:colOff>
      <xdr:row>131</xdr:row>
      <xdr:rowOff>3810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122</xdr:row>
      <xdr:rowOff>179070</xdr:rowOff>
    </xdr:from>
    <xdr:to>
      <xdr:col>14</xdr:col>
      <xdr:colOff>525780</xdr:colOff>
      <xdr:row>137</xdr:row>
      <xdr:rowOff>179070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114300</xdr:colOff>
      <xdr:row>133</xdr:row>
      <xdr:rowOff>156210</xdr:rowOff>
    </xdr:from>
    <xdr:to>
      <xdr:col>7</xdr:col>
      <xdr:colOff>228600</xdr:colOff>
      <xdr:row>148</xdr:row>
      <xdr:rowOff>156210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502920</xdr:colOff>
      <xdr:row>138</xdr:row>
      <xdr:rowOff>129540</xdr:rowOff>
    </xdr:from>
    <xdr:to>
      <xdr:col>9</xdr:col>
      <xdr:colOff>662940</xdr:colOff>
      <xdr:row>152</xdr:row>
      <xdr:rowOff>36195</xdr:rowOff>
    </xdr:to>
    <mc:AlternateContent xmlns:mc="http://schemas.openxmlformats.org/markup-compatibility/2006" xmlns:a14="http://schemas.microsoft.com/office/drawing/2010/main">
      <mc:Choice Requires="a14">
        <xdr:graphicFrame macro="">
          <xdr:nvGraphicFramePr>
            <xdr:cNvPr id="5" name="Product_Name"/>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7741920" y="25366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245841</xdr:colOff>
      <xdr:row>3</xdr:row>
      <xdr:rowOff>177031</xdr:rowOff>
    </xdr:from>
    <xdr:to>
      <xdr:col>22</xdr:col>
      <xdr:colOff>245841</xdr:colOff>
      <xdr:row>12</xdr:row>
      <xdr:rowOff>15164</xdr:rowOff>
    </xdr:to>
    <mc:AlternateContent xmlns:mc="http://schemas.openxmlformats.org/markup-compatibility/2006">
      <mc:Choice xmlns:a14="http://schemas.microsoft.com/office/drawing/2010/main" Requires="a14">
        <xdr:graphicFrame macro="">
          <xdr:nvGraphicFramePr>
            <xdr:cNvPr id="3" name="Warehouse"/>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dr:sp macro="" textlink="">
          <xdr:nvSpPr>
            <xdr:cNvPr id="0" name=""/>
            <xdr:cNvSpPr>
              <a:spLocks noTextEdit="1"/>
            </xdr:cNvSpPr>
          </xdr:nvSpPr>
          <xdr:spPr>
            <a:xfrm>
              <a:off x="14169659" y="731213"/>
              <a:ext cx="1824182" cy="15006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Welcome" refreshedDate="46242.403838078702" createdVersion="6" refreshedVersion="6" minRefreshableVersion="3" recordCount="112">
  <cacheSource type="worksheet">
    <worksheetSource name="Table2"/>
  </cacheSource>
  <cacheFields count="11">
    <cacheField name="Purchase_Date" numFmtId="0">
      <sharedItems/>
    </cacheField>
    <cacheField name="Supplier" numFmtId="0">
      <sharedItems/>
    </cacheField>
    <cacheField name="Product_Name" numFmtId="0">
      <sharedItems count="8">
        <s v="AC"/>
        <s v="Mixer Grinder"/>
        <s v="Television"/>
        <s v="Refrigerator"/>
        <s v="Washing Machine"/>
        <s v="Ceiling Fan"/>
        <s v="Air Cooler"/>
        <s v="Microwave Oven"/>
      </sharedItems>
    </cacheField>
    <cacheField name="Model" numFmtId="0">
      <sharedItems/>
    </cacheField>
    <cacheField name="Qty" numFmtId="0">
      <sharedItems containsSemiMixedTypes="0" containsString="0" containsNumber="1" containsInteger="1" minValue="1" maxValue="40"/>
    </cacheField>
    <cacheField name="Unit_Price" numFmtId="0">
      <sharedItems containsSemiMixedTypes="0" containsString="0" containsNumber="1" containsInteger="1" minValue="3285" maxValue="84034"/>
    </cacheField>
    <cacheField name="Discount_%" numFmtId="0">
      <sharedItems containsSemiMixedTypes="0" containsString="0" containsNumber="1" containsInteger="1" minValue="0" maxValue="12"/>
    </cacheField>
    <cacheField name="GST_%" numFmtId="0">
      <sharedItems containsSemiMixedTypes="0" containsString="0" containsNumber="1" containsInteger="1" minValue="12" maxValue="28"/>
    </cacheField>
    <cacheField name="Total_Amount" numFmtId="0">
      <sharedItems containsSemiMixedTypes="0" containsString="0" containsNumber="1" minValue="11573.76" maxValue="3124019.2000000002"/>
    </cacheField>
    <cacheField name="Warehouse" numFmtId="0">
      <sharedItems count="4">
        <s v="Salem"/>
        <s v="Chennai"/>
        <s v="Coimbatore"/>
        <s v="Madurai"/>
      </sharedItems>
    </cacheField>
    <cacheField name="Payment_Mode" numFmtId="0">
      <sharedItems count="4">
        <s v="RTGS"/>
        <s v="Cheque"/>
        <s v="NEFT"/>
        <s v="Credit"/>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Welcome" refreshedDate="46244.552311689811" createdVersion="6" refreshedVersion="6" minRefreshableVersion="3" recordCount="1000">
  <cacheSource type="worksheet">
    <worksheetSource name="Table1"/>
  </cacheSource>
  <cacheFields count="16">
    <cacheField name="Purchase_Date" numFmtId="0">
      <sharedItems/>
    </cacheField>
    <cacheField name="Supplier_Id" numFmtId="0">
      <sharedItems/>
    </cacheField>
    <cacheField name="Supplier" numFmtId="0">
      <sharedItems count="9">
        <s v="HomeZone Wholesale"/>
        <s v="South India Appliances"/>
        <s v="Elite Electricals"/>
        <s v="Future Electronics Hub"/>
        <s v="Global Home Tech"/>
        <s v="Prime Appliance Traders"/>
        <s v="ABC Electronics Distributors"/>
        <s v="Smart Living Supplies"/>
        <s v="Sri Balaji Home Appliances Supply"/>
      </sharedItems>
    </cacheField>
    <cacheField name="Product_Name" numFmtId="0">
      <sharedItems count="8">
        <s v="Microwave Oven"/>
        <s v="Air Cooler"/>
        <s v="Television"/>
        <s v="Ceiling Fan"/>
        <s v="AC"/>
        <s v="Washing Machine"/>
        <s v="Refrigerator"/>
        <s v="Mixer Grinder"/>
      </sharedItems>
    </cacheField>
    <cacheField name="Model" numFmtId="0">
      <sharedItems/>
    </cacheField>
    <cacheField name="Quantity" numFmtId="0">
      <sharedItems containsSemiMixedTypes="0" containsString="0" containsNumber="1" containsInteger="1" minValue="1" maxValue="40"/>
    </cacheField>
    <cacheField name="Unit_Price" numFmtId="0">
      <sharedItems containsSemiMixedTypes="0" containsString="0" containsNumber="1" containsInteger="1" minValue="1385" maxValue="84908"/>
    </cacheField>
    <cacheField name="Discount_%" numFmtId="0">
      <sharedItems containsSemiMixedTypes="0" containsString="0" containsNumber="1" containsInteger="1" minValue="0" maxValue="12"/>
    </cacheField>
    <cacheField name="GST_%" numFmtId="0">
      <sharedItems containsSemiMixedTypes="0" containsString="0" containsNumber="1" containsInteger="1" minValue="12" maxValue="28"/>
    </cacheField>
    <cacheField name="Total_Amount" numFmtId="0">
      <sharedItems containsSemiMixedTypes="0" containsString="0" containsNumber="1" minValue="4906.32" maxValue="3711496.48"/>
    </cacheField>
    <cacheField name="Warehouse" numFmtId="0">
      <sharedItems count="4">
        <s v="Salem"/>
        <s v="Coimbatore"/>
        <s v="Chennai"/>
        <s v="Madurai"/>
      </sharedItems>
    </cacheField>
    <cacheField name="Payment_Mode" numFmtId="0">
      <sharedItems count="4">
        <s v="RTGS"/>
        <s v="Credit"/>
        <s v="NEFT"/>
        <s v="Cheque"/>
      </sharedItems>
    </cacheField>
    <cacheField name="Expect_delivery_date" numFmtId="164">
      <sharedItems containsSemiMixedTypes="0" containsNonDate="0" containsDate="1" containsString="0" minDate="2025-01-04T00:00:00" maxDate="2025-07-11T00:00:00"/>
    </cacheField>
    <cacheField name="Recived_date" numFmtId="164">
      <sharedItems containsSemiMixedTypes="0" containsNonDate="0" containsDate="1" containsString="0" minDate="2025-01-05T00:00:00" maxDate="2025-07-23T00:00:00"/>
    </cacheField>
    <cacheField name="Delay_date" numFmtId="0">
      <sharedItems containsSemiMixedTypes="0" containsString="0" containsNumber="1" containsInteger="1" minValue="0" maxValue="15"/>
    </cacheField>
    <cacheField name="Delivery Status" numFmtId="0">
      <sharedItems count="3">
        <s v="Delayed"/>
        <s v="On Delivery"/>
        <s v="Delivered"/>
      </sharedItems>
    </cacheField>
  </cacheFields>
  <extLst>
    <ext xmlns:x14="http://schemas.microsoft.com/office/spreadsheetml/2009/9/main" uri="{725AE2AE-9491-48be-B2B4-4EB974FC3084}">
      <x14:pivotCacheDefinition pivotCacheId="3"/>
    </ext>
  </extLst>
</pivotCacheDefinition>
</file>

<file path=xl/pivotCache/pivotCacheDefinition3.xml><?xml version="1.0" encoding="utf-8"?>
<pivotCacheDefinition xmlns="http://schemas.openxmlformats.org/spreadsheetml/2006/main" xmlns:r="http://schemas.openxmlformats.org/officeDocument/2006/relationships" r:id="rId1" refreshedBy="Welcome" refreshedDate="46244.743388888892" createdVersion="6" refreshedVersion="6" minRefreshableVersion="3" recordCount="112">
  <cacheSource type="worksheet">
    <worksheetSource name="Table5_512"/>
  </cacheSource>
  <cacheFields count="12">
    <cacheField name="Purchase_Date" numFmtId="0">
      <sharedItems/>
    </cacheField>
    <cacheField name="Supplier" numFmtId="0">
      <sharedItems/>
    </cacheField>
    <cacheField name="Product_Name" numFmtId="0">
      <sharedItems count="8">
        <s v="Mixer Grinder"/>
        <s v="Air Cooler"/>
        <s v="Television"/>
        <s v="Washing Machine"/>
        <s v="Microwave Oven"/>
        <s v="Refrigerator"/>
        <s v="Ceiling Fan"/>
        <s v="AC"/>
      </sharedItems>
    </cacheField>
    <cacheField name="Model" numFmtId="0">
      <sharedItems/>
    </cacheField>
    <cacheField name="Qty" numFmtId="0">
      <sharedItems containsSemiMixedTypes="0" containsString="0" containsNumber="1" containsInteger="1" minValue="2" maxValue="40"/>
    </cacheField>
    <cacheField name="Unit_Price" numFmtId="0">
      <sharedItems containsSemiMixedTypes="0" containsString="0" containsNumber="1" containsInteger="1" minValue="1306" maxValue="84854"/>
    </cacheField>
    <cacheField name="Discount_%" numFmtId="0">
      <sharedItems containsSemiMixedTypes="0" containsString="0" containsNumber="1" containsInteger="1" minValue="0" maxValue="12"/>
    </cacheField>
    <cacheField name="GST_%" numFmtId="0">
      <sharedItems containsSemiMixedTypes="0" containsString="0" containsNumber="1" containsInteger="1" minValue="12" maxValue="28"/>
    </cacheField>
    <cacheField name="Total_Amount" numFmtId="0">
      <sharedItems containsSemiMixedTypes="0" containsString="0" containsNumber="1" minValue="8248.32" maxValue="3305735.68"/>
    </cacheField>
    <cacheField name="Warehouse" numFmtId="0">
      <sharedItems count="4">
        <s v="Coimbatore"/>
        <s v="Chennai"/>
        <s v="Madurai"/>
        <s v="Salem"/>
      </sharedItems>
    </cacheField>
    <cacheField name="Payment_Mode" numFmtId="0">
      <sharedItems/>
    </cacheField>
    <cacheField name="Total_Revenue" numFmtId="0">
      <sharedItems containsSemiMixedTypes="0" containsString="0" containsNumber="1" containsInteger="1" minValue="175255" maxValue="1182995"/>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12">
  <r>
    <s v="2025-02-02"/>
    <s v="Sri Balaji Home Appliances Supply"/>
    <x v="0"/>
    <s v="1 Ton Split"/>
    <n v="2"/>
    <n v="4521"/>
    <n v="0"/>
    <n v="28"/>
    <n v="11573.76"/>
    <x v="0"/>
    <x v="0"/>
  </r>
  <r>
    <s v="2025-05-02"/>
    <s v="Sri Balaji Home Appliances Supply"/>
    <x v="1"/>
    <s v="750W"/>
    <n v="37"/>
    <n v="44734"/>
    <n v="12"/>
    <n v="28"/>
    <n v="1864369.97"/>
    <x v="1"/>
    <x v="1"/>
  </r>
  <r>
    <s v="2025-02-22"/>
    <s v="Sri Balaji Home Appliances Supply"/>
    <x v="2"/>
    <s v="43 Smart"/>
    <n v="3"/>
    <n v="22743"/>
    <n v="10"/>
    <n v="28"/>
    <n v="78599.81"/>
    <x v="2"/>
    <x v="0"/>
  </r>
  <r>
    <s v="2025-06-03"/>
    <s v="Sri Balaji Home Appliances Supply"/>
    <x v="0"/>
    <s v="1.5 Ton Inverter"/>
    <n v="2"/>
    <n v="6341"/>
    <n v="10"/>
    <n v="28"/>
    <n v="14609.66"/>
    <x v="2"/>
    <x v="0"/>
  </r>
  <r>
    <s v="2025-04-13"/>
    <s v="Sri Balaji Home Appliances Supply"/>
    <x v="2"/>
    <s v="55 4K"/>
    <n v="13"/>
    <n v="3848"/>
    <n v="0"/>
    <n v="18"/>
    <n v="59028.32"/>
    <x v="0"/>
    <x v="2"/>
  </r>
  <r>
    <s v="2025-02-14"/>
    <s v="Sri Balaji Home Appliances Supply"/>
    <x v="1"/>
    <s v="500W"/>
    <n v="28"/>
    <n v="68746"/>
    <n v="5"/>
    <n v="28"/>
    <n v="2340663.81"/>
    <x v="0"/>
    <x v="1"/>
  </r>
  <r>
    <s v="2025-01-23"/>
    <s v="Sri Balaji Home Appliances Supply"/>
    <x v="3"/>
    <s v="260L"/>
    <n v="40"/>
    <n v="17696"/>
    <n v="10"/>
    <n v="12"/>
    <n v="713502.71999999997"/>
    <x v="3"/>
    <x v="2"/>
  </r>
  <r>
    <s v="2025-02-21"/>
    <s v="Sri Balaji Home Appliances Supply"/>
    <x v="1"/>
    <s v="500W"/>
    <n v="39"/>
    <n v="14326"/>
    <n v="5"/>
    <n v="28"/>
    <n v="679396.22"/>
    <x v="0"/>
    <x v="1"/>
  </r>
  <r>
    <s v="2025-05-03"/>
    <s v="Sri Balaji Home Appliances Supply"/>
    <x v="4"/>
    <s v="Front Load"/>
    <n v="18"/>
    <n v="65729"/>
    <n v="5"/>
    <n v="18"/>
    <n v="1326279.76"/>
    <x v="1"/>
    <x v="0"/>
  </r>
  <r>
    <s v="2025-02-16"/>
    <s v="Sri Balaji Home Appliances Supply"/>
    <x v="5"/>
    <s v="1200mm"/>
    <n v="10"/>
    <n v="58859"/>
    <n v="0"/>
    <n v="12"/>
    <n v="659220.80000000005"/>
    <x v="1"/>
    <x v="0"/>
  </r>
  <r>
    <s v="2025-01-10"/>
    <s v="Sri Balaji Home Appliances Supply"/>
    <x v="2"/>
    <s v="32 LED"/>
    <n v="11"/>
    <n v="52044"/>
    <n v="5"/>
    <n v="28"/>
    <n v="696140.54"/>
    <x v="0"/>
    <x v="0"/>
  </r>
  <r>
    <s v="2025-04-24"/>
    <s v="Sri Balaji Home Appliances Supply"/>
    <x v="1"/>
    <s v="750W"/>
    <n v="18"/>
    <n v="20214"/>
    <n v="0"/>
    <n v="18"/>
    <n v="429345.36"/>
    <x v="2"/>
    <x v="2"/>
  </r>
  <r>
    <s v="2025-06-24"/>
    <s v="Sri Balaji Home Appliances Supply"/>
    <x v="6"/>
    <s v="35L"/>
    <n v="33"/>
    <n v="26961"/>
    <n v="10"/>
    <n v="12"/>
    <n v="896830.7"/>
    <x v="0"/>
    <x v="1"/>
  </r>
  <r>
    <s v="2025-04-14"/>
    <s v="Sri Balaji Home Appliances Supply"/>
    <x v="3"/>
    <s v="260L"/>
    <n v="12"/>
    <n v="76707"/>
    <n v="10"/>
    <n v="12"/>
    <n v="927847.87"/>
    <x v="2"/>
    <x v="1"/>
  </r>
  <r>
    <s v="2025-02-28"/>
    <s v="Sri Balaji Home Appliances Supply"/>
    <x v="1"/>
    <s v="750W"/>
    <n v="30"/>
    <n v="53905"/>
    <n v="12"/>
    <n v="12"/>
    <n v="1593863.04"/>
    <x v="1"/>
    <x v="2"/>
  </r>
  <r>
    <s v="2025-02-17"/>
    <s v="Sri Balaji Home Appliances Supply"/>
    <x v="0"/>
    <s v="1 Ton Split"/>
    <n v="37"/>
    <n v="41904"/>
    <n v="10"/>
    <n v="18"/>
    <n v="1646575.78"/>
    <x v="2"/>
    <x v="3"/>
  </r>
  <r>
    <s v="2025-05-05"/>
    <s v="Sri Balaji Home Appliances Supply"/>
    <x v="7"/>
    <s v="28L"/>
    <n v="15"/>
    <n v="76226"/>
    <n v="12"/>
    <n v="28"/>
    <n v="1287914.5"/>
    <x v="2"/>
    <x v="0"/>
  </r>
  <r>
    <s v="2025-01-18"/>
    <s v="Sri Balaji Home Appliances Supply"/>
    <x v="4"/>
    <s v="Top Load"/>
    <n v="11"/>
    <n v="49607"/>
    <n v="12"/>
    <n v="12"/>
    <n v="537819.25"/>
    <x v="2"/>
    <x v="0"/>
  </r>
  <r>
    <s v="2025-05-30"/>
    <s v="Sri Balaji Home Appliances Supply"/>
    <x v="7"/>
    <s v="20L"/>
    <n v="36"/>
    <n v="7522"/>
    <n v="5"/>
    <n v="18"/>
    <n v="303557.83"/>
    <x v="2"/>
    <x v="0"/>
  </r>
  <r>
    <s v="2025-05-09"/>
    <s v="Sri Balaji Home Appliances Supply"/>
    <x v="2"/>
    <s v="55 4K"/>
    <n v="6"/>
    <n v="17418"/>
    <n v="5"/>
    <n v="12"/>
    <n v="111196.51"/>
    <x v="3"/>
    <x v="2"/>
  </r>
  <r>
    <s v="2025-02-14"/>
    <s v="Sri Balaji Home Appliances Supply"/>
    <x v="4"/>
    <s v="Front Load"/>
    <n v="21"/>
    <n v="4550"/>
    <n v="5"/>
    <n v="18"/>
    <n v="107111.55"/>
    <x v="3"/>
    <x v="2"/>
  </r>
  <r>
    <s v="2025-06-19"/>
    <s v="Sri Balaji Home Appliances Supply"/>
    <x v="7"/>
    <s v="20L"/>
    <n v="35"/>
    <n v="58424"/>
    <n v="10"/>
    <n v="18"/>
    <n v="2171620.08"/>
    <x v="2"/>
    <x v="1"/>
  </r>
  <r>
    <s v="2025-05-20"/>
    <s v="Sri Balaji Home Appliances Supply"/>
    <x v="1"/>
    <s v="750W"/>
    <n v="16"/>
    <n v="25034"/>
    <n v="0"/>
    <n v="18"/>
    <n v="472641.92"/>
    <x v="2"/>
    <x v="1"/>
  </r>
  <r>
    <s v="2025-05-05"/>
    <s v="Sri Balaji Home Appliances Supply"/>
    <x v="4"/>
    <s v="Front Load"/>
    <n v="24"/>
    <n v="80668"/>
    <n v="0"/>
    <n v="18"/>
    <n v="2284517.7599999998"/>
    <x v="1"/>
    <x v="1"/>
  </r>
  <r>
    <s v="2025-04-15"/>
    <s v="Sri Balaji Home Appliances Supply"/>
    <x v="3"/>
    <s v="190L"/>
    <n v="28"/>
    <n v="18362"/>
    <n v="12"/>
    <n v="12"/>
    <n v="506732.44"/>
    <x v="0"/>
    <x v="3"/>
  </r>
  <r>
    <s v="2025-03-25"/>
    <s v="Sri Balaji Home Appliances Supply"/>
    <x v="6"/>
    <s v="35L"/>
    <n v="12"/>
    <n v="53241"/>
    <n v="0"/>
    <n v="12"/>
    <n v="715559.04"/>
    <x v="2"/>
    <x v="0"/>
  </r>
  <r>
    <s v="2025-04-16"/>
    <s v="Sri Balaji Home Appliances Supply"/>
    <x v="4"/>
    <s v="Top Load"/>
    <n v="12"/>
    <n v="50724"/>
    <n v="0"/>
    <n v="18"/>
    <n v="718251.84"/>
    <x v="1"/>
    <x v="0"/>
  </r>
  <r>
    <s v="2025-04-02"/>
    <s v="Sri Balaji Home Appliances Supply"/>
    <x v="6"/>
    <s v="35L"/>
    <n v="37"/>
    <n v="5412"/>
    <n v="10"/>
    <n v="28"/>
    <n v="230681.09"/>
    <x v="0"/>
    <x v="1"/>
  </r>
  <r>
    <s v="2025-01-01"/>
    <s v="Sri Balaji Home Appliances Supply"/>
    <x v="4"/>
    <s v="Front Load"/>
    <n v="5"/>
    <n v="63673"/>
    <n v="5"/>
    <n v="12"/>
    <n v="338740.36"/>
    <x v="2"/>
    <x v="3"/>
  </r>
  <r>
    <s v="2025-05-07"/>
    <s v="Sri Balaji Home Appliances Supply"/>
    <x v="2"/>
    <s v="32 LED"/>
    <n v="13"/>
    <n v="40347"/>
    <n v="10"/>
    <n v="12"/>
    <n v="528707.09"/>
    <x v="1"/>
    <x v="3"/>
  </r>
  <r>
    <s v="2025-06-15"/>
    <s v="Sri Balaji Home Appliances Supply"/>
    <x v="7"/>
    <s v="20L"/>
    <n v="20"/>
    <n v="18513"/>
    <n v="10"/>
    <n v="12"/>
    <n v="373222.08"/>
    <x v="1"/>
    <x v="3"/>
  </r>
  <r>
    <s v="2025-01-02"/>
    <s v="Sri Balaji Home Appliances Supply"/>
    <x v="0"/>
    <s v="2 Ton"/>
    <n v="35"/>
    <n v="41656"/>
    <n v="0"/>
    <n v="12"/>
    <n v="1632915.2"/>
    <x v="3"/>
    <x v="3"/>
  </r>
  <r>
    <s v="2025-02-17"/>
    <s v="Sri Balaji Home Appliances Supply"/>
    <x v="2"/>
    <s v="43 Smart"/>
    <n v="7"/>
    <n v="27202"/>
    <n v="5"/>
    <n v="18"/>
    <n v="213454.09"/>
    <x v="3"/>
    <x v="1"/>
  </r>
  <r>
    <s v="2025-06-05"/>
    <s v="Sri Balaji Home Appliances Supply"/>
    <x v="4"/>
    <s v="Front Load"/>
    <n v="6"/>
    <n v="60859"/>
    <n v="12"/>
    <n v="18"/>
    <n v="379175.91"/>
    <x v="0"/>
    <x v="0"/>
  </r>
  <r>
    <s v="2025-06-27"/>
    <s v="Sri Balaji Home Appliances Supply"/>
    <x v="6"/>
    <s v="35L"/>
    <n v="4"/>
    <n v="48591"/>
    <n v="0"/>
    <n v="18"/>
    <n v="229349.52"/>
    <x v="1"/>
    <x v="2"/>
  </r>
  <r>
    <s v="2025-05-16"/>
    <s v="Sri Balaji Home Appliances Supply"/>
    <x v="4"/>
    <s v="Front Load"/>
    <n v="7"/>
    <n v="8954"/>
    <n v="5"/>
    <n v="12"/>
    <n v="66689.39"/>
    <x v="2"/>
    <x v="1"/>
  </r>
  <r>
    <s v="2025-06-13"/>
    <s v="Sri Balaji Home Appliances Supply"/>
    <x v="7"/>
    <s v="20L"/>
    <n v="25"/>
    <n v="18677"/>
    <n v="5"/>
    <n v="18"/>
    <n v="523422.92"/>
    <x v="2"/>
    <x v="2"/>
  </r>
  <r>
    <s v="2025-06-21"/>
    <s v="Sri Balaji Home Appliances Supply"/>
    <x v="6"/>
    <s v="35L"/>
    <n v="8"/>
    <n v="61912"/>
    <n v="12"/>
    <n v="12"/>
    <n v="488163.74"/>
    <x v="2"/>
    <x v="0"/>
  </r>
  <r>
    <s v="2025-04-17"/>
    <s v="Sri Balaji Home Appliances Supply"/>
    <x v="7"/>
    <s v="28L"/>
    <n v="23"/>
    <n v="72526"/>
    <n v="0"/>
    <n v="28"/>
    <n v="2135165.44"/>
    <x v="3"/>
    <x v="3"/>
  </r>
  <r>
    <s v="2025-01-09"/>
    <s v="Sri Balaji Home Appliances Supply"/>
    <x v="4"/>
    <s v="Front Load"/>
    <n v="23"/>
    <n v="81944"/>
    <n v="5"/>
    <n v="28"/>
    <n v="2291809.79"/>
    <x v="0"/>
    <x v="0"/>
  </r>
  <r>
    <s v="2025-01-08"/>
    <s v="Sri Balaji Home Appliances Supply"/>
    <x v="2"/>
    <s v="43 Smart"/>
    <n v="35"/>
    <n v="3711"/>
    <n v="5"/>
    <n v="12"/>
    <n v="138197.64000000001"/>
    <x v="3"/>
    <x v="2"/>
  </r>
  <r>
    <s v="2025-06-19"/>
    <s v="Sri Balaji Home Appliances Supply"/>
    <x v="7"/>
    <s v="28L"/>
    <n v="1"/>
    <n v="39826"/>
    <n v="0"/>
    <n v="28"/>
    <n v="50977.279999999999"/>
    <x v="0"/>
    <x v="1"/>
  </r>
  <r>
    <s v="2025-03-26"/>
    <s v="Sri Balaji Home Appliances Supply"/>
    <x v="3"/>
    <s v="260L"/>
    <n v="13"/>
    <n v="32394"/>
    <n v="12"/>
    <n v="18"/>
    <n v="437293.08"/>
    <x v="0"/>
    <x v="2"/>
  </r>
  <r>
    <s v="2025-04-07"/>
    <s v="Sri Balaji Home Appliances Supply"/>
    <x v="1"/>
    <s v="750W"/>
    <n v="17"/>
    <n v="69174"/>
    <n v="10"/>
    <n v="12"/>
    <n v="1185365.6599999999"/>
    <x v="1"/>
    <x v="2"/>
  </r>
  <r>
    <s v="2025-04-08"/>
    <s v="Sri Balaji Home Appliances Supply"/>
    <x v="1"/>
    <s v="500W"/>
    <n v="18"/>
    <n v="17419"/>
    <n v="12"/>
    <n v="12"/>
    <n v="309027"/>
    <x v="0"/>
    <x v="1"/>
  </r>
  <r>
    <s v="2025-04-05"/>
    <s v="Sri Balaji Home Appliances Supply"/>
    <x v="0"/>
    <s v="2 Ton"/>
    <n v="15"/>
    <n v="23439"/>
    <n v="5"/>
    <n v="18"/>
    <n v="394126.78"/>
    <x v="3"/>
    <x v="1"/>
  </r>
  <r>
    <s v="2025-04-16"/>
    <s v="Sri Balaji Home Appliances Supply"/>
    <x v="7"/>
    <s v="28L"/>
    <n v="13"/>
    <n v="14459"/>
    <n v="10"/>
    <n v="18"/>
    <n v="199620.95"/>
    <x v="1"/>
    <x v="1"/>
  </r>
  <r>
    <s v="2025-03-29"/>
    <s v="Sri Balaji Home Appliances Supply"/>
    <x v="0"/>
    <s v="2 Ton"/>
    <n v="14"/>
    <n v="40654"/>
    <n v="5"/>
    <n v="18"/>
    <n v="638023.88"/>
    <x v="3"/>
    <x v="1"/>
  </r>
  <r>
    <s v="2025-03-01"/>
    <s v="Sri Balaji Home Appliances Supply"/>
    <x v="0"/>
    <s v="1 Ton Split"/>
    <n v="8"/>
    <n v="69778"/>
    <n v="5"/>
    <n v="12"/>
    <n v="593950.34"/>
    <x v="1"/>
    <x v="3"/>
  </r>
  <r>
    <s v="2025-04-19"/>
    <s v="Sri Balaji Home Appliances Supply"/>
    <x v="6"/>
    <s v="35L"/>
    <n v="17"/>
    <n v="44197"/>
    <n v="5"/>
    <n v="12"/>
    <n v="799435.34"/>
    <x v="0"/>
    <x v="2"/>
  </r>
  <r>
    <s v="2025-01-26"/>
    <s v="Sri Balaji Home Appliances Supply"/>
    <x v="2"/>
    <s v="55 4K"/>
    <n v="5"/>
    <n v="54727"/>
    <n v="5"/>
    <n v="12"/>
    <n v="291147.64"/>
    <x v="2"/>
    <x v="1"/>
  </r>
  <r>
    <s v="2025-03-10"/>
    <s v="Sri Balaji Home Appliances Supply"/>
    <x v="2"/>
    <s v="43 Smart"/>
    <n v="26"/>
    <n v="13016"/>
    <n v="10"/>
    <n v="12"/>
    <n v="341123.33"/>
    <x v="1"/>
    <x v="0"/>
  </r>
  <r>
    <s v="2025-04-19"/>
    <s v="Sri Balaji Home Appliances Supply"/>
    <x v="7"/>
    <s v="20L"/>
    <n v="5"/>
    <n v="33872"/>
    <n v="10"/>
    <n v="18"/>
    <n v="179860.32"/>
    <x v="1"/>
    <x v="1"/>
  </r>
  <r>
    <s v="2025-01-31"/>
    <s v="Sri Balaji Home Appliances Supply"/>
    <x v="7"/>
    <s v="28L"/>
    <n v="8"/>
    <n v="70486"/>
    <n v="10"/>
    <n v="18"/>
    <n v="598849.06000000006"/>
    <x v="3"/>
    <x v="2"/>
  </r>
  <r>
    <s v="2025-01-04"/>
    <s v="Sri Balaji Home Appliances Supply"/>
    <x v="4"/>
    <s v="Top Load"/>
    <n v="32"/>
    <n v="71325"/>
    <n v="0"/>
    <n v="18"/>
    <n v="2693232"/>
    <x v="0"/>
    <x v="3"/>
  </r>
  <r>
    <s v="2025-01-06"/>
    <s v="Sri Balaji Home Appliances Supply"/>
    <x v="2"/>
    <s v="43 Smart"/>
    <n v="4"/>
    <n v="71204"/>
    <n v="0"/>
    <n v="28"/>
    <n v="364564.47999999998"/>
    <x v="0"/>
    <x v="1"/>
  </r>
  <r>
    <s v="2025-02-11"/>
    <s v="Sri Balaji Home Appliances Supply"/>
    <x v="4"/>
    <s v="Top Load"/>
    <n v="21"/>
    <n v="83508"/>
    <n v="10"/>
    <n v="18"/>
    <n v="1862395.42"/>
    <x v="1"/>
    <x v="0"/>
  </r>
  <r>
    <s v="2025-02-04"/>
    <s v="Sri Balaji Home Appliances Supply"/>
    <x v="7"/>
    <s v="20L"/>
    <n v="2"/>
    <n v="62991"/>
    <n v="5"/>
    <n v="28"/>
    <n v="153194.10999999999"/>
    <x v="0"/>
    <x v="2"/>
  </r>
  <r>
    <s v="2025-06-11"/>
    <s v="Sri Balaji Home Appliances Supply"/>
    <x v="2"/>
    <s v="55 4K"/>
    <n v="35"/>
    <n v="67497"/>
    <n v="12"/>
    <n v="12"/>
    <n v="2328376.5099999998"/>
    <x v="2"/>
    <x v="1"/>
  </r>
  <r>
    <s v="2025-05-30"/>
    <s v="Sri Balaji Home Appliances Supply"/>
    <x v="2"/>
    <s v="55 4K"/>
    <n v="13"/>
    <n v="45062"/>
    <n v="12"/>
    <n v="12"/>
    <n v="577370.39"/>
    <x v="2"/>
    <x v="3"/>
  </r>
  <r>
    <s v="2025-06-25"/>
    <s v="Sri Balaji Home Appliances Supply"/>
    <x v="4"/>
    <s v="Front Load"/>
    <n v="25"/>
    <n v="63900"/>
    <n v="10"/>
    <n v="28"/>
    <n v="1840320"/>
    <x v="3"/>
    <x v="3"/>
  </r>
  <r>
    <s v="2025-02-13"/>
    <s v="Sri Balaji Home Appliances Supply"/>
    <x v="2"/>
    <s v="32 LED"/>
    <n v="37"/>
    <n v="60499"/>
    <n v="12"/>
    <n v="12"/>
    <n v="2206229.13"/>
    <x v="2"/>
    <x v="0"/>
  </r>
  <r>
    <s v="2025-03-27"/>
    <s v="Sri Balaji Home Appliances Supply"/>
    <x v="1"/>
    <s v="750W"/>
    <n v="11"/>
    <n v="17902"/>
    <n v="12"/>
    <n v="28"/>
    <n v="221812.94"/>
    <x v="2"/>
    <x v="2"/>
  </r>
  <r>
    <s v="2025-02-10"/>
    <s v="Sri Balaji Home Appliances Supply"/>
    <x v="1"/>
    <s v="750W"/>
    <n v="37"/>
    <n v="22152"/>
    <n v="10"/>
    <n v="28"/>
    <n v="944206.85"/>
    <x v="3"/>
    <x v="2"/>
  </r>
  <r>
    <s v="2025-01-15"/>
    <s v="Sri Balaji Home Appliances Supply"/>
    <x v="2"/>
    <s v="32 LED"/>
    <n v="28"/>
    <n v="40182"/>
    <n v="0"/>
    <n v="28"/>
    <n v="1440122.8799999999"/>
    <x v="2"/>
    <x v="1"/>
  </r>
  <r>
    <s v="2025-01-07"/>
    <s v="Sri Balaji Home Appliances Supply"/>
    <x v="3"/>
    <s v="260L"/>
    <n v="10"/>
    <n v="16368"/>
    <n v="0"/>
    <n v="18"/>
    <n v="193142.39999999999"/>
    <x v="0"/>
    <x v="3"/>
  </r>
  <r>
    <s v="2025-04-12"/>
    <s v="Sri Balaji Home Appliances Supply"/>
    <x v="1"/>
    <s v="500W"/>
    <n v="27"/>
    <n v="47731"/>
    <n v="12"/>
    <n v="18"/>
    <n v="1338224.5"/>
    <x v="1"/>
    <x v="2"/>
  </r>
  <r>
    <s v="2025-05-15"/>
    <s v="Sri Balaji Home Appliances Supply"/>
    <x v="7"/>
    <s v="20L"/>
    <n v="2"/>
    <n v="83585"/>
    <n v="10"/>
    <n v="28"/>
    <n v="192579.84"/>
    <x v="1"/>
    <x v="3"/>
  </r>
  <r>
    <s v="2025-03-15"/>
    <s v="Sri Balaji Home Appliances Supply"/>
    <x v="4"/>
    <s v="Top Load"/>
    <n v="3"/>
    <n v="3285"/>
    <n v="0"/>
    <n v="28"/>
    <n v="12614.4"/>
    <x v="0"/>
    <x v="3"/>
  </r>
  <r>
    <s v="2025-05-29"/>
    <s v="Sri Balaji Home Appliances Supply"/>
    <x v="0"/>
    <s v="1.5 Ton Inverter"/>
    <n v="3"/>
    <n v="45387"/>
    <n v="10"/>
    <n v="28"/>
    <n v="156857.47"/>
    <x v="2"/>
    <x v="3"/>
  </r>
  <r>
    <s v="2025-04-24"/>
    <s v="Sri Balaji Home Appliances Supply"/>
    <x v="2"/>
    <s v="43 Smart"/>
    <n v="7"/>
    <n v="66357"/>
    <n v="10"/>
    <n v="18"/>
    <n v="493297.94"/>
    <x v="1"/>
    <x v="3"/>
  </r>
  <r>
    <s v="2025-03-06"/>
    <s v="Sri Balaji Home Appliances Supply"/>
    <x v="3"/>
    <s v="190L"/>
    <n v="6"/>
    <n v="70011"/>
    <n v="5"/>
    <n v="28"/>
    <n v="510800.26"/>
    <x v="3"/>
    <x v="2"/>
  </r>
  <r>
    <s v="2025-06-20"/>
    <s v="Sri Balaji Home Appliances Supply"/>
    <x v="3"/>
    <s v="260L"/>
    <n v="36"/>
    <n v="76696"/>
    <n v="5"/>
    <n v="12"/>
    <n v="2937763.58"/>
    <x v="3"/>
    <x v="3"/>
  </r>
  <r>
    <s v="2025-06-18"/>
    <s v="Sri Balaji Home Appliances Supply"/>
    <x v="2"/>
    <s v="32 LED"/>
    <n v="31"/>
    <n v="81381"/>
    <n v="10"/>
    <n v="18"/>
    <n v="2679225.2799999998"/>
    <x v="3"/>
    <x v="3"/>
  </r>
  <r>
    <s v="2025-01-04"/>
    <s v="Sri Balaji Home Appliances Supply"/>
    <x v="4"/>
    <s v="Top Load"/>
    <n v="2"/>
    <n v="57423"/>
    <n v="5"/>
    <n v="28"/>
    <n v="139652.74"/>
    <x v="2"/>
    <x v="3"/>
  </r>
  <r>
    <s v="2025-02-20"/>
    <s v="Sri Balaji Home Appliances Supply"/>
    <x v="6"/>
    <s v="35L"/>
    <n v="5"/>
    <n v="10487"/>
    <n v="12"/>
    <n v="12"/>
    <n v="51679.94"/>
    <x v="3"/>
    <x v="1"/>
  </r>
  <r>
    <s v="2025-03-04"/>
    <s v="Sri Balaji Home Appliances Supply"/>
    <x v="5"/>
    <s v="1200mm"/>
    <n v="36"/>
    <n v="51961"/>
    <n v="12"/>
    <n v="28"/>
    <n v="2107039.33"/>
    <x v="1"/>
    <x v="2"/>
  </r>
  <r>
    <s v="2025-03-05"/>
    <s v="Sri Balaji Home Appliances Supply"/>
    <x v="1"/>
    <s v="750W"/>
    <n v="11"/>
    <n v="71468"/>
    <n v="0"/>
    <n v="18"/>
    <n v="927654.64"/>
    <x v="1"/>
    <x v="3"/>
  </r>
  <r>
    <s v="2025-05-20"/>
    <s v="Sri Balaji Home Appliances Supply"/>
    <x v="0"/>
    <s v="1 Ton Split"/>
    <n v="20"/>
    <n v="18897"/>
    <n v="5"/>
    <n v="12"/>
    <n v="402128.16"/>
    <x v="0"/>
    <x v="3"/>
  </r>
  <r>
    <s v="2025-02-25"/>
    <s v="Sri Balaji Home Appliances Supply"/>
    <x v="0"/>
    <s v="2 Ton"/>
    <n v="17"/>
    <n v="35207"/>
    <n v="12"/>
    <n v="12"/>
    <n v="589900.32999999996"/>
    <x v="0"/>
    <x v="0"/>
  </r>
  <r>
    <s v="2025-02-28"/>
    <s v="Sri Balaji Home Appliances Supply"/>
    <x v="5"/>
    <s v="1200mm"/>
    <n v="26"/>
    <n v="55181"/>
    <n v="12"/>
    <n v="12"/>
    <n v="1414046.23"/>
    <x v="3"/>
    <x v="3"/>
  </r>
  <r>
    <s v="2025-02-07"/>
    <s v="Sri Balaji Home Appliances Supply"/>
    <x v="4"/>
    <s v="Top Load"/>
    <n v="33"/>
    <n v="10037"/>
    <n v="0"/>
    <n v="28"/>
    <n v="423962.88"/>
    <x v="3"/>
    <x v="0"/>
  </r>
  <r>
    <s v="2025-04-03"/>
    <s v="Sri Balaji Home Appliances Supply"/>
    <x v="0"/>
    <s v="1.5 Ton Inverter"/>
    <n v="38"/>
    <n v="72663"/>
    <n v="0"/>
    <n v="12"/>
    <n v="3092537.28"/>
    <x v="0"/>
    <x v="3"/>
  </r>
  <r>
    <s v="2025-04-30"/>
    <s v="Sri Balaji Home Appliances Supply"/>
    <x v="4"/>
    <s v="Top Load"/>
    <n v="40"/>
    <n v="48158"/>
    <n v="10"/>
    <n v="18"/>
    <n v="2045751.84"/>
    <x v="3"/>
    <x v="3"/>
  </r>
  <r>
    <s v="2025-04-18"/>
    <s v="Sri Balaji Home Appliances Supply"/>
    <x v="7"/>
    <s v="28L"/>
    <n v="12"/>
    <n v="3866"/>
    <n v="0"/>
    <n v="12"/>
    <n v="51959.040000000001"/>
    <x v="1"/>
    <x v="3"/>
  </r>
  <r>
    <s v="2025-02-23"/>
    <s v="Sri Balaji Home Appliances Supply"/>
    <x v="6"/>
    <s v="35L"/>
    <n v="7"/>
    <n v="71411"/>
    <n v="0"/>
    <n v="28"/>
    <n v="639842.56000000006"/>
    <x v="1"/>
    <x v="1"/>
  </r>
  <r>
    <s v="2025-06-01"/>
    <s v="Sri Balaji Home Appliances Supply"/>
    <x v="0"/>
    <s v="2 Ton"/>
    <n v="25"/>
    <n v="84034"/>
    <n v="0"/>
    <n v="18"/>
    <n v="2479003"/>
    <x v="1"/>
    <x v="0"/>
  </r>
  <r>
    <s v="2025-02-10"/>
    <s v="Sri Balaji Home Appliances Supply"/>
    <x v="2"/>
    <s v="43 Smart"/>
    <n v="17"/>
    <n v="27621"/>
    <n v="5"/>
    <n v="12"/>
    <n v="499608.65"/>
    <x v="0"/>
    <x v="2"/>
  </r>
  <r>
    <s v="2025-05-08"/>
    <s v="Sri Balaji Home Appliances Supply"/>
    <x v="7"/>
    <s v="20L"/>
    <n v="9"/>
    <n v="49935"/>
    <n v="5"/>
    <n v="12"/>
    <n v="478177.56"/>
    <x v="0"/>
    <x v="3"/>
  </r>
  <r>
    <s v="2025-05-15"/>
    <s v="Sri Balaji Home Appliances Supply"/>
    <x v="0"/>
    <s v="2 Ton"/>
    <n v="28"/>
    <n v="40219"/>
    <n v="0"/>
    <n v="12"/>
    <n v="1261267.8400000001"/>
    <x v="3"/>
    <x v="3"/>
  </r>
  <r>
    <s v="2025-06-11"/>
    <s v="Sri Balaji Home Appliances Supply"/>
    <x v="5"/>
    <s v="1200mm"/>
    <n v="40"/>
    <n v="61016"/>
    <n v="0"/>
    <n v="28"/>
    <n v="3124019.2000000002"/>
    <x v="3"/>
    <x v="0"/>
  </r>
  <r>
    <s v="2025-04-12"/>
    <s v="Sri Balaji Home Appliances Supply"/>
    <x v="2"/>
    <s v="55 4K"/>
    <n v="24"/>
    <n v="19457"/>
    <n v="10"/>
    <n v="28"/>
    <n v="537947.14"/>
    <x v="1"/>
    <x v="1"/>
  </r>
  <r>
    <s v="2025-05-28"/>
    <s v="Sri Balaji Home Appliances Supply"/>
    <x v="0"/>
    <s v="1 Ton Split"/>
    <n v="36"/>
    <n v="24143"/>
    <n v="0"/>
    <n v="12"/>
    <n v="973445.76"/>
    <x v="1"/>
    <x v="0"/>
  </r>
  <r>
    <s v="2025-06-22"/>
    <s v="Sri Balaji Home Appliances Supply"/>
    <x v="3"/>
    <s v="260L"/>
    <n v="9"/>
    <n v="17081"/>
    <n v="0"/>
    <n v="28"/>
    <n v="196773.12"/>
    <x v="1"/>
    <x v="3"/>
  </r>
  <r>
    <s v="2025-01-07"/>
    <s v="Sri Balaji Home Appliances Supply"/>
    <x v="1"/>
    <s v="500W"/>
    <n v="33"/>
    <n v="20441"/>
    <n v="12"/>
    <n v="28"/>
    <n v="759816.5"/>
    <x v="0"/>
    <x v="0"/>
  </r>
  <r>
    <s v="2025-03-20"/>
    <s v="Sri Balaji Home Appliances Supply"/>
    <x v="7"/>
    <s v="20L"/>
    <n v="34"/>
    <n v="46110"/>
    <n v="5"/>
    <n v="28"/>
    <n v="1906371.84"/>
    <x v="0"/>
    <x v="2"/>
  </r>
  <r>
    <s v="2025-04-23"/>
    <s v="Sri Balaji Home Appliances Supply"/>
    <x v="1"/>
    <s v="500W"/>
    <n v="22"/>
    <n v="71050"/>
    <n v="0"/>
    <n v="18"/>
    <n v="1844458"/>
    <x v="1"/>
    <x v="2"/>
  </r>
  <r>
    <s v="2025-05-03"/>
    <s v="Sri Balaji Home Appliances Supply"/>
    <x v="1"/>
    <s v="500W"/>
    <n v="4"/>
    <n v="55539"/>
    <n v="12"/>
    <n v="18"/>
    <n v="230686.79"/>
    <x v="0"/>
    <x v="0"/>
  </r>
  <r>
    <s v="2025-06-24"/>
    <s v="Sri Balaji Home Appliances Supply"/>
    <x v="3"/>
    <s v="190L"/>
    <n v="8"/>
    <n v="17767"/>
    <n v="0"/>
    <n v="28"/>
    <n v="181934.07999999999"/>
    <x v="3"/>
    <x v="3"/>
  </r>
  <r>
    <s v="2025-03-03"/>
    <s v="Sri Balaji Home Appliances Supply"/>
    <x v="5"/>
    <s v="1200mm"/>
    <n v="10"/>
    <n v="78729"/>
    <n v="5"/>
    <n v="28"/>
    <n v="957344.64"/>
    <x v="0"/>
    <x v="3"/>
  </r>
  <r>
    <s v="2025-04-01"/>
    <s v="Sri Balaji Home Appliances Supply"/>
    <x v="0"/>
    <s v="2 Ton"/>
    <n v="29"/>
    <n v="81307"/>
    <n v="10"/>
    <n v="12"/>
    <n v="2376766.2200000002"/>
    <x v="1"/>
    <x v="3"/>
  </r>
  <r>
    <s v="2025-06-02"/>
    <s v="Sri Balaji Home Appliances Supply"/>
    <x v="4"/>
    <s v="Front Load"/>
    <n v="38"/>
    <n v="65037"/>
    <n v="10"/>
    <n v="12"/>
    <n v="2491177.25"/>
    <x v="3"/>
    <x v="3"/>
  </r>
  <r>
    <s v="2025-03-28"/>
    <s v="Sri Balaji Home Appliances Supply"/>
    <x v="6"/>
    <s v="35L"/>
    <n v="11"/>
    <n v="21870"/>
    <n v="0"/>
    <n v="28"/>
    <n v="307929.59999999998"/>
    <x v="1"/>
    <x v="3"/>
  </r>
  <r>
    <s v="2025-01-08"/>
    <s v="Sri Balaji Home Appliances Supply"/>
    <x v="6"/>
    <s v="35L"/>
    <n v="32"/>
    <n v="36292"/>
    <n v="0"/>
    <n v="18"/>
    <n v="1370385.92"/>
    <x v="0"/>
    <x v="0"/>
  </r>
  <r>
    <s v="2025-04-09"/>
    <s v="Sri Balaji Home Appliances Supply"/>
    <x v="3"/>
    <s v="190L"/>
    <n v="5"/>
    <n v="33488"/>
    <n v="10"/>
    <n v="18"/>
    <n v="177821.28"/>
    <x v="0"/>
    <x v="1"/>
  </r>
  <r>
    <s v="2025-03-04"/>
    <s v="Sri Balaji Home Appliances Supply"/>
    <x v="2"/>
    <s v="32 LED"/>
    <n v="29"/>
    <n v="69259"/>
    <n v="0"/>
    <n v="28"/>
    <n v="2570894.08"/>
    <x v="1"/>
    <x v="1"/>
  </r>
  <r>
    <s v="2025-03-26"/>
    <s v="Sri Balaji Home Appliances Supply"/>
    <x v="7"/>
    <s v="28L"/>
    <n v="28"/>
    <n v="67753"/>
    <n v="10"/>
    <n v="28"/>
    <n v="2185440.77"/>
    <x v="1"/>
    <x v="1"/>
  </r>
  <r>
    <s v="2025-01-22"/>
    <s v="Sri Balaji Home Appliances Supply"/>
    <x v="1"/>
    <s v="750W"/>
    <n v="9"/>
    <n v="33026"/>
    <n v="12"/>
    <n v="18"/>
    <n v="308647.78999999998"/>
    <x v="0"/>
    <x v="1"/>
  </r>
  <r>
    <s v="2025-04-17"/>
    <s v="Sri Balaji Home Appliances Supply"/>
    <x v="6"/>
    <s v="35L"/>
    <n v="16"/>
    <n v="22625"/>
    <n v="10"/>
    <n v="18"/>
    <n v="384444"/>
    <x v="0"/>
    <x v="2"/>
  </r>
  <r>
    <s v="2025-05-24"/>
    <s v="Sri Balaji Home Appliances Supply"/>
    <x v="0"/>
    <s v="1.5 Ton Inverter"/>
    <n v="4"/>
    <n v="16231"/>
    <n v="12"/>
    <n v="28"/>
    <n v="73130.39"/>
    <x v="3"/>
    <x v="2"/>
  </r>
  <r>
    <s v="2025-04-28"/>
    <s v="Sri Balaji Home Appliances Supply"/>
    <x v="4"/>
    <s v="Front Load"/>
    <n v="10"/>
    <n v="19949"/>
    <n v="0"/>
    <n v="12"/>
    <n v="223428.8"/>
    <x v="3"/>
    <x v="2"/>
  </r>
  <r>
    <s v="2025-04-26"/>
    <s v="Sri Balaji Home Appliances Supply"/>
    <x v="2"/>
    <s v="55 4K"/>
    <n v="38"/>
    <n v="25394"/>
    <n v="12"/>
    <n v="12"/>
    <n v="951076.4"/>
    <x v="1"/>
    <x v="0"/>
  </r>
</pivotCacheRecords>
</file>

<file path=xl/pivotCache/pivotCacheRecords2.xml><?xml version="1.0" encoding="utf-8"?>
<pivotCacheRecords xmlns="http://schemas.openxmlformats.org/spreadsheetml/2006/main" xmlns:r="http://schemas.openxmlformats.org/officeDocument/2006/relationships" count="1000">
  <r>
    <s v="2025-01-19"/>
    <s v="SUP006"/>
    <x v="0"/>
    <x v="0"/>
    <s v="28L"/>
    <n v="18"/>
    <n v="17139"/>
    <n v="12"/>
    <n v="12"/>
    <n v="304059.57"/>
    <x v="0"/>
    <x v="0"/>
    <d v="2025-01-23T00:00:00"/>
    <d v="2025-02-02T00:00:00"/>
    <n v="10"/>
    <x v="0"/>
  </r>
  <r>
    <s v="2025-06-06"/>
    <s v="SUP004"/>
    <x v="1"/>
    <x v="1"/>
    <s v="35L"/>
    <n v="37"/>
    <n v="13727"/>
    <n v="5"/>
    <n v="12"/>
    <n v="540404.54"/>
    <x v="1"/>
    <x v="0"/>
    <d v="2025-06-10T00:00:00"/>
    <d v="2025-06-17T00:00:00"/>
    <n v="7"/>
    <x v="0"/>
  </r>
  <r>
    <s v="2025-04-10"/>
    <s v="SUP002"/>
    <x v="2"/>
    <x v="2"/>
    <s v="43 Smart"/>
    <n v="26"/>
    <n v="57540"/>
    <n v="5"/>
    <n v="12"/>
    <n v="1591786.56"/>
    <x v="1"/>
    <x v="1"/>
    <d v="2025-04-19T00:00:00"/>
    <d v="2025-05-04T00:00:00"/>
    <n v="15"/>
    <x v="0"/>
  </r>
  <r>
    <s v="2025-05-19"/>
    <s v="SUP003"/>
    <x v="3"/>
    <x v="3"/>
    <s v="1200mm"/>
    <n v="38"/>
    <n v="19168"/>
    <n v="10"/>
    <n v="18"/>
    <n v="773543.81"/>
    <x v="0"/>
    <x v="0"/>
    <d v="2025-05-29T00:00:00"/>
    <d v="2025-06-05T00:00:00"/>
    <n v="7"/>
    <x v="0"/>
  </r>
  <r>
    <s v="2025-06-05"/>
    <s v="SUP003"/>
    <x v="3"/>
    <x v="0"/>
    <s v="20L"/>
    <n v="35"/>
    <n v="53467"/>
    <n v="0"/>
    <n v="18"/>
    <n v="2208187.1"/>
    <x v="1"/>
    <x v="2"/>
    <d v="2025-06-08T00:00:00"/>
    <d v="2025-06-10T00:00:00"/>
    <n v="2"/>
    <x v="1"/>
  </r>
  <r>
    <s v="2025-04-29"/>
    <s v="SUP002"/>
    <x v="2"/>
    <x v="4"/>
    <s v="1.5 Ton Inverter"/>
    <n v="37"/>
    <n v="55527"/>
    <n v="5"/>
    <n v="28"/>
    <n v="2498270.7799999998"/>
    <x v="2"/>
    <x v="3"/>
    <d v="2025-05-03T00:00:00"/>
    <d v="2025-05-12T00:00:00"/>
    <n v="9"/>
    <x v="0"/>
  </r>
  <r>
    <s v="2025-03-13"/>
    <s v="SUP002"/>
    <x v="2"/>
    <x v="2"/>
    <s v="32 LED"/>
    <n v="22"/>
    <n v="81078"/>
    <n v="0"/>
    <n v="18"/>
    <n v="2104784.88"/>
    <x v="0"/>
    <x v="0"/>
    <d v="2025-03-17T00:00:00"/>
    <d v="2025-03-31T00:00:00"/>
    <n v="14"/>
    <x v="0"/>
  </r>
  <r>
    <s v="2025-04-18"/>
    <s v="SUP005"/>
    <x v="4"/>
    <x v="0"/>
    <s v="28L"/>
    <n v="12"/>
    <n v="55448"/>
    <n v="12"/>
    <n v="18"/>
    <n v="690926.44"/>
    <x v="1"/>
    <x v="3"/>
    <d v="2025-04-21T00:00:00"/>
    <d v="2025-05-06T00:00:00"/>
    <n v="15"/>
    <x v="0"/>
  </r>
  <r>
    <s v="2025-02-28"/>
    <s v="SUP004"/>
    <x v="1"/>
    <x v="5"/>
    <s v="Front Load"/>
    <n v="22"/>
    <n v="42789"/>
    <n v="5"/>
    <n v="12"/>
    <n v="1001604.91"/>
    <x v="3"/>
    <x v="0"/>
    <d v="2025-03-08T00:00:00"/>
    <d v="2025-03-14T00:00:00"/>
    <n v="6"/>
    <x v="0"/>
  </r>
  <r>
    <s v="2025-05-10"/>
    <s v="SUP005"/>
    <x v="4"/>
    <x v="6"/>
    <s v="190L"/>
    <n v="27"/>
    <n v="16051"/>
    <n v="10"/>
    <n v="18"/>
    <n v="460246.37"/>
    <x v="3"/>
    <x v="2"/>
    <d v="2025-05-19T00:00:00"/>
    <d v="2025-05-27T00:00:00"/>
    <n v="8"/>
    <x v="0"/>
  </r>
  <r>
    <s v="2025-06-12"/>
    <s v="SUP005"/>
    <x v="4"/>
    <x v="5"/>
    <s v="Top Load"/>
    <n v="7"/>
    <n v="80059"/>
    <n v="0"/>
    <n v="18"/>
    <n v="661287.34"/>
    <x v="0"/>
    <x v="2"/>
    <d v="2025-06-20T00:00:00"/>
    <d v="2025-07-01T00:00:00"/>
    <n v="11"/>
    <x v="0"/>
  </r>
  <r>
    <s v="2025-04-15"/>
    <s v="SUP007"/>
    <x v="5"/>
    <x v="4"/>
    <s v="1.5 Ton Inverter"/>
    <n v="25"/>
    <n v="37947"/>
    <n v="10"/>
    <n v="18"/>
    <n v="1007492.85"/>
    <x v="3"/>
    <x v="2"/>
    <d v="2025-04-24T00:00:00"/>
    <d v="2025-04-26T00:00:00"/>
    <n v="2"/>
    <x v="1"/>
  </r>
  <r>
    <s v="2025-03-22"/>
    <s v="SUP002"/>
    <x v="2"/>
    <x v="2"/>
    <s v="43 Smart"/>
    <n v="30"/>
    <n v="62447"/>
    <n v="12"/>
    <n v="18"/>
    <n v="1945348.94"/>
    <x v="1"/>
    <x v="0"/>
    <d v="2025-03-30T00:00:00"/>
    <d v="2025-04-01T00:00:00"/>
    <n v="2"/>
    <x v="1"/>
  </r>
  <r>
    <s v="2025-04-08"/>
    <s v="SUP002"/>
    <x v="2"/>
    <x v="1"/>
    <s v="35L"/>
    <n v="19"/>
    <n v="63882"/>
    <n v="10"/>
    <n v="18"/>
    <n v="1289011"/>
    <x v="0"/>
    <x v="3"/>
    <d v="2025-04-15T00:00:00"/>
    <d v="2025-04-24T00:00:00"/>
    <n v="9"/>
    <x v="0"/>
  </r>
  <r>
    <s v="2025-02-28"/>
    <s v="SUP005"/>
    <x v="4"/>
    <x v="4"/>
    <s v="2 Ton"/>
    <n v="35"/>
    <n v="46782"/>
    <n v="5"/>
    <n v="18"/>
    <n v="1835491.77"/>
    <x v="3"/>
    <x v="0"/>
    <d v="2025-03-10T00:00:00"/>
    <d v="2025-03-14T00:00:00"/>
    <n v="4"/>
    <x v="0"/>
  </r>
  <r>
    <s v="2025-05-16"/>
    <s v="SUP001"/>
    <x v="6"/>
    <x v="6"/>
    <s v="260L"/>
    <n v="2"/>
    <n v="71747"/>
    <n v="0"/>
    <n v="18"/>
    <n v="169322.92"/>
    <x v="3"/>
    <x v="3"/>
    <d v="2025-05-23T00:00:00"/>
    <d v="2025-05-23T00:00:00"/>
    <n v="0"/>
    <x v="2"/>
  </r>
  <r>
    <s v="2025-02-15"/>
    <s v="SUP007"/>
    <x v="5"/>
    <x v="6"/>
    <s v="260L"/>
    <n v="33"/>
    <n v="84360"/>
    <n v="5"/>
    <n v="28"/>
    <n v="3385198.08"/>
    <x v="1"/>
    <x v="2"/>
    <d v="2025-02-23T00:00:00"/>
    <d v="2025-03-06T00:00:00"/>
    <n v="11"/>
    <x v="0"/>
  </r>
  <r>
    <s v="2025-05-16"/>
    <s v="SUP003"/>
    <x v="3"/>
    <x v="0"/>
    <s v="28L"/>
    <n v="39"/>
    <n v="66602"/>
    <n v="5"/>
    <n v="18"/>
    <n v="2911772.84"/>
    <x v="1"/>
    <x v="1"/>
    <d v="2025-05-26T00:00:00"/>
    <d v="2025-06-08T00:00:00"/>
    <n v="13"/>
    <x v="0"/>
  </r>
  <r>
    <s v="2025-02-15"/>
    <s v="SUP001"/>
    <x v="6"/>
    <x v="2"/>
    <s v="43 Smart"/>
    <n v="8"/>
    <n v="71933"/>
    <n v="12"/>
    <n v="12"/>
    <n v="567177.31999999995"/>
    <x v="2"/>
    <x v="3"/>
    <d v="2025-02-19T00:00:00"/>
    <d v="2025-03-03T00:00:00"/>
    <n v="12"/>
    <x v="0"/>
  </r>
  <r>
    <s v="2025-04-19"/>
    <s v="SUP005"/>
    <x v="4"/>
    <x v="7"/>
    <s v="750W"/>
    <n v="40"/>
    <n v="72709"/>
    <n v="0"/>
    <n v="12"/>
    <n v="3257363.2"/>
    <x v="0"/>
    <x v="1"/>
    <d v="2025-04-29T00:00:00"/>
    <d v="2025-05-02T00:00:00"/>
    <n v="3"/>
    <x v="1"/>
  </r>
  <r>
    <s v="2025-02-24"/>
    <s v="SUP004"/>
    <x v="1"/>
    <x v="5"/>
    <s v="Top Load"/>
    <n v="25"/>
    <n v="64538"/>
    <n v="5"/>
    <n v="12"/>
    <n v="1716710.8"/>
    <x v="3"/>
    <x v="1"/>
    <d v="2025-03-05T00:00:00"/>
    <d v="2025-03-20T00:00:00"/>
    <n v="15"/>
    <x v="0"/>
  </r>
  <r>
    <s v="2025-03-20"/>
    <s v="SUP005"/>
    <x v="4"/>
    <x v="0"/>
    <s v="20L"/>
    <n v="26"/>
    <n v="60322"/>
    <n v="12"/>
    <n v="18"/>
    <n v="1628597.48"/>
    <x v="3"/>
    <x v="1"/>
    <d v="2025-03-29T00:00:00"/>
    <d v="2025-04-06T00:00:00"/>
    <n v="8"/>
    <x v="0"/>
  </r>
  <r>
    <s v="2025-01-31"/>
    <s v="SUP003"/>
    <x v="3"/>
    <x v="6"/>
    <s v="260L"/>
    <n v="30"/>
    <n v="29495"/>
    <n v="5"/>
    <n v="28"/>
    <n v="1075977.6000000001"/>
    <x v="2"/>
    <x v="2"/>
    <d v="2025-02-09T00:00:00"/>
    <d v="2025-02-24T00:00:00"/>
    <n v="15"/>
    <x v="0"/>
  </r>
  <r>
    <s v="2025-05-26"/>
    <s v="SUP006"/>
    <x v="0"/>
    <x v="5"/>
    <s v="Top Load"/>
    <n v="34"/>
    <n v="7158"/>
    <n v="5"/>
    <n v="12"/>
    <n v="258947.81"/>
    <x v="3"/>
    <x v="0"/>
    <d v="2025-05-29T00:00:00"/>
    <d v="2025-06-05T00:00:00"/>
    <n v="7"/>
    <x v="0"/>
  </r>
  <r>
    <s v="2025-01-12"/>
    <s v="SUP001"/>
    <x v="6"/>
    <x v="2"/>
    <s v="32 LED"/>
    <n v="10"/>
    <n v="53778"/>
    <n v="12"/>
    <n v="28"/>
    <n v="605755.39"/>
    <x v="3"/>
    <x v="1"/>
    <d v="2025-01-17T00:00:00"/>
    <d v="2025-01-18T00:00:00"/>
    <n v="1"/>
    <x v="1"/>
  </r>
  <r>
    <s v="2025-05-23"/>
    <s v="SUP008"/>
    <x v="7"/>
    <x v="4"/>
    <s v="2 Ton"/>
    <n v="15"/>
    <n v="72668"/>
    <n v="10"/>
    <n v="12"/>
    <n v="1098740.1599999999"/>
    <x v="1"/>
    <x v="0"/>
    <d v="2025-05-27T00:00:00"/>
    <d v="2025-06-09T00:00:00"/>
    <n v="13"/>
    <x v="0"/>
  </r>
  <r>
    <s v="2025-03-08"/>
    <s v="SUP003"/>
    <x v="3"/>
    <x v="4"/>
    <s v="2 Ton"/>
    <n v="28"/>
    <n v="13943"/>
    <n v="5"/>
    <n v="28"/>
    <n v="474731.26"/>
    <x v="3"/>
    <x v="0"/>
    <d v="2025-03-18T00:00:00"/>
    <d v="2025-03-22T00:00:00"/>
    <n v="4"/>
    <x v="0"/>
  </r>
  <r>
    <s v="2025-02-13"/>
    <s v="SUP004"/>
    <x v="1"/>
    <x v="6"/>
    <s v="260L"/>
    <n v="34"/>
    <n v="16768"/>
    <n v="5"/>
    <n v="18"/>
    <n v="639095.55000000005"/>
    <x v="3"/>
    <x v="1"/>
    <d v="2025-02-23T00:00:00"/>
    <d v="2025-03-02T00:00:00"/>
    <n v="7"/>
    <x v="0"/>
  </r>
  <r>
    <s v="2025-02-18"/>
    <s v="SUP001"/>
    <x v="6"/>
    <x v="4"/>
    <s v="1.5 Ton Inverter"/>
    <n v="23"/>
    <n v="8177"/>
    <n v="10"/>
    <n v="12"/>
    <n v="189575.57"/>
    <x v="0"/>
    <x v="1"/>
    <d v="2025-02-22T00:00:00"/>
    <d v="2025-03-08T00:00:00"/>
    <n v="14"/>
    <x v="0"/>
  </r>
  <r>
    <s v="2025-06-26"/>
    <s v="SUP001"/>
    <x v="6"/>
    <x v="6"/>
    <s v="190L"/>
    <n v="24"/>
    <n v="33280"/>
    <n v="5"/>
    <n v="12"/>
    <n v="849838.07999999996"/>
    <x v="1"/>
    <x v="2"/>
    <d v="2025-07-06T00:00:00"/>
    <d v="2025-07-14T00:00:00"/>
    <n v="8"/>
    <x v="0"/>
  </r>
  <r>
    <s v="2025-01-15"/>
    <s v="SUP006"/>
    <x v="0"/>
    <x v="2"/>
    <s v="55 4K"/>
    <n v="35"/>
    <n v="45126"/>
    <n v="5"/>
    <n v="18"/>
    <n v="1770518.61"/>
    <x v="1"/>
    <x v="0"/>
    <d v="2025-01-24T00:00:00"/>
    <d v="2025-02-02T00:00:00"/>
    <n v="9"/>
    <x v="0"/>
  </r>
  <r>
    <s v="2025-03-13"/>
    <s v="SUP003"/>
    <x v="3"/>
    <x v="4"/>
    <s v="2 Ton"/>
    <n v="18"/>
    <n v="30226"/>
    <n v="12"/>
    <n v="28"/>
    <n v="612838.19999999995"/>
    <x v="3"/>
    <x v="3"/>
    <d v="2025-03-23T00:00:00"/>
    <d v="2025-04-04T00:00:00"/>
    <n v="12"/>
    <x v="0"/>
  </r>
  <r>
    <s v="2025-03-22"/>
    <s v="SUP004"/>
    <x v="1"/>
    <x v="4"/>
    <s v="1 Ton Split"/>
    <n v="26"/>
    <n v="13170"/>
    <n v="5"/>
    <n v="12"/>
    <n v="364334.88"/>
    <x v="0"/>
    <x v="1"/>
    <d v="2025-03-31T00:00:00"/>
    <d v="2025-04-06T00:00:00"/>
    <n v="6"/>
    <x v="0"/>
  </r>
  <r>
    <s v="2025-06-22"/>
    <s v="SUP006"/>
    <x v="0"/>
    <x v="0"/>
    <s v="20L"/>
    <n v="5"/>
    <n v="11310"/>
    <n v="0"/>
    <n v="28"/>
    <n v="72384"/>
    <x v="3"/>
    <x v="0"/>
    <d v="2025-06-29T00:00:00"/>
    <d v="2025-07-07T00:00:00"/>
    <n v="8"/>
    <x v="0"/>
  </r>
  <r>
    <s v="2025-01-21"/>
    <s v="SUP009"/>
    <x v="8"/>
    <x v="2"/>
    <s v="43 Smart"/>
    <n v="10"/>
    <n v="28628"/>
    <n v="5"/>
    <n v="18"/>
    <n v="320919.88"/>
    <x v="2"/>
    <x v="1"/>
    <d v="2025-01-24T00:00:00"/>
    <d v="2025-01-25T00:00:00"/>
    <n v="1"/>
    <x v="1"/>
  </r>
  <r>
    <s v="2025-03-30"/>
    <s v="SUP005"/>
    <x v="4"/>
    <x v="6"/>
    <s v="260L"/>
    <n v="34"/>
    <n v="71900"/>
    <n v="12"/>
    <n v="28"/>
    <n v="2753597.4399999999"/>
    <x v="1"/>
    <x v="3"/>
    <d v="2025-04-04T00:00:00"/>
    <d v="2025-04-18T00:00:00"/>
    <n v="14"/>
    <x v="0"/>
  </r>
  <r>
    <s v="2025-06-29"/>
    <s v="SUP002"/>
    <x v="2"/>
    <x v="4"/>
    <s v="1 Ton Split"/>
    <n v="24"/>
    <n v="13259"/>
    <n v="5"/>
    <n v="12"/>
    <n v="338581.82"/>
    <x v="2"/>
    <x v="2"/>
    <d v="2025-07-09T00:00:00"/>
    <d v="2025-07-20T00:00:00"/>
    <n v="11"/>
    <x v="0"/>
  </r>
  <r>
    <s v="2025-02-07"/>
    <s v="SUP008"/>
    <x v="7"/>
    <x v="0"/>
    <s v="28L"/>
    <n v="29"/>
    <n v="14327"/>
    <n v="0"/>
    <n v="12"/>
    <n v="465340.96"/>
    <x v="2"/>
    <x v="3"/>
    <d v="2025-02-13T00:00:00"/>
    <d v="2025-02-21T00:00:00"/>
    <n v="8"/>
    <x v="0"/>
  </r>
  <r>
    <s v="2025-04-22"/>
    <s v="SUP004"/>
    <x v="1"/>
    <x v="4"/>
    <s v="1.5 Ton Inverter"/>
    <n v="39"/>
    <n v="70401"/>
    <n v="10"/>
    <n v="28"/>
    <n v="3162976.13"/>
    <x v="1"/>
    <x v="1"/>
    <d v="2025-05-02T00:00:00"/>
    <d v="2025-05-16T00:00:00"/>
    <n v="14"/>
    <x v="0"/>
  </r>
  <r>
    <s v="2025-02-15"/>
    <s v="SUP008"/>
    <x v="7"/>
    <x v="6"/>
    <s v="190L"/>
    <n v="1"/>
    <n v="66276"/>
    <n v="10"/>
    <n v="28"/>
    <n v="76349.95"/>
    <x v="1"/>
    <x v="3"/>
    <d v="2025-02-25T00:00:00"/>
    <d v="2025-03-10T00:00:00"/>
    <n v="13"/>
    <x v="0"/>
  </r>
  <r>
    <s v="2025-04-11"/>
    <s v="SUP003"/>
    <x v="3"/>
    <x v="6"/>
    <s v="260L"/>
    <n v="38"/>
    <n v="66892"/>
    <n v="10"/>
    <n v="12"/>
    <n v="2562231.17"/>
    <x v="1"/>
    <x v="3"/>
    <d v="2025-04-14T00:00:00"/>
    <d v="2025-04-23T00:00:00"/>
    <n v="9"/>
    <x v="0"/>
  </r>
  <r>
    <s v="2025-05-20"/>
    <s v="SUP005"/>
    <x v="4"/>
    <x v="6"/>
    <s v="190L"/>
    <n v="21"/>
    <n v="81608"/>
    <n v="0"/>
    <n v="18"/>
    <n v="2022246.24"/>
    <x v="0"/>
    <x v="0"/>
    <d v="2025-05-28T00:00:00"/>
    <d v="2025-06-11T00:00:00"/>
    <n v="14"/>
    <x v="0"/>
  </r>
  <r>
    <s v="2025-05-25"/>
    <s v="SUP001"/>
    <x v="6"/>
    <x v="5"/>
    <s v="Top Load"/>
    <n v="14"/>
    <n v="62631"/>
    <n v="10"/>
    <n v="28"/>
    <n v="1010112.77"/>
    <x v="2"/>
    <x v="1"/>
    <d v="2025-05-29T00:00:00"/>
    <d v="2025-06-12T00:00:00"/>
    <n v="14"/>
    <x v="0"/>
  </r>
  <r>
    <s v="2025-05-16"/>
    <s v="SUP002"/>
    <x v="2"/>
    <x v="6"/>
    <s v="260L"/>
    <n v="17"/>
    <n v="34512"/>
    <n v="10"/>
    <n v="12"/>
    <n v="591397.63"/>
    <x v="3"/>
    <x v="1"/>
    <d v="2025-05-23T00:00:00"/>
    <d v="2025-06-06T00:00:00"/>
    <n v="14"/>
    <x v="0"/>
  </r>
  <r>
    <s v="2025-06-18"/>
    <s v="SUP005"/>
    <x v="4"/>
    <x v="6"/>
    <s v="260L"/>
    <n v="38"/>
    <n v="11365"/>
    <n v="0"/>
    <n v="12"/>
    <n v="483694.4"/>
    <x v="3"/>
    <x v="2"/>
    <d v="2025-06-23T00:00:00"/>
    <d v="2025-07-06T00:00:00"/>
    <n v="13"/>
    <x v="0"/>
  </r>
  <r>
    <s v="2025-02-04"/>
    <s v="SUP008"/>
    <x v="7"/>
    <x v="5"/>
    <s v="Top Load"/>
    <n v="9"/>
    <n v="34094"/>
    <n v="0"/>
    <n v="18"/>
    <n v="362078.28"/>
    <x v="1"/>
    <x v="3"/>
    <d v="2025-02-14T00:00:00"/>
    <d v="2025-02-16T00:00:00"/>
    <n v="2"/>
    <x v="1"/>
  </r>
  <r>
    <s v="2025-01-26"/>
    <s v="SUP006"/>
    <x v="0"/>
    <x v="4"/>
    <s v="2 Ton"/>
    <n v="22"/>
    <n v="14084"/>
    <n v="10"/>
    <n v="28"/>
    <n v="356944.9"/>
    <x v="0"/>
    <x v="0"/>
    <d v="2025-02-02T00:00:00"/>
    <d v="2025-02-17T00:00:00"/>
    <n v="15"/>
    <x v="0"/>
  </r>
  <r>
    <s v="2025-04-11"/>
    <s v="SUP005"/>
    <x v="4"/>
    <x v="2"/>
    <s v="32 LED"/>
    <n v="2"/>
    <n v="30110"/>
    <n v="12"/>
    <n v="28"/>
    <n v="67831.81"/>
    <x v="0"/>
    <x v="2"/>
    <d v="2025-04-19T00:00:00"/>
    <d v="2025-04-22T00:00:00"/>
    <n v="3"/>
    <x v="1"/>
  </r>
  <r>
    <s v="2025-03-05"/>
    <s v="SUP004"/>
    <x v="1"/>
    <x v="7"/>
    <s v="500W"/>
    <n v="20"/>
    <n v="72369"/>
    <n v="10"/>
    <n v="28"/>
    <n v="1667381.76"/>
    <x v="0"/>
    <x v="3"/>
    <d v="2025-03-11T00:00:00"/>
    <d v="2025-03-24T00:00:00"/>
    <n v="13"/>
    <x v="0"/>
  </r>
  <r>
    <s v="2025-05-11"/>
    <s v="SUP005"/>
    <x v="4"/>
    <x v="2"/>
    <s v="43 Smart"/>
    <n v="19"/>
    <n v="73255"/>
    <n v="10"/>
    <n v="18"/>
    <n v="1478139.39"/>
    <x v="1"/>
    <x v="3"/>
    <d v="2025-05-16T00:00:00"/>
    <d v="2025-05-30T00:00:00"/>
    <n v="14"/>
    <x v="0"/>
  </r>
  <r>
    <s v="2025-05-20"/>
    <s v="SUP004"/>
    <x v="1"/>
    <x v="4"/>
    <s v="1 Ton Split"/>
    <n v="19"/>
    <n v="41210"/>
    <n v="5"/>
    <n v="12"/>
    <n v="833101.36"/>
    <x v="2"/>
    <x v="1"/>
    <d v="2025-05-23T00:00:00"/>
    <d v="2025-05-25T00:00:00"/>
    <n v="2"/>
    <x v="1"/>
  </r>
  <r>
    <s v="2025-05-01"/>
    <s v="SUP006"/>
    <x v="0"/>
    <x v="4"/>
    <s v="1 Ton Split"/>
    <n v="10"/>
    <n v="22566"/>
    <n v="12"/>
    <n v="18"/>
    <n v="234325.34"/>
    <x v="1"/>
    <x v="3"/>
    <d v="2025-05-04T00:00:00"/>
    <d v="2025-05-18T00:00:00"/>
    <n v="14"/>
    <x v="0"/>
  </r>
  <r>
    <s v="2025-06-04"/>
    <s v="SUP009"/>
    <x v="8"/>
    <x v="4"/>
    <s v="1 Ton Split"/>
    <n v="2"/>
    <n v="59646"/>
    <n v="10"/>
    <n v="18"/>
    <n v="126688.1"/>
    <x v="1"/>
    <x v="2"/>
    <d v="2025-06-08T00:00:00"/>
    <d v="2025-06-14T00:00:00"/>
    <n v="6"/>
    <x v="0"/>
  </r>
  <r>
    <s v="2025-03-27"/>
    <s v="SUP007"/>
    <x v="5"/>
    <x v="2"/>
    <s v="32 LED"/>
    <n v="20"/>
    <n v="83570"/>
    <n v="10"/>
    <n v="28"/>
    <n v="1925452.8"/>
    <x v="3"/>
    <x v="1"/>
    <d v="2025-04-02T00:00:00"/>
    <d v="2025-04-05T00:00:00"/>
    <n v="3"/>
    <x v="1"/>
  </r>
  <r>
    <s v="2025-05-12"/>
    <s v="SUP003"/>
    <x v="3"/>
    <x v="7"/>
    <s v="500W"/>
    <n v="18"/>
    <n v="70713"/>
    <n v="10"/>
    <n v="12"/>
    <n v="1283016.67"/>
    <x v="0"/>
    <x v="2"/>
    <d v="2025-05-15T00:00:00"/>
    <d v="2025-05-23T00:00:00"/>
    <n v="8"/>
    <x v="0"/>
  </r>
  <r>
    <s v="2025-03-07"/>
    <s v="SUP009"/>
    <x v="8"/>
    <x v="0"/>
    <s v="28L"/>
    <n v="37"/>
    <n v="32230"/>
    <n v="12"/>
    <n v="18"/>
    <n v="1238302.3799999999"/>
    <x v="3"/>
    <x v="1"/>
    <d v="2025-03-15T00:00:00"/>
    <d v="2025-03-19T00:00:00"/>
    <n v="4"/>
    <x v="0"/>
  </r>
  <r>
    <s v="2025-03-13"/>
    <s v="SUP008"/>
    <x v="7"/>
    <x v="2"/>
    <s v="55 4K"/>
    <n v="16"/>
    <n v="75262"/>
    <n v="12"/>
    <n v="18"/>
    <n v="1250432.97"/>
    <x v="3"/>
    <x v="3"/>
    <d v="2025-03-16T00:00:00"/>
    <d v="2025-03-26T00:00:00"/>
    <n v="10"/>
    <x v="0"/>
  </r>
  <r>
    <s v="2025-04-01"/>
    <s v="SUP005"/>
    <x v="4"/>
    <x v="2"/>
    <s v="55 4K"/>
    <n v="1"/>
    <n v="6839"/>
    <n v="12"/>
    <n v="18"/>
    <n v="7101.62"/>
    <x v="1"/>
    <x v="2"/>
    <d v="2025-04-11T00:00:00"/>
    <d v="2025-04-15T00:00:00"/>
    <n v="4"/>
    <x v="0"/>
  </r>
  <r>
    <s v="2025-04-07"/>
    <s v="SUP001"/>
    <x v="6"/>
    <x v="4"/>
    <s v="1 Ton Split"/>
    <n v="4"/>
    <n v="56863"/>
    <n v="0"/>
    <n v="28"/>
    <n v="291138.56"/>
    <x v="1"/>
    <x v="1"/>
    <d v="2025-04-13T00:00:00"/>
    <d v="2025-04-28T00:00:00"/>
    <n v="15"/>
    <x v="0"/>
  </r>
  <r>
    <s v="2025-03-03"/>
    <s v="SUP001"/>
    <x v="6"/>
    <x v="7"/>
    <s v="500W"/>
    <n v="26"/>
    <n v="60805"/>
    <n v="5"/>
    <n v="12"/>
    <n v="1682109.52"/>
    <x v="1"/>
    <x v="1"/>
    <d v="2025-03-08T00:00:00"/>
    <d v="2025-03-17T00:00:00"/>
    <n v="9"/>
    <x v="0"/>
  </r>
  <r>
    <s v="2025-03-21"/>
    <s v="SUP007"/>
    <x v="5"/>
    <x v="0"/>
    <s v="28L"/>
    <n v="37"/>
    <n v="43772"/>
    <n v="0"/>
    <n v="28"/>
    <n v="2073041.9199999999"/>
    <x v="2"/>
    <x v="1"/>
    <d v="2025-03-25T00:00:00"/>
    <d v="2025-04-07T00:00:00"/>
    <n v="13"/>
    <x v="0"/>
  </r>
  <r>
    <s v="2025-01-10"/>
    <s v="SUP001"/>
    <x v="6"/>
    <x v="0"/>
    <s v="20L"/>
    <n v="10"/>
    <n v="64161"/>
    <n v="10"/>
    <n v="12"/>
    <n v="646742.88"/>
    <x v="1"/>
    <x v="3"/>
    <d v="2025-01-15T00:00:00"/>
    <d v="2025-01-19T00:00:00"/>
    <n v="4"/>
    <x v="0"/>
  </r>
  <r>
    <s v="2025-03-03"/>
    <s v="SUP008"/>
    <x v="7"/>
    <x v="6"/>
    <s v="260L"/>
    <n v="33"/>
    <n v="32801"/>
    <n v="10"/>
    <n v="28"/>
    <n v="1246962.82"/>
    <x v="2"/>
    <x v="2"/>
    <d v="2025-03-10T00:00:00"/>
    <d v="2025-03-23T00:00:00"/>
    <n v="13"/>
    <x v="0"/>
  </r>
  <r>
    <s v="2025-03-14"/>
    <s v="SUP009"/>
    <x v="8"/>
    <x v="0"/>
    <s v="28L"/>
    <n v="4"/>
    <n v="26781"/>
    <n v="12"/>
    <n v="18"/>
    <n v="111237.56"/>
    <x v="1"/>
    <x v="3"/>
    <d v="2025-03-23T00:00:00"/>
    <d v="2025-03-27T00:00:00"/>
    <n v="4"/>
    <x v="0"/>
  </r>
  <r>
    <s v="2025-04-30"/>
    <s v="SUP001"/>
    <x v="6"/>
    <x v="2"/>
    <s v="43 Smart"/>
    <n v="6"/>
    <n v="31973"/>
    <n v="0"/>
    <n v="12"/>
    <n v="214858.56"/>
    <x v="1"/>
    <x v="0"/>
    <d v="2025-05-06T00:00:00"/>
    <d v="2025-05-18T00:00:00"/>
    <n v="12"/>
    <x v="0"/>
  </r>
  <r>
    <s v="2025-04-23"/>
    <s v="SUP004"/>
    <x v="1"/>
    <x v="4"/>
    <s v="1.5 Ton Inverter"/>
    <n v="11"/>
    <n v="7729"/>
    <n v="10"/>
    <n v="28"/>
    <n v="97941.89"/>
    <x v="0"/>
    <x v="3"/>
    <d v="2025-04-26T00:00:00"/>
    <d v="2025-04-29T00:00:00"/>
    <n v="3"/>
    <x v="1"/>
  </r>
  <r>
    <s v="2025-04-03"/>
    <s v="SUP003"/>
    <x v="3"/>
    <x v="6"/>
    <s v="260L"/>
    <n v="4"/>
    <n v="45017"/>
    <n v="0"/>
    <n v="28"/>
    <n v="230487.04000000001"/>
    <x v="3"/>
    <x v="2"/>
    <d v="2025-04-12T00:00:00"/>
    <d v="2025-04-14T00:00:00"/>
    <n v="2"/>
    <x v="1"/>
  </r>
  <r>
    <s v="2025-03-26"/>
    <s v="SUP003"/>
    <x v="3"/>
    <x v="6"/>
    <s v="190L"/>
    <n v="3"/>
    <n v="5370"/>
    <n v="12"/>
    <n v="18"/>
    <n v="16728.62"/>
    <x v="1"/>
    <x v="2"/>
    <d v="2025-03-29T00:00:00"/>
    <d v="2025-04-09T00:00:00"/>
    <n v="11"/>
    <x v="0"/>
  </r>
  <r>
    <s v="2025-02-17"/>
    <s v="SUP008"/>
    <x v="7"/>
    <x v="6"/>
    <s v="260L"/>
    <n v="17"/>
    <n v="17652"/>
    <n v="10"/>
    <n v="18"/>
    <n v="318689.21000000002"/>
    <x v="2"/>
    <x v="1"/>
    <d v="2025-02-25T00:00:00"/>
    <d v="2025-02-25T00:00:00"/>
    <n v="0"/>
    <x v="2"/>
  </r>
  <r>
    <s v="2025-05-01"/>
    <s v="SUP001"/>
    <x v="6"/>
    <x v="7"/>
    <s v="750W"/>
    <n v="13"/>
    <n v="33541"/>
    <n v="10"/>
    <n v="18"/>
    <n v="463067.05"/>
    <x v="2"/>
    <x v="3"/>
    <d v="2025-05-04T00:00:00"/>
    <d v="2025-05-19T00:00:00"/>
    <n v="15"/>
    <x v="0"/>
  </r>
  <r>
    <s v="2025-05-16"/>
    <s v="SUP002"/>
    <x v="2"/>
    <x v="0"/>
    <s v="28L"/>
    <n v="17"/>
    <n v="63413"/>
    <n v="12"/>
    <n v="18"/>
    <n v="1119417.01"/>
    <x v="1"/>
    <x v="0"/>
    <d v="2025-05-24T00:00:00"/>
    <d v="2025-06-02T00:00:00"/>
    <n v="9"/>
    <x v="0"/>
  </r>
  <r>
    <s v="2025-06-18"/>
    <s v="SUP004"/>
    <x v="1"/>
    <x v="4"/>
    <s v="2 Ton"/>
    <n v="1"/>
    <n v="30627"/>
    <n v="10"/>
    <n v="28"/>
    <n v="35282.300000000003"/>
    <x v="1"/>
    <x v="1"/>
    <d v="2025-06-28T00:00:00"/>
    <d v="2025-07-08T00:00:00"/>
    <n v="10"/>
    <x v="0"/>
  </r>
  <r>
    <s v="2025-04-16"/>
    <s v="SUP001"/>
    <x v="6"/>
    <x v="1"/>
    <s v="35L"/>
    <n v="18"/>
    <n v="37475"/>
    <n v="10"/>
    <n v="18"/>
    <n v="716372.1"/>
    <x v="3"/>
    <x v="0"/>
    <d v="2025-04-20T00:00:00"/>
    <d v="2025-05-05T00:00:00"/>
    <n v="15"/>
    <x v="0"/>
  </r>
  <r>
    <s v="2025-03-10"/>
    <s v="SUP004"/>
    <x v="1"/>
    <x v="2"/>
    <s v="55 4K"/>
    <n v="1"/>
    <n v="84604"/>
    <n v="5"/>
    <n v="12"/>
    <n v="90018.66"/>
    <x v="0"/>
    <x v="1"/>
    <d v="2025-03-20T00:00:00"/>
    <d v="2025-03-25T00:00:00"/>
    <n v="5"/>
    <x v="0"/>
  </r>
  <r>
    <s v="2025-05-21"/>
    <s v="SUP007"/>
    <x v="5"/>
    <x v="4"/>
    <s v="2 Ton"/>
    <n v="5"/>
    <n v="68873"/>
    <n v="12"/>
    <n v="12"/>
    <n v="339406.14"/>
    <x v="0"/>
    <x v="0"/>
    <d v="2025-05-26T00:00:00"/>
    <d v="2025-06-01T00:00:00"/>
    <n v="6"/>
    <x v="0"/>
  </r>
  <r>
    <s v="2025-01-03"/>
    <s v="SUP007"/>
    <x v="5"/>
    <x v="5"/>
    <s v="Front Load"/>
    <n v="37"/>
    <n v="42100"/>
    <n v="12"/>
    <n v="18"/>
    <n v="1617515.68"/>
    <x v="2"/>
    <x v="0"/>
    <d v="2025-01-12T00:00:00"/>
    <d v="2025-01-22T00:00:00"/>
    <n v="10"/>
    <x v="0"/>
  </r>
  <r>
    <s v="2025-01-31"/>
    <s v="SUP003"/>
    <x v="3"/>
    <x v="7"/>
    <s v="500W"/>
    <n v="30"/>
    <n v="54119"/>
    <n v="10"/>
    <n v="18"/>
    <n v="1724231.34"/>
    <x v="0"/>
    <x v="2"/>
    <d v="2025-02-10T00:00:00"/>
    <d v="2025-02-17T00:00:00"/>
    <n v="7"/>
    <x v="0"/>
  </r>
  <r>
    <s v="2025-03-19"/>
    <s v="SUP009"/>
    <x v="8"/>
    <x v="6"/>
    <s v="190L"/>
    <n v="32"/>
    <n v="34647"/>
    <n v="12"/>
    <n v="12"/>
    <n v="1092738.6599999999"/>
    <x v="3"/>
    <x v="3"/>
    <d v="2025-03-23T00:00:00"/>
    <d v="2025-04-04T00:00:00"/>
    <n v="12"/>
    <x v="0"/>
  </r>
  <r>
    <s v="2025-04-19"/>
    <s v="SUP003"/>
    <x v="3"/>
    <x v="6"/>
    <s v="190L"/>
    <n v="31"/>
    <n v="69445"/>
    <n v="5"/>
    <n v="28"/>
    <n v="2617798.7200000002"/>
    <x v="1"/>
    <x v="1"/>
    <d v="2025-04-22T00:00:00"/>
    <d v="2025-04-28T00:00:00"/>
    <n v="6"/>
    <x v="0"/>
  </r>
  <r>
    <s v="2025-04-30"/>
    <s v="SUP008"/>
    <x v="7"/>
    <x v="0"/>
    <s v="20L"/>
    <n v="35"/>
    <n v="59195"/>
    <n v="12"/>
    <n v="12"/>
    <n v="2041990.72"/>
    <x v="2"/>
    <x v="1"/>
    <d v="2025-05-05T00:00:00"/>
    <d v="2025-05-06T00:00:00"/>
    <n v="1"/>
    <x v="1"/>
  </r>
  <r>
    <s v="2025-05-08"/>
    <s v="SUP006"/>
    <x v="0"/>
    <x v="2"/>
    <s v="55 4K"/>
    <n v="8"/>
    <n v="64182"/>
    <n v="10"/>
    <n v="28"/>
    <n v="591501.31000000006"/>
    <x v="2"/>
    <x v="3"/>
    <d v="2025-05-11T00:00:00"/>
    <d v="2025-05-25T00:00:00"/>
    <n v="14"/>
    <x v="0"/>
  </r>
  <r>
    <s v="2025-05-03"/>
    <s v="SUP002"/>
    <x v="2"/>
    <x v="5"/>
    <s v="Front Load"/>
    <n v="7"/>
    <n v="57564"/>
    <n v="0"/>
    <n v="12"/>
    <n v="451301.76"/>
    <x v="2"/>
    <x v="1"/>
    <d v="2025-05-09T00:00:00"/>
    <d v="2025-05-24T00:00:00"/>
    <n v="15"/>
    <x v="0"/>
  </r>
  <r>
    <s v="2025-04-26"/>
    <s v="SUP008"/>
    <x v="7"/>
    <x v="7"/>
    <s v="750W"/>
    <n v="28"/>
    <n v="41469"/>
    <n v="5"/>
    <n v="12"/>
    <n v="1235444.45"/>
    <x v="3"/>
    <x v="1"/>
    <d v="2025-04-29T00:00:00"/>
    <d v="2025-05-03T00:00:00"/>
    <n v="4"/>
    <x v="0"/>
  </r>
  <r>
    <s v="2025-02-12"/>
    <s v="SUP002"/>
    <x v="2"/>
    <x v="0"/>
    <s v="28L"/>
    <n v="22"/>
    <n v="60646"/>
    <n v="5"/>
    <n v="12"/>
    <n v="1419601.57"/>
    <x v="1"/>
    <x v="0"/>
    <d v="2025-02-18T00:00:00"/>
    <d v="2025-02-22T00:00:00"/>
    <n v="4"/>
    <x v="0"/>
  </r>
  <r>
    <s v="2025-05-14"/>
    <s v="SUP009"/>
    <x v="8"/>
    <x v="0"/>
    <s v="20L"/>
    <n v="19"/>
    <n v="1861"/>
    <n v="0"/>
    <n v="12"/>
    <n v="39602.080000000002"/>
    <x v="2"/>
    <x v="3"/>
    <d v="2025-05-19T00:00:00"/>
    <d v="2025-05-24T00:00:00"/>
    <n v="5"/>
    <x v="0"/>
  </r>
  <r>
    <s v="2025-02-06"/>
    <s v="SUP005"/>
    <x v="4"/>
    <x v="4"/>
    <s v="1 Ton Split"/>
    <n v="22"/>
    <n v="80529"/>
    <n v="5"/>
    <n v="18"/>
    <n v="1986006.2"/>
    <x v="2"/>
    <x v="2"/>
    <d v="2025-02-15T00:00:00"/>
    <d v="2025-02-23T00:00:00"/>
    <n v="8"/>
    <x v="0"/>
  </r>
  <r>
    <s v="2025-02-18"/>
    <s v="SUP007"/>
    <x v="5"/>
    <x v="1"/>
    <s v="35L"/>
    <n v="8"/>
    <n v="82785"/>
    <n v="0"/>
    <n v="28"/>
    <n v="847718.40000000002"/>
    <x v="1"/>
    <x v="1"/>
    <d v="2025-02-27T00:00:00"/>
    <d v="2025-03-12T00:00:00"/>
    <n v="13"/>
    <x v="0"/>
  </r>
  <r>
    <s v="2025-05-02"/>
    <s v="SUP004"/>
    <x v="1"/>
    <x v="5"/>
    <s v="Front Load"/>
    <n v="18"/>
    <n v="40524"/>
    <n v="10"/>
    <n v="12"/>
    <n v="735267.46"/>
    <x v="0"/>
    <x v="0"/>
    <d v="2025-05-06T00:00:00"/>
    <d v="2025-05-18T00:00:00"/>
    <n v="12"/>
    <x v="0"/>
  </r>
  <r>
    <s v="2025-03-04"/>
    <s v="SUP007"/>
    <x v="5"/>
    <x v="4"/>
    <s v="2 Ton"/>
    <n v="11"/>
    <n v="65643"/>
    <n v="10"/>
    <n v="28"/>
    <n v="831828.1"/>
    <x v="2"/>
    <x v="0"/>
    <d v="2025-03-11T00:00:00"/>
    <d v="2025-03-16T00:00:00"/>
    <n v="5"/>
    <x v="0"/>
  </r>
  <r>
    <s v="2025-03-11"/>
    <s v="SUP001"/>
    <x v="6"/>
    <x v="4"/>
    <s v="2 Ton"/>
    <n v="10"/>
    <n v="26012"/>
    <n v="12"/>
    <n v="28"/>
    <n v="292999.17"/>
    <x v="2"/>
    <x v="2"/>
    <d v="2025-03-19T00:00:00"/>
    <d v="2025-03-24T00:00:00"/>
    <n v="5"/>
    <x v="0"/>
  </r>
  <r>
    <s v="2025-06-12"/>
    <s v="SUP004"/>
    <x v="1"/>
    <x v="3"/>
    <s v="1200mm"/>
    <n v="24"/>
    <n v="15279"/>
    <n v="10"/>
    <n v="28"/>
    <n v="422433.79"/>
    <x v="1"/>
    <x v="0"/>
    <d v="2025-06-19T00:00:00"/>
    <d v="2025-07-03T00:00:00"/>
    <n v="14"/>
    <x v="0"/>
  </r>
  <r>
    <s v="2025-05-23"/>
    <s v="SUP002"/>
    <x v="2"/>
    <x v="1"/>
    <s v="35L"/>
    <n v="25"/>
    <n v="64548"/>
    <n v="5"/>
    <n v="18"/>
    <n v="1808957.7"/>
    <x v="2"/>
    <x v="3"/>
    <d v="2025-06-02T00:00:00"/>
    <d v="2025-06-15T00:00:00"/>
    <n v="13"/>
    <x v="0"/>
  </r>
  <r>
    <s v="2025-05-19"/>
    <s v="SUP009"/>
    <x v="8"/>
    <x v="7"/>
    <s v="750W"/>
    <n v="9"/>
    <n v="20422"/>
    <n v="10"/>
    <n v="28"/>
    <n v="211735.3"/>
    <x v="0"/>
    <x v="0"/>
    <d v="2025-05-26T00:00:00"/>
    <d v="2025-06-09T00:00:00"/>
    <n v="14"/>
    <x v="0"/>
  </r>
  <r>
    <s v="2025-05-21"/>
    <s v="SUP002"/>
    <x v="2"/>
    <x v="4"/>
    <s v="1.5 Ton Inverter"/>
    <n v="36"/>
    <n v="19289"/>
    <n v="0"/>
    <n v="28"/>
    <n v="888837.12"/>
    <x v="0"/>
    <x v="2"/>
    <d v="2025-05-26T00:00:00"/>
    <d v="2025-06-05T00:00:00"/>
    <n v="10"/>
    <x v="0"/>
  </r>
  <r>
    <s v="2025-06-01"/>
    <s v="SUP001"/>
    <x v="6"/>
    <x v="7"/>
    <s v="750W"/>
    <n v="1"/>
    <n v="39753"/>
    <n v="12"/>
    <n v="28"/>
    <n v="44777.78"/>
    <x v="1"/>
    <x v="0"/>
    <d v="2025-06-11T00:00:00"/>
    <d v="2025-06-25T00:00:00"/>
    <n v="14"/>
    <x v="0"/>
  </r>
  <r>
    <s v="2025-05-14"/>
    <s v="SUP005"/>
    <x v="4"/>
    <x v="6"/>
    <s v="260L"/>
    <n v="2"/>
    <n v="34853"/>
    <n v="0"/>
    <n v="12"/>
    <n v="78070.720000000001"/>
    <x v="1"/>
    <x v="0"/>
    <d v="2025-05-18T00:00:00"/>
    <d v="2025-05-26T00:00:00"/>
    <n v="8"/>
    <x v="0"/>
  </r>
  <r>
    <s v="2025-04-01"/>
    <s v="SUP003"/>
    <x v="3"/>
    <x v="1"/>
    <s v="35L"/>
    <n v="10"/>
    <n v="47110"/>
    <n v="5"/>
    <n v="12"/>
    <n v="501250.4"/>
    <x v="3"/>
    <x v="1"/>
    <d v="2025-04-05T00:00:00"/>
    <d v="2025-04-11T00:00:00"/>
    <n v="6"/>
    <x v="0"/>
  </r>
  <r>
    <s v="2025-04-14"/>
    <s v="SUP009"/>
    <x v="8"/>
    <x v="2"/>
    <s v="55 4K"/>
    <n v="34"/>
    <n v="12139"/>
    <n v="5"/>
    <n v="28"/>
    <n v="501874.82"/>
    <x v="0"/>
    <x v="3"/>
    <d v="2025-04-20T00:00:00"/>
    <d v="2025-04-20T00:00:00"/>
    <n v="0"/>
    <x v="2"/>
  </r>
  <r>
    <s v="2025-02-11"/>
    <s v="SUP001"/>
    <x v="6"/>
    <x v="7"/>
    <s v="750W"/>
    <n v="32"/>
    <n v="20562"/>
    <n v="12"/>
    <n v="12"/>
    <n v="648509.03"/>
    <x v="2"/>
    <x v="0"/>
    <d v="2025-02-15T00:00:00"/>
    <d v="2025-03-01T00:00:00"/>
    <n v="14"/>
    <x v="0"/>
  </r>
  <r>
    <s v="2025-02-03"/>
    <s v="SUP003"/>
    <x v="3"/>
    <x v="0"/>
    <s v="20L"/>
    <n v="16"/>
    <n v="81906"/>
    <n v="0"/>
    <n v="12"/>
    <n v="1467755.52"/>
    <x v="1"/>
    <x v="0"/>
    <d v="2025-02-11T00:00:00"/>
    <d v="2025-02-24T00:00:00"/>
    <n v="13"/>
    <x v="0"/>
  </r>
  <r>
    <s v="2025-05-06"/>
    <s v="SUP009"/>
    <x v="8"/>
    <x v="3"/>
    <s v="1200mm"/>
    <n v="36"/>
    <n v="22586"/>
    <n v="5"/>
    <n v="18"/>
    <n v="911480.62"/>
    <x v="0"/>
    <x v="2"/>
    <d v="2025-05-11T00:00:00"/>
    <d v="2025-05-11T00:00:00"/>
    <n v="0"/>
    <x v="2"/>
  </r>
  <r>
    <s v="2025-03-12"/>
    <s v="SUP006"/>
    <x v="0"/>
    <x v="5"/>
    <s v="Front Load"/>
    <n v="33"/>
    <n v="21156"/>
    <n v="10"/>
    <n v="18"/>
    <n v="741433.18"/>
    <x v="0"/>
    <x v="3"/>
    <d v="2025-03-20T00:00:00"/>
    <d v="2025-03-25T00:00:00"/>
    <n v="5"/>
    <x v="0"/>
  </r>
  <r>
    <s v="2025-06-21"/>
    <s v="SUP005"/>
    <x v="4"/>
    <x v="0"/>
    <s v="20L"/>
    <n v="34"/>
    <n v="73216"/>
    <n v="5"/>
    <n v="12"/>
    <n v="2648662.02"/>
    <x v="1"/>
    <x v="3"/>
    <d v="2025-06-29T00:00:00"/>
    <d v="2025-07-05T00:00:00"/>
    <n v="6"/>
    <x v="0"/>
  </r>
  <r>
    <s v="2025-01-12"/>
    <s v="SUP006"/>
    <x v="0"/>
    <x v="5"/>
    <s v="Top Load"/>
    <n v="6"/>
    <n v="44169"/>
    <n v="5"/>
    <n v="12"/>
    <n v="281974.90000000002"/>
    <x v="0"/>
    <x v="2"/>
    <d v="2025-01-16T00:00:00"/>
    <d v="2025-01-24T00:00:00"/>
    <n v="8"/>
    <x v="0"/>
  </r>
  <r>
    <s v="2025-01-22"/>
    <s v="SUP002"/>
    <x v="2"/>
    <x v="6"/>
    <s v="190L"/>
    <n v="22"/>
    <n v="75304"/>
    <n v="5"/>
    <n v="18"/>
    <n v="1857147.25"/>
    <x v="2"/>
    <x v="3"/>
    <d v="2025-01-28T00:00:00"/>
    <d v="2025-02-06T00:00:00"/>
    <n v="9"/>
    <x v="0"/>
  </r>
  <r>
    <s v="2025-01-11"/>
    <s v="SUP004"/>
    <x v="1"/>
    <x v="4"/>
    <s v="1.5 Ton Inverter"/>
    <n v="29"/>
    <n v="44782"/>
    <n v="12"/>
    <n v="28"/>
    <n v="1462830.9"/>
    <x v="0"/>
    <x v="3"/>
    <d v="2025-01-18T00:00:00"/>
    <d v="2025-01-22T00:00:00"/>
    <n v="4"/>
    <x v="0"/>
  </r>
  <r>
    <s v="2025-04-20"/>
    <s v="SUP004"/>
    <x v="1"/>
    <x v="7"/>
    <s v="500W"/>
    <n v="16"/>
    <n v="71093"/>
    <n v="5"/>
    <n v="28"/>
    <n v="1383185.41"/>
    <x v="1"/>
    <x v="0"/>
    <d v="2025-04-24T00:00:00"/>
    <d v="2025-05-02T00:00:00"/>
    <n v="8"/>
    <x v="0"/>
  </r>
  <r>
    <s v="2025-04-07"/>
    <s v="SUP004"/>
    <x v="1"/>
    <x v="7"/>
    <s v="500W"/>
    <n v="14"/>
    <n v="21132"/>
    <n v="0"/>
    <n v="28"/>
    <n v="378685.44"/>
    <x v="3"/>
    <x v="3"/>
    <d v="2025-04-11T00:00:00"/>
    <d v="2025-04-24T00:00:00"/>
    <n v="13"/>
    <x v="0"/>
  </r>
  <r>
    <s v="2025-06-29"/>
    <s v="SUP009"/>
    <x v="8"/>
    <x v="5"/>
    <s v="Top Load"/>
    <n v="38"/>
    <n v="58504"/>
    <n v="12"/>
    <n v="12"/>
    <n v="2191138.61"/>
    <x v="2"/>
    <x v="1"/>
    <d v="2025-07-04T00:00:00"/>
    <d v="2025-07-07T00:00:00"/>
    <n v="3"/>
    <x v="1"/>
  </r>
  <r>
    <s v="2025-04-17"/>
    <s v="SUP002"/>
    <x v="2"/>
    <x v="0"/>
    <s v="28L"/>
    <n v="37"/>
    <n v="74168"/>
    <n v="0"/>
    <n v="28"/>
    <n v="3512596.48"/>
    <x v="0"/>
    <x v="1"/>
    <d v="2025-04-20T00:00:00"/>
    <d v="2025-05-01T00:00:00"/>
    <n v="11"/>
    <x v="0"/>
  </r>
  <r>
    <s v="2025-06-27"/>
    <s v="SUP004"/>
    <x v="1"/>
    <x v="3"/>
    <s v="1200mm"/>
    <n v="7"/>
    <n v="42871"/>
    <n v="10"/>
    <n v="12"/>
    <n v="302497.78000000003"/>
    <x v="0"/>
    <x v="0"/>
    <d v="2025-07-02T00:00:00"/>
    <d v="2025-07-05T00:00:00"/>
    <n v="3"/>
    <x v="1"/>
  </r>
  <r>
    <s v="2025-02-10"/>
    <s v="SUP007"/>
    <x v="5"/>
    <x v="2"/>
    <s v="32 LED"/>
    <n v="26"/>
    <n v="23290"/>
    <n v="5"/>
    <n v="28"/>
    <n v="736336.64"/>
    <x v="1"/>
    <x v="0"/>
    <d v="2025-02-18T00:00:00"/>
    <d v="2025-02-26T00:00:00"/>
    <n v="8"/>
    <x v="0"/>
  </r>
  <r>
    <s v="2025-01-01"/>
    <s v="SUP004"/>
    <x v="1"/>
    <x v="1"/>
    <s v="35L"/>
    <n v="19"/>
    <n v="15940"/>
    <n v="10"/>
    <n v="12"/>
    <n v="305282.88"/>
    <x v="1"/>
    <x v="1"/>
    <d v="2025-01-05T00:00:00"/>
    <d v="2025-01-14T00:00:00"/>
    <n v="9"/>
    <x v="0"/>
  </r>
  <r>
    <s v="2025-02-22"/>
    <s v="SUP009"/>
    <x v="8"/>
    <x v="0"/>
    <s v="20L"/>
    <n v="20"/>
    <n v="7848"/>
    <n v="0"/>
    <n v="18"/>
    <n v="185212.79999999999"/>
    <x v="3"/>
    <x v="1"/>
    <d v="2025-03-02T00:00:00"/>
    <d v="2025-03-07T00:00:00"/>
    <n v="5"/>
    <x v="0"/>
  </r>
  <r>
    <s v="2025-02-04"/>
    <s v="SUP003"/>
    <x v="3"/>
    <x v="0"/>
    <s v="28L"/>
    <n v="30"/>
    <n v="4553"/>
    <n v="10"/>
    <n v="28"/>
    <n v="157351.67999999999"/>
    <x v="3"/>
    <x v="1"/>
    <d v="2025-02-11T00:00:00"/>
    <d v="2025-02-19T00:00:00"/>
    <n v="8"/>
    <x v="0"/>
  </r>
  <r>
    <s v="2025-02-28"/>
    <s v="SUP005"/>
    <x v="4"/>
    <x v="6"/>
    <s v="190L"/>
    <n v="13"/>
    <n v="27600"/>
    <n v="12"/>
    <n v="12"/>
    <n v="353633.28000000003"/>
    <x v="1"/>
    <x v="2"/>
    <d v="2025-03-04T00:00:00"/>
    <d v="2025-03-04T00:00:00"/>
    <n v="0"/>
    <x v="2"/>
  </r>
  <r>
    <s v="2025-05-07"/>
    <s v="SUP001"/>
    <x v="6"/>
    <x v="0"/>
    <s v="28L"/>
    <n v="21"/>
    <n v="70179"/>
    <n v="0"/>
    <n v="12"/>
    <n v="1650610.08"/>
    <x v="1"/>
    <x v="0"/>
    <d v="2025-05-16T00:00:00"/>
    <d v="2025-05-24T00:00:00"/>
    <n v="8"/>
    <x v="0"/>
  </r>
  <r>
    <s v="2025-04-28"/>
    <s v="SUP006"/>
    <x v="0"/>
    <x v="2"/>
    <s v="43 Smart"/>
    <n v="2"/>
    <n v="13184"/>
    <n v="12"/>
    <n v="12"/>
    <n v="25988.3"/>
    <x v="2"/>
    <x v="2"/>
    <d v="2025-05-07T00:00:00"/>
    <d v="2025-05-07T00:00:00"/>
    <n v="0"/>
    <x v="2"/>
  </r>
  <r>
    <s v="2025-01-01"/>
    <s v="SUP008"/>
    <x v="7"/>
    <x v="6"/>
    <s v="260L"/>
    <n v="40"/>
    <n v="39271"/>
    <n v="12"/>
    <n v="18"/>
    <n v="1631160.26"/>
    <x v="0"/>
    <x v="1"/>
    <d v="2025-01-04T00:00:00"/>
    <d v="2025-01-07T00:00:00"/>
    <n v="3"/>
    <x v="1"/>
  </r>
  <r>
    <s v="2025-05-13"/>
    <s v="SUP003"/>
    <x v="3"/>
    <x v="2"/>
    <s v="43 Smart"/>
    <n v="31"/>
    <n v="53137"/>
    <n v="5"/>
    <n v="12"/>
    <n v="1752670.81"/>
    <x v="0"/>
    <x v="0"/>
    <d v="2025-05-19T00:00:00"/>
    <d v="2025-05-19T00:00:00"/>
    <n v="0"/>
    <x v="2"/>
  </r>
  <r>
    <s v="2025-04-04"/>
    <s v="SUP005"/>
    <x v="4"/>
    <x v="4"/>
    <s v="2 Ton"/>
    <n v="32"/>
    <n v="12302"/>
    <n v="0"/>
    <n v="18"/>
    <n v="464523.52000000002"/>
    <x v="3"/>
    <x v="3"/>
    <d v="2025-04-11T00:00:00"/>
    <d v="2025-04-14T00:00:00"/>
    <n v="3"/>
    <x v="1"/>
  </r>
  <r>
    <s v="2025-01-13"/>
    <s v="SUP008"/>
    <x v="7"/>
    <x v="2"/>
    <s v="32 LED"/>
    <n v="31"/>
    <n v="65814"/>
    <n v="10"/>
    <n v="28"/>
    <n v="2350349.5699999998"/>
    <x v="2"/>
    <x v="3"/>
    <d v="2025-01-17T00:00:00"/>
    <d v="2025-01-28T00:00:00"/>
    <n v="11"/>
    <x v="0"/>
  </r>
  <r>
    <s v="2025-06-29"/>
    <s v="SUP005"/>
    <x v="4"/>
    <x v="7"/>
    <s v="500W"/>
    <n v="27"/>
    <n v="38897"/>
    <n v="12"/>
    <n v="18"/>
    <n v="1090547.4099999999"/>
    <x v="2"/>
    <x v="1"/>
    <d v="2025-07-07T00:00:00"/>
    <d v="2025-07-21T00:00:00"/>
    <n v="14"/>
    <x v="0"/>
  </r>
  <r>
    <s v="2025-02-01"/>
    <s v="SUP005"/>
    <x v="4"/>
    <x v="2"/>
    <s v="32 LED"/>
    <n v="14"/>
    <n v="55836"/>
    <n v="12"/>
    <n v="28"/>
    <n v="880511.39"/>
    <x v="2"/>
    <x v="3"/>
    <d v="2025-02-04T00:00:00"/>
    <d v="2025-02-16T00:00:00"/>
    <n v="12"/>
    <x v="0"/>
  </r>
  <r>
    <s v="2025-06-21"/>
    <s v="SUP009"/>
    <x v="8"/>
    <x v="2"/>
    <s v="43 Smart"/>
    <n v="35"/>
    <n v="73042"/>
    <n v="12"/>
    <n v="18"/>
    <n v="2654638.4500000002"/>
    <x v="1"/>
    <x v="1"/>
    <d v="2025-06-29T00:00:00"/>
    <d v="2025-07-05T00:00:00"/>
    <n v="6"/>
    <x v="0"/>
  </r>
  <r>
    <s v="2025-02-25"/>
    <s v="SUP001"/>
    <x v="6"/>
    <x v="7"/>
    <s v="750W"/>
    <n v="26"/>
    <n v="23577"/>
    <n v="12"/>
    <n v="18"/>
    <n v="636541.28"/>
    <x v="1"/>
    <x v="0"/>
    <d v="2025-03-07T00:00:00"/>
    <d v="2025-03-20T00:00:00"/>
    <n v="13"/>
    <x v="0"/>
  </r>
  <r>
    <s v="2025-05-24"/>
    <s v="SUP006"/>
    <x v="0"/>
    <x v="5"/>
    <s v="Top Load"/>
    <n v="23"/>
    <n v="48776"/>
    <n v="12"/>
    <n v="18"/>
    <n v="1164926.96"/>
    <x v="0"/>
    <x v="2"/>
    <d v="2025-05-28T00:00:00"/>
    <d v="2025-06-08T00:00:00"/>
    <n v="11"/>
    <x v="0"/>
  </r>
  <r>
    <s v="2025-02-02"/>
    <s v="SUP004"/>
    <x v="1"/>
    <x v="5"/>
    <s v="Top Load"/>
    <n v="26"/>
    <n v="40665"/>
    <n v="10"/>
    <n v="18"/>
    <n v="1122841.98"/>
    <x v="3"/>
    <x v="3"/>
    <d v="2025-02-09T00:00:00"/>
    <d v="2025-02-21T00:00:00"/>
    <n v="12"/>
    <x v="0"/>
  </r>
  <r>
    <s v="2025-05-01"/>
    <s v="SUP004"/>
    <x v="1"/>
    <x v="5"/>
    <s v="Top Load"/>
    <n v="25"/>
    <n v="48592"/>
    <n v="12"/>
    <n v="28"/>
    <n v="1368350.72"/>
    <x v="3"/>
    <x v="1"/>
    <d v="2025-05-08T00:00:00"/>
    <d v="2025-05-19T00:00:00"/>
    <n v="11"/>
    <x v="0"/>
  </r>
  <r>
    <s v="2025-02-21"/>
    <s v="SUP004"/>
    <x v="1"/>
    <x v="4"/>
    <s v="1.5 Ton Inverter"/>
    <n v="40"/>
    <n v="14093"/>
    <n v="10"/>
    <n v="18"/>
    <n v="598670.64"/>
    <x v="2"/>
    <x v="3"/>
    <d v="2025-02-24T00:00:00"/>
    <d v="2025-03-09T00:00:00"/>
    <n v="13"/>
    <x v="0"/>
  </r>
  <r>
    <s v="2025-01-01"/>
    <s v="SUP007"/>
    <x v="5"/>
    <x v="5"/>
    <s v="Front Load"/>
    <n v="8"/>
    <n v="75444"/>
    <n v="0"/>
    <n v="18"/>
    <n v="712191.36"/>
    <x v="0"/>
    <x v="2"/>
    <d v="2025-01-04T00:00:00"/>
    <d v="2025-01-13T00:00:00"/>
    <n v="9"/>
    <x v="0"/>
  </r>
  <r>
    <s v="2025-06-01"/>
    <s v="SUP008"/>
    <x v="7"/>
    <x v="5"/>
    <s v="Top Load"/>
    <n v="22"/>
    <n v="30444"/>
    <n v="10"/>
    <n v="18"/>
    <n v="711293.62"/>
    <x v="2"/>
    <x v="3"/>
    <d v="2025-06-09T00:00:00"/>
    <d v="2025-06-18T00:00:00"/>
    <n v="9"/>
    <x v="0"/>
  </r>
  <r>
    <s v="2025-05-04"/>
    <s v="SUP009"/>
    <x v="8"/>
    <x v="4"/>
    <s v="1 Ton Split"/>
    <n v="22"/>
    <n v="64871"/>
    <n v="5"/>
    <n v="18"/>
    <n v="1599848.6"/>
    <x v="0"/>
    <x v="1"/>
    <d v="2025-05-08T00:00:00"/>
    <d v="2025-05-17T00:00:00"/>
    <n v="9"/>
    <x v="0"/>
  </r>
  <r>
    <s v="2025-01-26"/>
    <s v="SUP002"/>
    <x v="2"/>
    <x v="7"/>
    <s v="750W"/>
    <n v="1"/>
    <n v="31252"/>
    <n v="12"/>
    <n v="12"/>
    <n v="30801.97"/>
    <x v="0"/>
    <x v="3"/>
    <d v="2025-02-04T00:00:00"/>
    <d v="2025-02-14T00:00:00"/>
    <n v="10"/>
    <x v="0"/>
  </r>
  <r>
    <s v="2025-02-10"/>
    <s v="SUP009"/>
    <x v="8"/>
    <x v="2"/>
    <s v="43 Smart"/>
    <n v="22"/>
    <n v="15304"/>
    <n v="0"/>
    <n v="18"/>
    <n v="397291.84"/>
    <x v="0"/>
    <x v="3"/>
    <d v="2025-02-13T00:00:00"/>
    <d v="2025-02-23T00:00:00"/>
    <n v="10"/>
    <x v="0"/>
  </r>
  <r>
    <s v="2025-02-21"/>
    <s v="SUP005"/>
    <x v="4"/>
    <x v="7"/>
    <s v="750W"/>
    <n v="8"/>
    <n v="42478"/>
    <n v="10"/>
    <n v="18"/>
    <n v="360893.09"/>
    <x v="2"/>
    <x v="1"/>
    <d v="2025-02-27T00:00:00"/>
    <d v="2025-02-28T00:00:00"/>
    <n v="1"/>
    <x v="1"/>
  </r>
  <r>
    <s v="2025-03-17"/>
    <s v="SUP003"/>
    <x v="3"/>
    <x v="0"/>
    <s v="20L"/>
    <n v="34"/>
    <n v="5597"/>
    <n v="10"/>
    <n v="28"/>
    <n v="219223.3"/>
    <x v="0"/>
    <x v="0"/>
    <d v="2025-03-21T00:00:00"/>
    <d v="2025-03-26T00:00:00"/>
    <n v="5"/>
    <x v="0"/>
  </r>
  <r>
    <s v="2025-06-02"/>
    <s v="SUP004"/>
    <x v="1"/>
    <x v="7"/>
    <s v="500W"/>
    <n v="34"/>
    <n v="63442"/>
    <n v="5"/>
    <n v="28"/>
    <n v="2622946.0499999998"/>
    <x v="0"/>
    <x v="0"/>
    <d v="2025-06-06T00:00:00"/>
    <d v="2025-06-09T00:00:00"/>
    <n v="3"/>
    <x v="1"/>
  </r>
  <r>
    <s v="2025-04-23"/>
    <s v="SUP003"/>
    <x v="3"/>
    <x v="2"/>
    <s v="32 LED"/>
    <n v="36"/>
    <n v="80773"/>
    <n v="10"/>
    <n v="12"/>
    <n v="2931090.62"/>
    <x v="3"/>
    <x v="0"/>
    <d v="2025-04-26T00:00:00"/>
    <d v="2025-04-30T00:00:00"/>
    <n v="4"/>
    <x v="0"/>
  </r>
  <r>
    <s v="2025-04-21"/>
    <s v="SUP007"/>
    <x v="5"/>
    <x v="2"/>
    <s v="32 LED"/>
    <n v="16"/>
    <n v="43171"/>
    <n v="10"/>
    <n v="12"/>
    <n v="696261.89"/>
    <x v="0"/>
    <x v="0"/>
    <d v="2025-04-29T00:00:00"/>
    <d v="2025-05-08T00:00:00"/>
    <n v="9"/>
    <x v="0"/>
  </r>
  <r>
    <s v="2025-02-15"/>
    <s v="SUP006"/>
    <x v="0"/>
    <x v="7"/>
    <s v="750W"/>
    <n v="4"/>
    <n v="47811"/>
    <n v="10"/>
    <n v="18"/>
    <n v="203101.13"/>
    <x v="0"/>
    <x v="1"/>
    <d v="2025-02-18T00:00:00"/>
    <d v="2025-03-03T00:00:00"/>
    <n v="13"/>
    <x v="0"/>
  </r>
  <r>
    <s v="2025-06-16"/>
    <s v="SUP008"/>
    <x v="7"/>
    <x v="2"/>
    <s v="32 LED"/>
    <n v="26"/>
    <n v="42946"/>
    <n v="0"/>
    <n v="18"/>
    <n v="1317583.28"/>
    <x v="0"/>
    <x v="3"/>
    <d v="2025-06-21T00:00:00"/>
    <d v="2025-07-02T00:00:00"/>
    <n v="11"/>
    <x v="0"/>
  </r>
  <r>
    <s v="2025-06-19"/>
    <s v="SUP008"/>
    <x v="7"/>
    <x v="5"/>
    <s v="Top Load"/>
    <n v="13"/>
    <n v="75948"/>
    <n v="12"/>
    <n v="12"/>
    <n v="973106.53"/>
    <x v="0"/>
    <x v="2"/>
    <d v="2025-06-28T00:00:00"/>
    <d v="2025-07-10T00:00:00"/>
    <n v="12"/>
    <x v="0"/>
  </r>
  <r>
    <s v="2025-04-06"/>
    <s v="SUP009"/>
    <x v="8"/>
    <x v="6"/>
    <s v="190L"/>
    <n v="34"/>
    <n v="55698"/>
    <n v="12"/>
    <n v="12"/>
    <n v="1866462.26"/>
    <x v="3"/>
    <x v="1"/>
    <d v="2025-04-15T00:00:00"/>
    <d v="2025-04-22T00:00:00"/>
    <n v="7"/>
    <x v="0"/>
  </r>
  <r>
    <s v="2025-06-08"/>
    <s v="SUP008"/>
    <x v="7"/>
    <x v="6"/>
    <s v="260L"/>
    <n v="33"/>
    <n v="23161"/>
    <n v="0"/>
    <n v="12"/>
    <n v="856030.56"/>
    <x v="3"/>
    <x v="2"/>
    <d v="2025-06-17T00:00:00"/>
    <d v="2025-06-24T00:00:00"/>
    <n v="7"/>
    <x v="0"/>
  </r>
  <r>
    <s v="2025-06-05"/>
    <s v="SUP003"/>
    <x v="3"/>
    <x v="6"/>
    <s v="190L"/>
    <n v="8"/>
    <n v="36886"/>
    <n v="10"/>
    <n v="18"/>
    <n v="313383.46000000002"/>
    <x v="2"/>
    <x v="1"/>
    <d v="2025-06-10T00:00:00"/>
    <d v="2025-06-15T00:00:00"/>
    <n v="5"/>
    <x v="0"/>
  </r>
  <r>
    <s v="2025-06-29"/>
    <s v="SUP007"/>
    <x v="5"/>
    <x v="2"/>
    <s v="32 LED"/>
    <n v="7"/>
    <n v="22095"/>
    <n v="5"/>
    <n v="18"/>
    <n v="173379.46"/>
    <x v="3"/>
    <x v="2"/>
    <d v="2025-07-02T00:00:00"/>
    <d v="2025-07-14T00:00:00"/>
    <n v="12"/>
    <x v="0"/>
  </r>
  <r>
    <s v="2025-02-08"/>
    <s v="SUP008"/>
    <x v="7"/>
    <x v="4"/>
    <s v="1 Ton Split"/>
    <n v="5"/>
    <n v="32286"/>
    <n v="12"/>
    <n v="12"/>
    <n v="159105.41"/>
    <x v="2"/>
    <x v="3"/>
    <d v="2025-02-15T00:00:00"/>
    <d v="2025-02-19T00:00:00"/>
    <n v="4"/>
    <x v="0"/>
  </r>
  <r>
    <s v="2025-01-25"/>
    <s v="SUP003"/>
    <x v="3"/>
    <x v="2"/>
    <s v="43 Smart"/>
    <n v="16"/>
    <n v="44775"/>
    <n v="5"/>
    <n v="18"/>
    <n v="803084.4"/>
    <x v="1"/>
    <x v="3"/>
    <d v="2025-01-31T00:00:00"/>
    <d v="2025-01-31T00:00:00"/>
    <n v="0"/>
    <x v="2"/>
  </r>
  <r>
    <s v="2025-06-28"/>
    <s v="SUP002"/>
    <x v="2"/>
    <x v="0"/>
    <s v="28L"/>
    <n v="38"/>
    <n v="42767"/>
    <n v="10"/>
    <n v="28"/>
    <n v="1872168.19"/>
    <x v="1"/>
    <x v="2"/>
    <d v="2025-07-01T00:00:00"/>
    <d v="2025-07-09T00:00:00"/>
    <n v="8"/>
    <x v="0"/>
  </r>
  <r>
    <s v="2025-03-09"/>
    <s v="SUP008"/>
    <x v="7"/>
    <x v="2"/>
    <s v="55 4K"/>
    <n v="38"/>
    <n v="47346"/>
    <n v="12"/>
    <n v="12"/>
    <n v="1773240.27"/>
    <x v="3"/>
    <x v="0"/>
    <d v="2025-03-19T00:00:00"/>
    <d v="2025-04-01T00:00:00"/>
    <n v="13"/>
    <x v="0"/>
  </r>
  <r>
    <s v="2025-01-15"/>
    <s v="SUP003"/>
    <x v="3"/>
    <x v="2"/>
    <s v="32 LED"/>
    <n v="33"/>
    <n v="69399"/>
    <n v="10"/>
    <n v="28"/>
    <n v="2638272.38"/>
    <x v="1"/>
    <x v="3"/>
    <d v="2025-01-22T00:00:00"/>
    <d v="2025-02-01T00:00:00"/>
    <n v="10"/>
    <x v="0"/>
  </r>
  <r>
    <s v="2025-04-16"/>
    <s v="SUP001"/>
    <x v="6"/>
    <x v="5"/>
    <s v="Front Load"/>
    <n v="19"/>
    <n v="47530"/>
    <n v="12"/>
    <n v="28"/>
    <n v="1017218.05"/>
    <x v="3"/>
    <x v="0"/>
    <d v="2025-04-21T00:00:00"/>
    <d v="2025-04-23T00:00:00"/>
    <n v="2"/>
    <x v="1"/>
  </r>
  <r>
    <s v="2025-03-13"/>
    <s v="SUP007"/>
    <x v="5"/>
    <x v="5"/>
    <s v="Top Load"/>
    <n v="24"/>
    <n v="75663"/>
    <n v="5"/>
    <n v="18"/>
    <n v="2035637.35"/>
    <x v="3"/>
    <x v="0"/>
    <d v="2025-03-18T00:00:00"/>
    <d v="2025-03-19T00:00:00"/>
    <n v="1"/>
    <x v="1"/>
  </r>
  <r>
    <s v="2025-02-27"/>
    <s v="SUP001"/>
    <x v="6"/>
    <x v="5"/>
    <s v="Top Load"/>
    <n v="2"/>
    <n v="19923"/>
    <n v="5"/>
    <n v="12"/>
    <n v="42396.14"/>
    <x v="2"/>
    <x v="3"/>
    <d v="2025-03-06T00:00:00"/>
    <d v="2025-03-16T00:00:00"/>
    <n v="10"/>
    <x v="0"/>
  </r>
  <r>
    <s v="2025-02-12"/>
    <s v="SUP005"/>
    <x v="4"/>
    <x v="6"/>
    <s v="190L"/>
    <n v="5"/>
    <n v="26883"/>
    <n v="10"/>
    <n v="28"/>
    <n v="154846.07999999999"/>
    <x v="1"/>
    <x v="3"/>
    <d v="2025-02-20T00:00:00"/>
    <d v="2025-02-21T00:00:00"/>
    <n v="1"/>
    <x v="1"/>
  </r>
  <r>
    <s v="2025-05-15"/>
    <s v="SUP009"/>
    <x v="8"/>
    <x v="4"/>
    <s v="2 Ton"/>
    <n v="26"/>
    <n v="12463"/>
    <n v="12"/>
    <n v="18"/>
    <n v="336481.06"/>
    <x v="0"/>
    <x v="3"/>
    <d v="2025-05-18T00:00:00"/>
    <d v="2025-05-25T00:00:00"/>
    <n v="7"/>
    <x v="0"/>
  </r>
  <r>
    <s v="2025-02-14"/>
    <s v="SUP002"/>
    <x v="2"/>
    <x v="7"/>
    <s v="750W"/>
    <n v="22"/>
    <n v="70594"/>
    <n v="12"/>
    <n v="18"/>
    <n v="1612705.81"/>
    <x v="1"/>
    <x v="2"/>
    <d v="2025-02-24T00:00:00"/>
    <d v="2025-02-25T00:00:00"/>
    <n v="1"/>
    <x v="1"/>
  </r>
  <r>
    <s v="2025-01-27"/>
    <s v="SUP002"/>
    <x v="2"/>
    <x v="3"/>
    <s v="1200mm"/>
    <n v="15"/>
    <n v="73834"/>
    <n v="10"/>
    <n v="28"/>
    <n v="1275851.52"/>
    <x v="2"/>
    <x v="3"/>
    <d v="2025-02-02T00:00:00"/>
    <d v="2025-02-06T00:00:00"/>
    <n v="4"/>
    <x v="0"/>
  </r>
  <r>
    <s v="2025-01-29"/>
    <s v="SUP001"/>
    <x v="6"/>
    <x v="5"/>
    <s v="Front Load"/>
    <n v="10"/>
    <n v="15854"/>
    <n v="5"/>
    <n v="28"/>
    <n v="192784.64000000001"/>
    <x v="3"/>
    <x v="0"/>
    <d v="2025-02-07T00:00:00"/>
    <d v="2025-02-18T00:00:00"/>
    <n v="11"/>
    <x v="0"/>
  </r>
  <r>
    <s v="2025-06-28"/>
    <s v="SUP007"/>
    <x v="5"/>
    <x v="6"/>
    <s v="260L"/>
    <n v="30"/>
    <n v="29060"/>
    <n v="0"/>
    <n v="28"/>
    <n v="1115904"/>
    <x v="0"/>
    <x v="3"/>
    <d v="2025-07-04T00:00:00"/>
    <d v="2025-07-12T00:00:00"/>
    <n v="8"/>
    <x v="0"/>
  </r>
  <r>
    <s v="2025-04-04"/>
    <s v="SUP004"/>
    <x v="1"/>
    <x v="1"/>
    <s v="35L"/>
    <n v="12"/>
    <n v="34851"/>
    <n v="12"/>
    <n v="12"/>
    <n v="412189.75"/>
    <x v="3"/>
    <x v="3"/>
    <d v="2025-04-12T00:00:00"/>
    <d v="2025-04-18T00:00:00"/>
    <n v="6"/>
    <x v="0"/>
  </r>
  <r>
    <s v="2025-04-21"/>
    <s v="SUP002"/>
    <x v="2"/>
    <x v="0"/>
    <s v="28L"/>
    <n v="26"/>
    <n v="48056"/>
    <n v="10"/>
    <n v="12"/>
    <n v="1259451.6499999999"/>
    <x v="2"/>
    <x v="2"/>
    <d v="2025-04-29T00:00:00"/>
    <d v="2025-05-10T00:00:00"/>
    <n v="11"/>
    <x v="0"/>
  </r>
  <r>
    <s v="2025-05-10"/>
    <s v="SUP002"/>
    <x v="2"/>
    <x v="0"/>
    <s v="20L"/>
    <n v="31"/>
    <n v="80370"/>
    <n v="5"/>
    <n v="18"/>
    <n v="2792937.87"/>
    <x v="3"/>
    <x v="1"/>
    <d v="2025-05-20T00:00:00"/>
    <d v="2025-06-03T00:00:00"/>
    <n v="14"/>
    <x v="0"/>
  </r>
  <r>
    <s v="2025-05-06"/>
    <s v="SUP007"/>
    <x v="5"/>
    <x v="2"/>
    <s v="32 LED"/>
    <n v="32"/>
    <n v="35204"/>
    <n v="12"/>
    <n v="28"/>
    <n v="1268921.1399999999"/>
    <x v="3"/>
    <x v="2"/>
    <d v="2025-05-16T00:00:00"/>
    <d v="2025-05-25T00:00:00"/>
    <n v="9"/>
    <x v="0"/>
  </r>
  <r>
    <s v="2025-04-30"/>
    <s v="SUP009"/>
    <x v="8"/>
    <x v="6"/>
    <s v="260L"/>
    <n v="18"/>
    <n v="43920"/>
    <n v="12"/>
    <n v="12"/>
    <n v="779175.94"/>
    <x v="1"/>
    <x v="1"/>
    <d v="2025-05-06T00:00:00"/>
    <d v="2025-05-11T00:00:00"/>
    <n v="5"/>
    <x v="0"/>
  </r>
  <r>
    <s v="2025-03-19"/>
    <s v="SUP005"/>
    <x v="4"/>
    <x v="7"/>
    <s v="750W"/>
    <n v="24"/>
    <n v="76086"/>
    <n v="5"/>
    <n v="28"/>
    <n v="2220493.8199999998"/>
    <x v="2"/>
    <x v="0"/>
    <d v="2025-03-28T00:00:00"/>
    <d v="2025-04-01T00:00:00"/>
    <n v="4"/>
    <x v="0"/>
  </r>
  <r>
    <s v="2025-04-02"/>
    <s v="SUP005"/>
    <x v="4"/>
    <x v="6"/>
    <s v="260L"/>
    <n v="33"/>
    <n v="28604"/>
    <n v="0"/>
    <n v="28"/>
    <n v="1208232.96"/>
    <x v="2"/>
    <x v="3"/>
    <d v="2025-04-12T00:00:00"/>
    <d v="2025-04-12T00:00:00"/>
    <n v="0"/>
    <x v="2"/>
  </r>
  <r>
    <s v="2025-02-25"/>
    <s v="SUP006"/>
    <x v="0"/>
    <x v="2"/>
    <s v="55 4K"/>
    <n v="40"/>
    <n v="39849"/>
    <n v="5"/>
    <n v="12"/>
    <n v="1695973.44"/>
    <x v="0"/>
    <x v="1"/>
    <d v="2025-03-05T00:00:00"/>
    <d v="2025-03-18T00:00:00"/>
    <n v="13"/>
    <x v="0"/>
  </r>
  <r>
    <s v="2025-03-11"/>
    <s v="SUP006"/>
    <x v="0"/>
    <x v="6"/>
    <s v="260L"/>
    <n v="30"/>
    <n v="79060"/>
    <n v="0"/>
    <n v="28"/>
    <n v="3035904"/>
    <x v="0"/>
    <x v="3"/>
    <d v="2025-03-14T00:00:00"/>
    <d v="2025-03-19T00:00:00"/>
    <n v="5"/>
    <x v="0"/>
  </r>
  <r>
    <s v="2025-06-15"/>
    <s v="SUP008"/>
    <x v="7"/>
    <x v="3"/>
    <s v="1200mm"/>
    <n v="23"/>
    <n v="42622"/>
    <n v="5"/>
    <n v="28"/>
    <n v="1192052.1000000001"/>
    <x v="3"/>
    <x v="0"/>
    <d v="2025-06-19T00:00:00"/>
    <d v="2025-06-28T00:00:00"/>
    <n v="9"/>
    <x v="0"/>
  </r>
  <r>
    <s v="2025-02-10"/>
    <s v="SUP008"/>
    <x v="7"/>
    <x v="0"/>
    <s v="20L"/>
    <n v="40"/>
    <n v="73862"/>
    <n v="0"/>
    <n v="12"/>
    <n v="3309017.6"/>
    <x v="2"/>
    <x v="1"/>
    <d v="2025-02-18T00:00:00"/>
    <d v="2025-02-26T00:00:00"/>
    <n v="8"/>
    <x v="0"/>
  </r>
  <r>
    <s v="2025-04-13"/>
    <s v="SUP006"/>
    <x v="0"/>
    <x v="3"/>
    <s v="1200mm"/>
    <n v="12"/>
    <n v="77674"/>
    <n v="10"/>
    <n v="18"/>
    <n v="989877.46"/>
    <x v="0"/>
    <x v="0"/>
    <d v="2025-04-18T00:00:00"/>
    <d v="2025-04-21T00:00:00"/>
    <n v="3"/>
    <x v="1"/>
  </r>
  <r>
    <s v="2025-01-24"/>
    <s v="SUP005"/>
    <x v="4"/>
    <x v="4"/>
    <s v="1.5 Ton Inverter"/>
    <n v="31"/>
    <n v="67173"/>
    <n v="0"/>
    <n v="18"/>
    <n v="2457188.34"/>
    <x v="0"/>
    <x v="3"/>
    <d v="2025-01-27T00:00:00"/>
    <d v="2025-02-02T00:00:00"/>
    <n v="6"/>
    <x v="0"/>
  </r>
  <r>
    <s v="2025-03-31"/>
    <s v="SUP008"/>
    <x v="7"/>
    <x v="3"/>
    <s v="1200mm"/>
    <n v="20"/>
    <n v="25349"/>
    <n v="10"/>
    <n v="28"/>
    <n v="584040.95999999996"/>
    <x v="1"/>
    <x v="2"/>
    <d v="2025-04-07T00:00:00"/>
    <d v="2025-04-08T00:00:00"/>
    <n v="1"/>
    <x v="1"/>
  </r>
  <r>
    <s v="2025-06-08"/>
    <s v="SUP002"/>
    <x v="2"/>
    <x v="4"/>
    <s v="1 Ton Split"/>
    <n v="22"/>
    <n v="43111"/>
    <n v="0"/>
    <n v="18"/>
    <n v="1119161.56"/>
    <x v="0"/>
    <x v="3"/>
    <d v="2025-06-17T00:00:00"/>
    <d v="2025-06-29T00:00:00"/>
    <n v="12"/>
    <x v="0"/>
  </r>
  <r>
    <s v="2025-01-27"/>
    <s v="SUP004"/>
    <x v="1"/>
    <x v="0"/>
    <s v="28L"/>
    <n v="1"/>
    <n v="27870"/>
    <n v="12"/>
    <n v="12"/>
    <n v="27468.67"/>
    <x v="0"/>
    <x v="1"/>
    <d v="2025-02-01T00:00:00"/>
    <d v="2025-02-04T00:00:00"/>
    <n v="3"/>
    <x v="1"/>
  </r>
  <r>
    <s v="2025-06-26"/>
    <s v="SUP009"/>
    <x v="8"/>
    <x v="2"/>
    <s v="32 LED"/>
    <n v="19"/>
    <n v="42778"/>
    <n v="12"/>
    <n v="18"/>
    <n v="843992.83"/>
    <x v="0"/>
    <x v="2"/>
    <d v="2025-06-30T00:00:00"/>
    <d v="2025-07-04T00:00:00"/>
    <n v="4"/>
    <x v="0"/>
  </r>
  <r>
    <s v="2025-06-01"/>
    <s v="SUP003"/>
    <x v="3"/>
    <x v="5"/>
    <s v="Top Load"/>
    <n v="2"/>
    <n v="2489"/>
    <n v="12"/>
    <n v="12"/>
    <n v="4906.32"/>
    <x v="2"/>
    <x v="0"/>
    <d v="2025-06-10T00:00:00"/>
    <d v="2025-06-20T00:00:00"/>
    <n v="10"/>
    <x v="0"/>
  </r>
  <r>
    <s v="2025-01-03"/>
    <s v="SUP006"/>
    <x v="0"/>
    <x v="4"/>
    <s v="1.5 Ton Inverter"/>
    <n v="33"/>
    <n v="34053"/>
    <n v="12"/>
    <n v="12"/>
    <n v="1107567.01"/>
    <x v="2"/>
    <x v="2"/>
    <d v="2025-01-10T00:00:00"/>
    <d v="2025-01-19T00:00:00"/>
    <n v="9"/>
    <x v="0"/>
  </r>
  <r>
    <s v="2025-06-29"/>
    <s v="SUP007"/>
    <x v="5"/>
    <x v="2"/>
    <s v="55 4K"/>
    <n v="19"/>
    <n v="19249"/>
    <n v="10"/>
    <n v="28"/>
    <n v="421322.11"/>
    <x v="2"/>
    <x v="1"/>
    <d v="2025-07-02T00:00:00"/>
    <d v="2025-07-08T00:00:00"/>
    <n v="6"/>
    <x v="0"/>
  </r>
  <r>
    <s v="2025-04-20"/>
    <s v="SUP003"/>
    <x v="3"/>
    <x v="1"/>
    <s v="35L"/>
    <n v="31"/>
    <n v="65685"/>
    <n v="10"/>
    <n v="12"/>
    <n v="2052524.88"/>
    <x v="2"/>
    <x v="2"/>
    <d v="2025-04-25T00:00:00"/>
    <d v="2025-05-04T00:00:00"/>
    <n v="9"/>
    <x v="0"/>
  </r>
  <r>
    <s v="2025-03-27"/>
    <s v="SUP005"/>
    <x v="4"/>
    <x v="6"/>
    <s v="190L"/>
    <n v="34"/>
    <n v="71474"/>
    <n v="0"/>
    <n v="28"/>
    <n v="3110548.48"/>
    <x v="2"/>
    <x v="0"/>
    <d v="2025-04-03T00:00:00"/>
    <d v="2025-04-12T00:00:00"/>
    <n v="9"/>
    <x v="0"/>
  </r>
  <r>
    <s v="2025-04-20"/>
    <s v="SUP002"/>
    <x v="2"/>
    <x v="2"/>
    <s v="32 LED"/>
    <n v="22"/>
    <n v="43450"/>
    <n v="10"/>
    <n v="18"/>
    <n v="1015165.8"/>
    <x v="0"/>
    <x v="0"/>
    <d v="2025-04-28T00:00:00"/>
    <d v="2025-05-02T00:00:00"/>
    <n v="4"/>
    <x v="0"/>
  </r>
  <r>
    <s v="2025-02-26"/>
    <s v="SUP008"/>
    <x v="7"/>
    <x v="7"/>
    <s v="500W"/>
    <n v="28"/>
    <n v="59023"/>
    <n v="10"/>
    <n v="18"/>
    <n v="1755107.93"/>
    <x v="0"/>
    <x v="3"/>
    <d v="2025-03-07T00:00:00"/>
    <d v="2025-03-13T00:00:00"/>
    <n v="6"/>
    <x v="0"/>
  </r>
  <r>
    <s v="2025-06-23"/>
    <s v="SUP002"/>
    <x v="2"/>
    <x v="5"/>
    <s v="Top Load"/>
    <n v="18"/>
    <n v="75498"/>
    <n v="0"/>
    <n v="28"/>
    <n v="1739473.9199999999"/>
    <x v="3"/>
    <x v="3"/>
    <d v="2025-06-26T00:00:00"/>
    <d v="2025-07-11T00:00:00"/>
    <n v="15"/>
    <x v="0"/>
  </r>
  <r>
    <s v="2025-02-02"/>
    <s v="SUP001"/>
    <x v="6"/>
    <x v="6"/>
    <s v="260L"/>
    <n v="36"/>
    <n v="23150"/>
    <n v="12"/>
    <n v="18"/>
    <n v="865402.56"/>
    <x v="1"/>
    <x v="1"/>
    <d v="2025-02-11T00:00:00"/>
    <d v="2025-02-22T00:00:00"/>
    <n v="11"/>
    <x v="0"/>
  </r>
  <r>
    <s v="2025-05-07"/>
    <s v="SUP005"/>
    <x v="4"/>
    <x v="2"/>
    <s v="55 4K"/>
    <n v="25"/>
    <n v="16476"/>
    <n v="5"/>
    <n v="18"/>
    <n v="461739.9"/>
    <x v="3"/>
    <x v="0"/>
    <d v="2025-05-12T00:00:00"/>
    <d v="2025-05-12T00:00:00"/>
    <n v="0"/>
    <x v="2"/>
  </r>
  <r>
    <s v="2025-06-28"/>
    <s v="SUP006"/>
    <x v="0"/>
    <x v="0"/>
    <s v="20L"/>
    <n v="2"/>
    <n v="54338"/>
    <n v="5"/>
    <n v="18"/>
    <n v="121825.8"/>
    <x v="0"/>
    <x v="3"/>
    <d v="2025-07-03T00:00:00"/>
    <d v="2025-07-13T00:00:00"/>
    <n v="10"/>
    <x v="0"/>
  </r>
  <r>
    <s v="2025-03-10"/>
    <s v="SUP007"/>
    <x v="5"/>
    <x v="6"/>
    <s v="260L"/>
    <n v="15"/>
    <n v="24550"/>
    <n v="0"/>
    <n v="28"/>
    <n v="471360"/>
    <x v="1"/>
    <x v="0"/>
    <d v="2025-03-15T00:00:00"/>
    <d v="2025-03-20T00:00:00"/>
    <n v="5"/>
    <x v="0"/>
  </r>
  <r>
    <s v="2025-05-24"/>
    <s v="SUP001"/>
    <x v="6"/>
    <x v="5"/>
    <s v="Front Load"/>
    <n v="33"/>
    <n v="74536"/>
    <n v="5"/>
    <n v="18"/>
    <n v="2757310.25"/>
    <x v="1"/>
    <x v="1"/>
    <d v="2025-05-27T00:00:00"/>
    <d v="2025-05-30T00:00:00"/>
    <n v="3"/>
    <x v="1"/>
  </r>
  <r>
    <s v="2025-01-21"/>
    <s v="SUP009"/>
    <x v="8"/>
    <x v="3"/>
    <s v="1200mm"/>
    <n v="25"/>
    <n v="25590"/>
    <n v="12"/>
    <n v="28"/>
    <n v="720614.40000000002"/>
    <x v="3"/>
    <x v="1"/>
    <d v="2025-01-24T00:00:00"/>
    <d v="2025-02-04T00:00:00"/>
    <n v="11"/>
    <x v="0"/>
  </r>
  <r>
    <s v="2025-05-02"/>
    <s v="SUP007"/>
    <x v="5"/>
    <x v="6"/>
    <s v="190L"/>
    <n v="14"/>
    <n v="84889"/>
    <n v="5"/>
    <n v="12"/>
    <n v="1264506.54"/>
    <x v="2"/>
    <x v="2"/>
    <d v="2025-05-06T00:00:00"/>
    <d v="2025-05-17T00:00:00"/>
    <n v="11"/>
    <x v="0"/>
  </r>
  <r>
    <s v="2025-02-09"/>
    <s v="SUP001"/>
    <x v="6"/>
    <x v="0"/>
    <s v="20L"/>
    <n v="37"/>
    <n v="64933"/>
    <n v="0"/>
    <n v="12"/>
    <n v="2690823.52"/>
    <x v="0"/>
    <x v="2"/>
    <d v="2025-02-16T00:00:00"/>
    <d v="2025-02-22T00:00:00"/>
    <n v="6"/>
    <x v="0"/>
  </r>
  <r>
    <s v="2025-01-09"/>
    <s v="SUP002"/>
    <x v="2"/>
    <x v="4"/>
    <s v="2 Ton"/>
    <n v="3"/>
    <n v="75300"/>
    <n v="12"/>
    <n v="18"/>
    <n v="234574.56"/>
    <x v="1"/>
    <x v="0"/>
    <d v="2025-01-14T00:00:00"/>
    <d v="2025-01-21T00:00:00"/>
    <n v="7"/>
    <x v="0"/>
  </r>
  <r>
    <s v="2025-03-31"/>
    <s v="SUP008"/>
    <x v="7"/>
    <x v="2"/>
    <s v="32 LED"/>
    <n v="9"/>
    <n v="12001"/>
    <n v="0"/>
    <n v="28"/>
    <n v="138251.51999999999"/>
    <x v="3"/>
    <x v="0"/>
    <d v="2025-04-05T00:00:00"/>
    <d v="2025-04-08T00:00:00"/>
    <n v="3"/>
    <x v="1"/>
  </r>
  <r>
    <s v="2025-05-23"/>
    <s v="SUP004"/>
    <x v="1"/>
    <x v="5"/>
    <s v="Front Load"/>
    <n v="7"/>
    <n v="54724"/>
    <n v="10"/>
    <n v="12"/>
    <n v="386132.54"/>
    <x v="1"/>
    <x v="3"/>
    <d v="2025-05-31T00:00:00"/>
    <d v="2025-06-15T00:00:00"/>
    <n v="15"/>
    <x v="0"/>
  </r>
  <r>
    <s v="2025-04-19"/>
    <s v="SUP009"/>
    <x v="8"/>
    <x v="4"/>
    <s v="1.5 Ton Inverter"/>
    <n v="13"/>
    <n v="63644"/>
    <n v="10"/>
    <n v="12"/>
    <n v="833990.98"/>
    <x v="0"/>
    <x v="2"/>
    <d v="2025-04-23T00:00:00"/>
    <d v="2025-04-25T00:00:00"/>
    <n v="2"/>
    <x v="1"/>
  </r>
  <r>
    <s v="2025-02-01"/>
    <s v="SUP001"/>
    <x v="6"/>
    <x v="6"/>
    <s v="190L"/>
    <n v="17"/>
    <n v="25082"/>
    <n v="0"/>
    <n v="12"/>
    <n v="477561.28"/>
    <x v="2"/>
    <x v="2"/>
    <d v="2025-02-10T00:00:00"/>
    <d v="2025-02-18T00:00:00"/>
    <n v="8"/>
    <x v="0"/>
  </r>
  <r>
    <s v="2025-02-28"/>
    <s v="SUP003"/>
    <x v="3"/>
    <x v="7"/>
    <s v="750W"/>
    <n v="1"/>
    <n v="7463"/>
    <n v="5"/>
    <n v="28"/>
    <n v="9075.01"/>
    <x v="2"/>
    <x v="1"/>
    <d v="2025-03-07T00:00:00"/>
    <d v="2025-03-10T00:00:00"/>
    <n v="3"/>
    <x v="1"/>
  </r>
  <r>
    <s v="2025-01-11"/>
    <s v="SUP001"/>
    <x v="6"/>
    <x v="2"/>
    <s v="32 LED"/>
    <n v="14"/>
    <n v="5106"/>
    <n v="5"/>
    <n v="28"/>
    <n v="86924.54"/>
    <x v="0"/>
    <x v="3"/>
    <d v="2025-01-19T00:00:00"/>
    <d v="2025-02-03T00:00:00"/>
    <n v="15"/>
    <x v="0"/>
  </r>
  <r>
    <s v="2025-01-19"/>
    <s v="SUP004"/>
    <x v="1"/>
    <x v="0"/>
    <s v="28L"/>
    <n v="20"/>
    <n v="58063"/>
    <n v="0"/>
    <n v="18"/>
    <n v="1370286.8"/>
    <x v="0"/>
    <x v="2"/>
    <d v="2025-01-29T00:00:00"/>
    <d v="2025-02-01T00:00:00"/>
    <n v="3"/>
    <x v="1"/>
  </r>
  <r>
    <s v="2025-01-20"/>
    <s v="SUP004"/>
    <x v="1"/>
    <x v="2"/>
    <s v="43 Smart"/>
    <n v="8"/>
    <n v="45211"/>
    <n v="0"/>
    <n v="28"/>
    <n v="462960.64000000001"/>
    <x v="2"/>
    <x v="0"/>
    <d v="2025-01-26T00:00:00"/>
    <d v="2025-02-06T00:00:00"/>
    <n v="11"/>
    <x v="0"/>
  </r>
  <r>
    <s v="2025-04-25"/>
    <s v="SUP006"/>
    <x v="0"/>
    <x v="6"/>
    <s v="260L"/>
    <n v="28"/>
    <n v="84496"/>
    <n v="0"/>
    <n v="12"/>
    <n v="2649794.5600000001"/>
    <x v="0"/>
    <x v="3"/>
    <d v="2025-05-05T00:00:00"/>
    <d v="2025-05-16T00:00:00"/>
    <n v="11"/>
    <x v="0"/>
  </r>
  <r>
    <s v="2025-01-20"/>
    <s v="SUP007"/>
    <x v="5"/>
    <x v="6"/>
    <s v="260L"/>
    <n v="38"/>
    <n v="73470"/>
    <n v="5"/>
    <n v="12"/>
    <n v="2970539.04"/>
    <x v="2"/>
    <x v="0"/>
    <d v="2025-01-24T00:00:00"/>
    <d v="2025-01-26T00:00:00"/>
    <n v="2"/>
    <x v="1"/>
  </r>
  <r>
    <s v="2025-05-23"/>
    <s v="SUP003"/>
    <x v="3"/>
    <x v="4"/>
    <s v="1.5 Ton Inverter"/>
    <n v="17"/>
    <n v="71321"/>
    <n v="10"/>
    <n v="18"/>
    <n v="1287629.33"/>
    <x v="0"/>
    <x v="2"/>
    <d v="2025-05-27T00:00:00"/>
    <d v="2025-06-11T00:00:00"/>
    <n v="15"/>
    <x v="0"/>
  </r>
  <r>
    <s v="2025-06-08"/>
    <s v="SUP007"/>
    <x v="5"/>
    <x v="7"/>
    <s v="750W"/>
    <n v="23"/>
    <n v="17924"/>
    <n v="0"/>
    <n v="18"/>
    <n v="486457.36"/>
    <x v="2"/>
    <x v="3"/>
    <d v="2025-06-15T00:00:00"/>
    <d v="2025-06-23T00:00:00"/>
    <n v="8"/>
    <x v="0"/>
  </r>
  <r>
    <s v="2025-05-21"/>
    <s v="SUP004"/>
    <x v="1"/>
    <x v="6"/>
    <s v="260L"/>
    <n v="1"/>
    <n v="45808"/>
    <n v="5"/>
    <n v="18"/>
    <n v="51350.77"/>
    <x v="1"/>
    <x v="2"/>
    <d v="2025-05-27T00:00:00"/>
    <d v="2025-06-01T00:00:00"/>
    <n v="5"/>
    <x v="0"/>
  </r>
  <r>
    <s v="2025-06-07"/>
    <s v="SUP001"/>
    <x v="6"/>
    <x v="5"/>
    <s v="Top Load"/>
    <n v="26"/>
    <n v="7331"/>
    <n v="5"/>
    <n v="12"/>
    <n v="202804.78"/>
    <x v="0"/>
    <x v="0"/>
    <d v="2025-06-15T00:00:00"/>
    <d v="2025-06-28T00:00:00"/>
    <n v="13"/>
    <x v="0"/>
  </r>
  <r>
    <s v="2025-03-21"/>
    <s v="SUP009"/>
    <x v="8"/>
    <x v="5"/>
    <s v="Front Load"/>
    <n v="30"/>
    <n v="36287"/>
    <n v="12"/>
    <n v="18"/>
    <n v="1130412.6200000001"/>
    <x v="0"/>
    <x v="3"/>
    <d v="2025-03-29T00:00:00"/>
    <d v="2025-04-08T00:00:00"/>
    <n v="10"/>
    <x v="0"/>
  </r>
  <r>
    <s v="2025-06-16"/>
    <s v="SUP009"/>
    <x v="8"/>
    <x v="7"/>
    <s v="750W"/>
    <n v="15"/>
    <n v="46089"/>
    <n v="5"/>
    <n v="12"/>
    <n v="735580.44"/>
    <x v="0"/>
    <x v="1"/>
    <d v="2025-06-26T00:00:00"/>
    <d v="2025-07-08T00:00:00"/>
    <n v="12"/>
    <x v="0"/>
  </r>
  <r>
    <s v="2025-03-21"/>
    <s v="SUP006"/>
    <x v="0"/>
    <x v="7"/>
    <s v="500W"/>
    <n v="28"/>
    <n v="8634"/>
    <n v="10"/>
    <n v="28"/>
    <n v="278498.3"/>
    <x v="3"/>
    <x v="0"/>
    <d v="2025-03-29T00:00:00"/>
    <d v="2025-04-03T00:00:00"/>
    <n v="5"/>
    <x v="0"/>
  </r>
  <r>
    <s v="2025-01-27"/>
    <s v="SUP002"/>
    <x v="2"/>
    <x v="2"/>
    <s v="55 4K"/>
    <n v="32"/>
    <n v="53758"/>
    <n v="12"/>
    <n v="28"/>
    <n v="1937696.36"/>
    <x v="3"/>
    <x v="1"/>
    <d v="2025-02-02T00:00:00"/>
    <d v="2025-02-16T00:00:00"/>
    <n v="14"/>
    <x v="0"/>
  </r>
  <r>
    <s v="2025-05-26"/>
    <s v="SUP008"/>
    <x v="7"/>
    <x v="4"/>
    <s v="1.5 Ton Inverter"/>
    <n v="18"/>
    <n v="57161"/>
    <n v="10"/>
    <n v="28"/>
    <n v="1185290.5"/>
    <x v="2"/>
    <x v="1"/>
    <d v="2025-06-01T00:00:00"/>
    <d v="2025-06-12T00:00:00"/>
    <n v="11"/>
    <x v="0"/>
  </r>
  <r>
    <s v="2025-05-14"/>
    <s v="SUP003"/>
    <x v="3"/>
    <x v="5"/>
    <s v="Top Load"/>
    <n v="12"/>
    <n v="82292"/>
    <n v="0"/>
    <n v="28"/>
    <n v="1264005.1200000001"/>
    <x v="3"/>
    <x v="2"/>
    <d v="2025-05-22T00:00:00"/>
    <d v="2025-06-04T00:00:00"/>
    <n v="13"/>
    <x v="0"/>
  </r>
  <r>
    <s v="2025-05-08"/>
    <s v="SUP008"/>
    <x v="7"/>
    <x v="2"/>
    <s v="43 Smart"/>
    <n v="15"/>
    <n v="1904"/>
    <n v="0"/>
    <n v="18"/>
    <n v="33700.800000000003"/>
    <x v="0"/>
    <x v="1"/>
    <d v="2025-05-17T00:00:00"/>
    <d v="2025-05-23T00:00:00"/>
    <n v="6"/>
    <x v="0"/>
  </r>
  <r>
    <s v="2025-04-08"/>
    <s v="SUP009"/>
    <x v="8"/>
    <x v="2"/>
    <s v="43 Smart"/>
    <n v="23"/>
    <n v="73943"/>
    <n v="0"/>
    <n v="28"/>
    <n v="2176881.92"/>
    <x v="1"/>
    <x v="2"/>
    <d v="2025-04-13T00:00:00"/>
    <d v="2025-04-27T00:00:00"/>
    <n v="14"/>
    <x v="0"/>
  </r>
  <r>
    <s v="2025-03-28"/>
    <s v="SUP001"/>
    <x v="6"/>
    <x v="4"/>
    <s v="1.5 Ton Inverter"/>
    <n v="8"/>
    <n v="1655"/>
    <n v="0"/>
    <n v="12"/>
    <n v="14828.8"/>
    <x v="3"/>
    <x v="0"/>
    <d v="2025-04-02T00:00:00"/>
    <d v="2025-04-15T00:00:00"/>
    <n v="13"/>
    <x v="0"/>
  </r>
  <r>
    <s v="2025-02-08"/>
    <s v="SUP004"/>
    <x v="1"/>
    <x v="6"/>
    <s v="260L"/>
    <n v="7"/>
    <n v="63940"/>
    <n v="0"/>
    <n v="28"/>
    <n v="572902.40000000002"/>
    <x v="2"/>
    <x v="0"/>
    <d v="2025-02-15T00:00:00"/>
    <d v="2025-02-25T00:00:00"/>
    <n v="10"/>
    <x v="0"/>
  </r>
  <r>
    <s v="2025-04-29"/>
    <s v="SUP004"/>
    <x v="1"/>
    <x v="2"/>
    <s v="32 LED"/>
    <n v="25"/>
    <n v="40901"/>
    <n v="0"/>
    <n v="28"/>
    <n v="1308832"/>
    <x v="0"/>
    <x v="0"/>
    <d v="2025-05-03T00:00:00"/>
    <d v="2025-05-13T00:00:00"/>
    <n v="10"/>
    <x v="0"/>
  </r>
  <r>
    <s v="2025-04-11"/>
    <s v="SUP006"/>
    <x v="0"/>
    <x v="2"/>
    <s v="43 Smart"/>
    <n v="35"/>
    <n v="50590"/>
    <n v="10"/>
    <n v="18"/>
    <n v="1880430.3"/>
    <x v="2"/>
    <x v="1"/>
    <d v="2025-04-18T00:00:00"/>
    <d v="2025-05-02T00:00:00"/>
    <n v="14"/>
    <x v="0"/>
  </r>
  <r>
    <s v="2025-05-04"/>
    <s v="SUP009"/>
    <x v="8"/>
    <x v="5"/>
    <s v="Top Load"/>
    <n v="14"/>
    <n v="72153"/>
    <n v="5"/>
    <n v="18"/>
    <n v="1132369.18"/>
    <x v="2"/>
    <x v="0"/>
    <d v="2025-05-11T00:00:00"/>
    <d v="2025-05-15T00:00:00"/>
    <n v="4"/>
    <x v="0"/>
  </r>
  <r>
    <s v="2025-06-24"/>
    <s v="SUP009"/>
    <x v="8"/>
    <x v="2"/>
    <s v="55 4K"/>
    <n v="2"/>
    <n v="3154"/>
    <n v="12"/>
    <n v="28"/>
    <n v="7105.33"/>
    <x v="3"/>
    <x v="0"/>
    <d v="2025-07-01T00:00:00"/>
    <d v="2025-07-08T00:00:00"/>
    <n v="7"/>
    <x v="0"/>
  </r>
  <r>
    <s v="2025-03-01"/>
    <s v="SUP003"/>
    <x v="3"/>
    <x v="2"/>
    <s v="43 Smart"/>
    <n v="3"/>
    <n v="14534"/>
    <n v="0"/>
    <n v="12"/>
    <n v="48834.239999999998"/>
    <x v="0"/>
    <x v="2"/>
    <d v="2025-03-09T00:00:00"/>
    <d v="2025-03-13T00:00:00"/>
    <n v="4"/>
    <x v="0"/>
  </r>
  <r>
    <s v="2025-05-03"/>
    <s v="SUP009"/>
    <x v="8"/>
    <x v="1"/>
    <s v="35L"/>
    <n v="9"/>
    <n v="75067"/>
    <n v="12"/>
    <n v="18"/>
    <n v="701546.16"/>
    <x v="1"/>
    <x v="3"/>
    <d v="2025-05-07T00:00:00"/>
    <d v="2025-05-15T00:00:00"/>
    <n v="8"/>
    <x v="0"/>
  </r>
  <r>
    <s v="2025-01-11"/>
    <s v="SUP008"/>
    <x v="7"/>
    <x v="0"/>
    <s v="28L"/>
    <n v="3"/>
    <n v="80629"/>
    <n v="10"/>
    <n v="12"/>
    <n v="243822.1"/>
    <x v="1"/>
    <x v="0"/>
    <d v="2025-01-18T00:00:00"/>
    <d v="2025-02-01T00:00:00"/>
    <n v="14"/>
    <x v="0"/>
  </r>
  <r>
    <s v="2025-02-09"/>
    <s v="SUP004"/>
    <x v="1"/>
    <x v="2"/>
    <s v="32 LED"/>
    <n v="2"/>
    <n v="6911"/>
    <n v="0"/>
    <n v="18"/>
    <n v="16309.96"/>
    <x v="1"/>
    <x v="0"/>
    <d v="2025-02-18T00:00:00"/>
    <d v="2025-03-02T00:00:00"/>
    <n v="12"/>
    <x v="0"/>
  </r>
  <r>
    <s v="2025-03-28"/>
    <s v="SUP001"/>
    <x v="6"/>
    <x v="4"/>
    <s v="1 Ton Split"/>
    <n v="40"/>
    <n v="50576"/>
    <n v="12"/>
    <n v="28"/>
    <n v="2278752.2599999998"/>
    <x v="3"/>
    <x v="1"/>
    <d v="2025-03-31T00:00:00"/>
    <d v="2025-04-10T00:00:00"/>
    <n v="10"/>
    <x v="0"/>
  </r>
  <r>
    <s v="2025-01-05"/>
    <s v="SUP006"/>
    <x v="0"/>
    <x v="5"/>
    <s v="Top Load"/>
    <n v="14"/>
    <n v="57443"/>
    <n v="5"/>
    <n v="12"/>
    <n v="855670.93"/>
    <x v="1"/>
    <x v="1"/>
    <d v="2025-01-14T00:00:00"/>
    <d v="2025-01-24T00:00:00"/>
    <n v="10"/>
    <x v="0"/>
  </r>
  <r>
    <s v="2025-04-01"/>
    <s v="SUP009"/>
    <x v="8"/>
    <x v="2"/>
    <s v="43 Smart"/>
    <n v="2"/>
    <n v="39474"/>
    <n v="5"/>
    <n v="12"/>
    <n v="84000.67"/>
    <x v="2"/>
    <x v="2"/>
    <d v="2025-04-05T00:00:00"/>
    <d v="2025-04-20T00:00:00"/>
    <n v="15"/>
    <x v="0"/>
  </r>
  <r>
    <s v="2025-02-09"/>
    <s v="SUP009"/>
    <x v="8"/>
    <x v="5"/>
    <s v="Top Load"/>
    <n v="33"/>
    <n v="72674"/>
    <n v="10"/>
    <n v="18"/>
    <n v="2546933"/>
    <x v="1"/>
    <x v="0"/>
    <d v="2025-02-15T00:00:00"/>
    <d v="2025-02-28T00:00:00"/>
    <n v="13"/>
    <x v="0"/>
  </r>
  <r>
    <s v="2025-03-11"/>
    <s v="SUP009"/>
    <x v="8"/>
    <x v="5"/>
    <s v="Front Load"/>
    <n v="8"/>
    <n v="17255"/>
    <n v="10"/>
    <n v="18"/>
    <n v="146598.48000000001"/>
    <x v="2"/>
    <x v="2"/>
    <d v="2025-03-19T00:00:00"/>
    <d v="2025-03-29T00:00:00"/>
    <n v="10"/>
    <x v="0"/>
  </r>
  <r>
    <s v="2025-03-27"/>
    <s v="SUP008"/>
    <x v="7"/>
    <x v="5"/>
    <s v="Top Load"/>
    <n v="16"/>
    <n v="38909"/>
    <n v="12"/>
    <n v="28"/>
    <n v="701233.56"/>
    <x v="2"/>
    <x v="3"/>
    <d v="2025-03-30T00:00:00"/>
    <d v="2025-04-11T00:00:00"/>
    <n v="12"/>
    <x v="0"/>
  </r>
  <r>
    <s v="2025-01-11"/>
    <s v="SUP004"/>
    <x v="1"/>
    <x v="3"/>
    <s v="1200mm"/>
    <n v="32"/>
    <n v="82724"/>
    <n v="10"/>
    <n v="18"/>
    <n v="2811292.42"/>
    <x v="3"/>
    <x v="1"/>
    <d v="2025-01-16T00:00:00"/>
    <d v="2025-01-16T00:00:00"/>
    <n v="0"/>
    <x v="2"/>
  </r>
  <r>
    <s v="2025-03-26"/>
    <s v="SUP008"/>
    <x v="7"/>
    <x v="0"/>
    <s v="20L"/>
    <n v="13"/>
    <n v="34414"/>
    <n v="12"/>
    <n v="12"/>
    <n v="440939.7"/>
    <x v="0"/>
    <x v="3"/>
    <d v="2025-04-02T00:00:00"/>
    <d v="2025-04-10T00:00:00"/>
    <n v="8"/>
    <x v="0"/>
  </r>
  <r>
    <s v="2025-02-04"/>
    <s v="SUP004"/>
    <x v="1"/>
    <x v="0"/>
    <s v="28L"/>
    <n v="36"/>
    <n v="1551"/>
    <n v="5"/>
    <n v="12"/>
    <n v="59409.5"/>
    <x v="0"/>
    <x v="0"/>
    <d v="2025-02-09T00:00:00"/>
    <d v="2025-02-19T00:00:00"/>
    <n v="10"/>
    <x v="0"/>
  </r>
  <r>
    <s v="2025-01-26"/>
    <s v="SUP002"/>
    <x v="2"/>
    <x v="4"/>
    <s v="1.5 Ton Inverter"/>
    <n v="4"/>
    <n v="14770"/>
    <n v="10"/>
    <n v="18"/>
    <n v="62742.96"/>
    <x v="2"/>
    <x v="3"/>
    <d v="2025-02-04T00:00:00"/>
    <d v="2025-02-19T00:00:00"/>
    <n v="15"/>
    <x v="0"/>
  </r>
  <r>
    <s v="2025-06-30"/>
    <s v="SUP006"/>
    <x v="0"/>
    <x v="0"/>
    <s v="20L"/>
    <n v="4"/>
    <n v="6114"/>
    <n v="10"/>
    <n v="12"/>
    <n v="24651.65"/>
    <x v="0"/>
    <x v="1"/>
    <d v="2025-07-10T00:00:00"/>
    <d v="2025-07-20T00:00:00"/>
    <n v="10"/>
    <x v="0"/>
  </r>
  <r>
    <s v="2025-03-15"/>
    <s v="SUP006"/>
    <x v="0"/>
    <x v="5"/>
    <s v="Front Load"/>
    <n v="36"/>
    <n v="46982"/>
    <n v="0"/>
    <n v="18"/>
    <n v="1995795.36"/>
    <x v="3"/>
    <x v="1"/>
    <d v="2025-03-18T00:00:00"/>
    <d v="2025-03-19T00:00:00"/>
    <n v="1"/>
    <x v="1"/>
  </r>
  <r>
    <s v="2025-05-20"/>
    <s v="SUP004"/>
    <x v="1"/>
    <x v="5"/>
    <s v="Front Load"/>
    <n v="23"/>
    <n v="69216"/>
    <n v="0"/>
    <n v="18"/>
    <n v="1878522.24"/>
    <x v="2"/>
    <x v="3"/>
    <d v="2025-05-26T00:00:00"/>
    <d v="2025-05-29T00:00:00"/>
    <n v="3"/>
    <x v="1"/>
  </r>
  <r>
    <s v="2025-03-04"/>
    <s v="SUP006"/>
    <x v="0"/>
    <x v="2"/>
    <s v="55 4K"/>
    <n v="30"/>
    <n v="69813"/>
    <n v="0"/>
    <n v="18"/>
    <n v="2471380.2000000002"/>
    <x v="1"/>
    <x v="3"/>
    <d v="2025-03-11T00:00:00"/>
    <d v="2025-03-21T00:00:00"/>
    <n v="10"/>
    <x v="0"/>
  </r>
  <r>
    <s v="2025-06-26"/>
    <s v="SUP001"/>
    <x v="6"/>
    <x v="7"/>
    <s v="750W"/>
    <n v="4"/>
    <n v="23044"/>
    <n v="12"/>
    <n v="12"/>
    <n v="90848.67"/>
    <x v="2"/>
    <x v="2"/>
    <d v="2025-06-29T00:00:00"/>
    <d v="2025-07-05T00:00:00"/>
    <n v="6"/>
    <x v="0"/>
  </r>
  <r>
    <s v="2025-01-24"/>
    <s v="SUP007"/>
    <x v="5"/>
    <x v="2"/>
    <s v="55 4K"/>
    <n v="33"/>
    <n v="14248"/>
    <n v="12"/>
    <n v="28"/>
    <n v="529615.26"/>
    <x v="1"/>
    <x v="3"/>
    <d v="2025-02-03T00:00:00"/>
    <d v="2025-02-11T00:00:00"/>
    <n v="8"/>
    <x v="0"/>
  </r>
  <r>
    <s v="2025-05-12"/>
    <s v="SUP004"/>
    <x v="1"/>
    <x v="1"/>
    <s v="35L"/>
    <n v="8"/>
    <n v="51975"/>
    <n v="12"/>
    <n v="12"/>
    <n v="409812.47999999998"/>
    <x v="0"/>
    <x v="2"/>
    <d v="2025-05-20T00:00:00"/>
    <d v="2025-05-22T00:00:00"/>
    <n v="2"/>
    <x v="1"/>
  </r>
  <r>
    <s v="2025-04-12"/>
    <s v="SUP003"/>
    <x v="3"/>
    <x v="2"/>
    <s v="55 4K"/>
    <n v="33"/>
    <n v="27521"/>
    <n v="5"/>
    <n v="28"/>
    <n v="1104362.69"/>
    <x v="3"/>
    <x v="2"/>
    <d v="2025-04-18T00:00:00"/>
    <d v="2025-04-18T00:00:00"/>
    <n v="0"/>
    <x v="2"/>
  </r>
  <r>
    <s v="2025-02-16"/>
    <s v="SUP001"/>
    <x v="6"/>
    <x v="5"/>
    <s v="Front Load"/>
    <n v="11"/>
    <n v="64287"/>
    <n v="10"/>
    <n v="18"/>
    <n v="751000.73"/>
    <x v="3"/>
    <x v="1"/>
    <d v="2025-02-20T00:00:00"/>
    <d v="2025-02-24T00:00:00"/>
    <n v="4"/>
    <x v="0"/>
  </r>
  <r>
    <s v="2025-02-27"/>
    <s v="SUP005"/>
    <x v="4"/>
    <x v="6"/>
    <s v="190L"/>
    <n v="3"/>
    <n v="6429"/>
    <n v="5"/>
    <n v="12"/>
    <n v="20521.37"/>
    <x v="3"/>
    <x v="1"/>
    <d v="2025-03-07T00:00:00"/>
    <d v="2025-03-14T00:00:00"/>
    <n v="7"/>
    <x v="0"/>
  </r>
  <r>
    <s v="2025-06-08"/>
    <s v="SUP006"/>
    <x v="0"/>
    <x v="0"/>
    <s v="20L"/>
    <n v="35"/>
    <n v="27955"/>
    <n v="0"/>
    <n v="12"/>
    <n v="1095836"/>
    <x v="1"/>
    <x v="0"/>
    <d v="2025-06-18T00:00:00"/>
    <d v="2025-06-24T00:00:00"/>
    <n v="6"/>
    <x v="0"/>
  </r>
  <r>
    <s v="2025-06-02"/>
    <s v="SUP003"/>
    <x v="3"/>
    <x v="4"/>
    <s v="1 Ton Split"/>
    <n v="29"/>
    <n v="14969"/>
    <n v="5"/>
    <n v="18"/>
    <n v="486627.22"/>
    <x v="0"/>
    <x v="1"/>
    <d v="2025-06-07T00:00:00"/>
    <d v="2025-06-16T00:00:00"/>
    <n v="9"/>
    <x v="0"/>
  </r>
  <r>
    <s v="2025-04-08"/>
    <s v="SUP003"/>
    <x v="3"/>
    <x v="2"/>
    <s v="32 LED"/>
    <n v="25"/>
    <n v="81160"/>
    <n v="0"/>
    <n v="18"/>
    <n v="2394220"/>
    <x v="0"/>
    <x v="2"/>
    <d v="2025-04-12T00:00:00"/>
    <d v="2025-04-25T00:00:00"/>
    <n v="13"/>
    <x v="0"/>
  </r>
  <r>
    <s v="2025-03-03"/>
    <s v="SUP001"/>
    <x v="6"/>
    <x v="2"/>
    <s v="32 LED"/>
    <n v="4"/>
    <n v="35912"/>
    <n v="10"/>
    <n v="28"/>
    <n v="165482.5"/>
    <x v="3"/>
    <x v="0"/>
    <d v="2025-03-08T00:00:00"/>
    <d v="2025-03-11T00:00:00"/>
    <n v="3"/>
    <x v="1"/>
  </r>
  <r>
    <s v="2025-06-06"/>
    <s v="SUP004"/>
    <x v="1"/>
    <x v="7"/>
    <s v="750W"/>
    <n v="5"/>
    <n v="8990"/>
    <n v="12"/>
    <n v="18"/>
    <n v="46676.08"/>
    <x v="3"/>
    <x v="0"/>
    <d v="2025-06-09T00:00:00"/>
    <d v="2025-06-17T00:00:00"/>
    <n v="8"/>
    <x v="0"/>
  </r>
  <r>
    <s v="2025-03-16"/>
    <s v="SUP007"/>
    <x v="5"/>
    <x v="6"/>
    <s v="260L"/>
    <n v="5"/>
    <n v="17824"/>
    <n v="12"/>
    <n v="12"/>
    <n v="87836.67"/>
    <x v="3"/>
    <x v="2"/>
    <d v="2025-03-25T00:00:00"/>
    <d v="2025-03-26T00:00:00"/>
    <n v="1"/>
    <x v="1"/>
  </r>
  <r>
    <s v="2025-02-16"/>
    <s v="SUP007"/>
    <x v="5"/>
    <x v="7"/>
    <s v="750W"/>
    <n v="1"/>
    <n v="15361"/>
    <n v="12"/>
    <n v="18"/>
    <n v="15950.86"/>
    <x v="1"/>
    <x v="2"/>
    <d v="2025-02-21T00:00:00"/>
    <d v="2025-02-28T00:00:00"/>
    <n v="7"/>
    <x v="0"/>
  </r>
  <r>
    <s v="2025-04-29"/>
    <s v="SUP009"/>
    <x v="8"/>
    <x v="7"/>
    <s v="500W"/>
    <n v="23"/>
    <n v="66514"/>
    <n v="0"/>
    <n v="28"/>
    <n v="1958172.16"/>
    <x v="0"/>
    <x v="2"/>
    <d v="2025-05-09T00:00:00"/>
    <d v="2025-05-19T00:00:00"/>
    <n v="10"/>
    <x v="0"/>
  </r>
  <r>
    <s v="2025-03-30"/>
    <s v="SUP009"/>
    <x v="8"/>
    <x v="6"/>
    <s v="190L"/>
    <n v="20"/>
    <n v="46729"/>
    <n v="12"/>
    <n v="28"/>
    <n v="1052710.9099999999"/>
    <x v="1"/>
    <x v="1"/>
    <d v="2025-04-07T00:00:00"/>
    <d v="2025-04-18T00:00:00"/>
    <n v="11"/>
    <x v="0"/>
  </r>
  <r>
    <s v="2025-06-15"/>
    <s v="SUP002"/>
    <x v="2"/>
    <x v="2"/>
    <s v="32 LED"/>
    <n v="15"/>
    <n v="81090"/>
    <n v="12"/>
    <n v="12"/>
    <n v="1198834.56"/>
    <x v="0"/>
    <x v="2"/>
    <d v="2025-06-23T00:00:00"/>
    <d v="2025-07-08T00:00:00"/>
    <n v="15"/>
    <x v="0"/>
  </r>
  <r>
    <s v="2025-06-06"/>
    <s v="SUP007"/>
    <x v="5"/>
    <x v="2"/>
    <s v="55 4K"/>
    <n v="29"/>
    <n v="51870"/>
    <n v="12"/>
    <n v="12"/>
    <n v="1482569.09"/>
    <x v="0"/>
    <x v="1"/>
    <d v="2025-06-13T00:00:00"/>
    <d v="2025-06-28T00:00:00"/>
    <n v="15"/>
    <x v="0"/>
  </r>
  <r>
    <s v="2025-05-12"/>
    <s v="SUP003"/>
    <x v="3"/>
    <x v="3"/>
    <s v="1200mm"/>
    <n v="30"/>
    <n v="75832"/>
    <n v="10"/>
    <n v="18"/>
    <n v="2416007.52"/>
    <x v="1"/>
    <x v="1"/>
    <d v="2025-05-20T00:00:00"/>
    <d v="2025-05-28T00:00:00"/>
    <n v="8"/>
    <x v="0"/>
  </r>
  <r>
    <s v="2025-01-06"/>
    <s v="SUP003"/>
    <x v="3"/>
    <x v="4"/>
    <s v="1 Ton Split"/>
    <n v="22"/>
    <n v="65887"/>
    <n v="0"/>
    <n v="18"/>
    <n v="1710426.52"/>
    <x v="2"/>
    <x v="0"/>
    <d v="2025-01-09T00:00:00"/>
    <d v="2025-01-24T00:00:00"/>
    <n v="15"/>
    <x v="0"/>
  </r>
  <r>
    <s v="2025-06-18"/>
    <s v="SUP005"/>
    <x v="4"/>
    <x v="2"/>
    <s v="55 4K"/>
    <n v="34"/>
    <n v="6098"/>
    <n v="10"/>
    <n v="28"/>
    <n v="238846.46"/>
    <x v="1"/>
    <x v="0"/>
    <d v="2025-06-23T00:00:00"/>
    <d v="2025-06-23T00:00:00"/>
    <n v="0"/>
    <x v="2"/>
  </r>
  <r>
    <s v="2025-02-26"/>
    <s v="SUP008"/>
    <x v="7"/>
    <x v="6"/>
    <s v="260L"/>
    <n v="6"/>
    <n v="70933"/>
    <n v="10"/>
    <n v="28"/>
    <n v="490288.9"/>
    <x v="0"/>
    <x v="1"/>
    <d v="2025-03-08T00:00:00"/>
    <d v="2025-03-19T00:00:00"/>
    <n v="11"/>
    <x v="0"/>
  </r>
  <r>
    <s v="2025-06-04"/>
    <s v="SUP009"/>
    <x v="8"/>
    <x v="7"/>
    <s v="750W"/>
    <n v="8"/>
    <n v="34620"/>
    <n v="12"/>
    <n v="28"/>
    <n v="311967.74"/>
    <x v="2"/>
    <x v="1"/>
    <d v="2025-06-11T00:00:00"/>
    <d v="2025-06-25T00:00:00"/>
    <n v="14"/>
    <x v="0"/>
  </r>
  <r>
    <s v="2025-05-25"/>
    <s v="SUP005"/>
    <x v="4"/>
    <x v="4"/>
    <s v="1 Ton Split"/>
    <n v="34"/>
    <n v="26316"/>
    <n v="12"/>
    <n v="12"/>
    <n v="881859.69"/>
    <x v="3"/>
    <x v="3"/>
    <d v="2025-05-31T00:00:00"/>
    <d v="2025-06-11T00:00:00"/>
    <n v="11"/>
    <x v="0"/>
  </r>
  <r>
    <s v="2025-06-24"/>
    <s v="SUP009"/>
    <x v="8"/>
    <x v="7"/>
    <s v="750W"/>
    <n v="39"/>
    <n v="34311"/>
    <n v="5"/>
    <n v="28"/>
    <n v="1627164.86"/>
    <x v="2"/>
    <x v="2"/>
    <d v="2025-07-01T00:00:00"/>
    <d v="2025-07-13T00:00:00"/>
    <n v="12"/>
    <x v="0"/>
  </r>
  <r>
    <s v="2025-03-03"/>
    <s v="SUP007"/>
    <x v="5"/>
    <x v="5"/>
    <s v="Top Load"/>
    <n v="16"/>
    <n v="82995"/>
    <n v="10"/>
    <n v="12"/>
    <n v="1338543.3600000001"/>
    <x v="1"/>
    <x v="2"/>
    <d v="2025-03-10T00:00:00"/>
    <d v="2025-03-16T00:00:00"/>
    <n v="6"/>
    <x v="0"/>
  </r>
  <r>
    <s v="2025-05-03"/>
    <s v="SUP008"/>
    <x v="7"/>
    <x v="4"/>
    <s v="1 Ton Split"/>
    <n v="12"/>
    <n v="39630"/>
    <n v="0"/>
    <n v="18"/>
    <n v="561160.80000000005"/>
    <x v="1"/>
    <x v="2"/>
    <d v="2025-05-06T00:00:00"/>
    <d v="2025-05-19T00:00:00"/>
    <n v="13"/>
    <x v="0"/>
  </r>
  <r>
    <s v="2025-06-09"/>
    <s v="SUP001"/>
    <x v="6"/>
    <x v="0"/>
    <s v="28L"/>
    <n v="24"/>
    <n v="2847"/>
    <n v="12"/>
    <n v="28"/>
    <n v="76964.66"/>
    <x v="2"/>
    <x v="1"/>
    <d v="2025-06-13T00:00:00"/>
    <d v="2025-06-22T00:00:00"/>
    <n v="9"/>
    <x v="0"/>
  </r>
  <r>
    <s v="2025-03-12"/>
    <s v="SUP004"/>
    <x v="1"/>
    <x v="0"/>
    <s v="28L"/>
    <n v="34"/>
    <n v="64868"/>
    <n v="10"/>
    <n v="18"/>
    <n v="2342253.7400000002"/>
    <x v="3"/>
    <x v="3"/>
    <d v="2025-03-22T00:00:00"/>
    <d v="2025-03-24T00:00:00"/>
    <n v="2"/>
    <x v="1"/>
  </r>
  <r>
    <s v="2025-03-25"/>
    <s v="SUP004"/>
    <x v="1"/>
    <x v="7"/>
    <s v="750W"/>
    <n v="27"/>
    <n v="3768"/>
    <n v="5"/>
    <n v="12"/>
    <n v="108247.1"/>
    <x v="3"/>
    <x v="3"/>
    <d v="2025-04-02T00:00:00"/>
    <d v="2025-04-17T00:00:00"/>
    <n v="15"/>
    <x v="0"/>
  </r>
  <r>
    <s v="2025-02-02"/>
    <s v="SUP002"/>
    <x v="2"/>
    <x v="4"/>
    <s v="1.5 Ton Inverter"/>
    <n v="34"/>
    <n v="47973"/>
    <n v="12"/>
    <n v="18"/>
    <n v="1693715.55"/>
    <x v="3"/>
    <x v="3"/>
    <d v="2025-02-10T00:00:00"/>
    <d v="2025-02-20T00:00:00"/>
    <n v="10"/>
    <x v="0"/>
  </r>
  <r>
    <s v="2025-01-06"/>
    <s v="SUP009"/>
    <x v="8"/>
    <x v="7"/>
    <s v="750W"/>
    <n v="26"/>
    <n v="47532"/>
    <n v="0"/>
    <n v="28"/>
    <n v="1581864.96"/>
    <x v="0"/>
    <x v="3"/>
    <d v="2025-01-14T00:00:00"/>
    <d v="2025-01-19T00:00:00"/>
    <n v="5"/>
    <x v="0"/>
  </r>
  <r>
    <s v="2025-03-02"/>
    <s v="SUP004"/>
    <x v="1"/>
    <x v="7"/>
    <s v="750W"/>
    <n v="39"/>
    <n v="26026"/>
    <n v="0"/>
    <n v="18"/>
    <n v="1197716.52"/>
    <x v="1"/>
    <x v="1"/>
    <d v="2025-03-06T00:00:00"/>
    <d v="2025-03-11T00:00:00"/>
    <n v="5"/>
    <x v="0"/>
  </r>
  <r>
    <s v="2025-04-30"/>
    <s v="SUP005"/>
    <x v="4"/>
    <x v="2"/>
    <s v="43 Smart"/>
    <n v="13"/>
    <n v="29237"/>
    <n v="10"/>
    <n v="12"/>
    <n v="383121.65"/>
    <x v="3"/>
    <x v="1"/>
    <d v="2025-05-07T00:00:00"/>
    <d v="2025-05-19T00:00:00"/>
    <n v="12"/>
    <x v="0"/>
  </r>
  <r>
    <s v="2025-06-28"/>
    <s v="SUP006"/>
    <x v="0"/>
    <x v="2"/>
    <s v="55 4K"/>
    <n v="33"/>
    <n v="56418"/>
    <n v="5"/>
    <n v="12"/>
    <n v="1980948.82"/>
    <x v="3"/>
    <x v="2"/>
    <d v="2025-07-02T00:00:00"/>
    <d v="2025-07-08T00:00:00"/>
    <n v="6"/>
    <x v="0"/>
  </r>
  <r>
    <s v="2025-01-16"/>
    <s v="SUP003"/>
    <x v="3"/>
    <x v="3"/>
    <s v="1200mm"/>
    <n v="28"/>
    <n v="5236"/>
    <n v="0"/>
    <n v="28"/>
    <n v="187658.23999999999"/>
    <x v="3"/>
    <x v="0"/>
    <d v="2025-01-19T00:00:00"/>
    <d v="2025-02-02T00:00:00"/>
    <n v="14"/>
    <x v="0"/>
  </r>
  <r>
    <s v="2025-05-27"/>
    <s v="SUP008"/>
    <x v="7"/>
    <x v="4"/>
    <s v="1 Ton Split"/>
    <n v="13"/>
    <n v="45628"/>
    <n v="10"/>
    <n v="18"/>
    <n v="629940.17000000004"/>
    <x v="2"/>
    <x v="1"/>
    <d v="2025-06-02T00:00:00"/>
    <d v="2025-06-08T00:00:00"/>
    <n v="6"/>
    <x v="0"/>
  </r>
  <r>
    <s v="2025-04-11"/>
    <s v="SUP002"/>
    <x v="2"/>
    <x v="5"/>
    <s v="Front Load"/>
    <n v="11"/>
    <n v="37358"/>
    <n v="12"/>
    <n v="18"/>
    <n v="426718.02"/>
    <x v="3"/>
    <x v="2"/>
    <d v="2025-04-20T00:00:00"/>
    <d v="2025-04-24T00:00:00"/>
    <n v="4"/>
    <x v="0"/>
  </r>
  <r>
    <s v="2025-01-17"/>
    <s v="SUP006"/>
    <x v="0"/>
    <x v="6"/>
    <s v="190L"/>
    <n v="32"/>
    <n v="19186"/>
    <n v="0"/>
    <n v="28"/>
    <n v="785858.56000000006"/>
    <x v="1"/>
    <x v="3"/>
    <d v="2025-01-23T00:00:00"/>
    <d v="2025-01-31T00:00:00"/>
    <n v="8"/>
    <x v="0"/>
  </r>
  <r>
    <s v="2025-04-04"/>
    <s v="SUP002"/>
    <x v="2"/>
    <x v="4"/>
    <s v="2 Ton"/>
    <n v="2"/>
    <n v="73128"/>
    <n v="0"/>
    <n v="28"/>
    <n v="187207.67999999999"/>
    <x v="0"/>
    <x v="0"/>
    <d v="2025-04-14T00:00:00"/>
    <d v="2025-04-18T00:00:00"/>
    <n v="4"/>
    <x v="0"/>
  </r>
  <r>
    <s v="2025-04-22"/>
    <s v="SUP003"/>
    <x v="3"/>
    <x v="3"/>
    <s v="1200mm"/>
    <n v="20"/>
    <n v="58737"/>
    <n v="5"/>
    <n v="12"/>
    <n v="1249923.3600000001"/>
    <x v="0"/>
    <x v="3"/>
    <d v="2025-04-30T00:00:00"/>
    <d v="2025-05-11T00:00:00"/>
    <n v="11"/>
    <x v="0"/>
  </r>
  <r>
    <s v="2025-06-15"/>
    <s v="SUP003"/>
    <x v="3"/>
    <x v="2"/>
    <s v="55 4K"/>
    <n v="27"/>
    <n v="68272"/>
    <n v="5"/>
    <n v="12"/>
    <n v="1961318.02"/>
    <x v="2"/>
    <x v="2"/>
    <d v="2025-06-24T00:00:00"/>
    <d v="2025-06-30T00:00:00"/>
    <n v="6"/>
    <x v="0"/>
  </r>
  <r>
    <s v="2025-06-25"/>
    <s v="SUP006"/>
    <x v="0"/>
    <x v="5"/>
    <s v="Top Load"/>
    <n v="27"/>
    <n v="64615"/>
    <n v="12"/>
    <n v="12"/>
    <n v="1719482.69"/>
    <x v="2"/>
    <x v="3"/>
    <d v="2025-06-30T00:00:00"/>
    <d v="2025-07-04T00:00:00"/>
    <n v="4"/>
    <x v="0"/>
  </r>
  <r>
    <s v="2025-02-28"/>
    <s v="SUP005"/>
    <x v="4"/>
    <x v="6"/>
    <s v="260L"/>
    <n v="22"/>
    <n v="78512"/>
    <n v="12"/>
    <n v="12"/>
    <n v="1702391.4"/>
    <x v="0"/>
    <x v="3"/>
    <d v="2025-03-05T00:00:00"/>
    <d v="2025-03-09T00:00:00"/>
    <n v="4"/>
    <x v="0"/>
  </r>
  <r>
    <s v="2025-01-01"/>
    <s v="SUP007"/>
    <x v="5"/>
    <x v="5"/>
    <s v="Top Load"/>
    <n v="3"/>
    <n v="28898"/>
    <n v="12"/>
    <n v="28"/>
    <n v="97652.12"/>
    <x v="2"/>
    <x v="2"/>
    <d v="2025-01-04T00:00:00"/>
    <d v="2025-01-05T00:00:00"/>
    <n v="1"/>
    <x v="1"/>
  </r>
  <r>
    <s v="2025-06-08"/>
    <s v="SUP004"/>
    <x v="1"/>
    <x v="0"/>
    <s v="20L"/>
    <n v="29"/>
    <n v="49620"/>
    <n v="10"/>
    <n v="12"/>
    <n v="1450491.84"/>
    <x v="2"/>
    <x v="0"/>
    <d v="2025-06-15T00:00:00"/>
    <d v="2025-06-24T00:00:00"/>
    <n v="9"/>
    <x v="0"/>
  </r>
  <r>
    <s v="2025-06-18"/>
    <s v="SUP009"/>
    <x v="8"/>
    <x v="4"/>
    <s v="1 Ton Split"/>
    <n v="13"/>
    <n v="43444"/>
    <n v="0"/>
    <n v="18"/>
    <n v="666430.96"/>
    <x v="3"/>
    <x v="2"/>
    <d v="2025-06-23T00:00:00"/>
    <d v="2025-06-27T00:00:00"/>
    <n v="4"/>
    <x v="0"/>
  </r>
  <r>
    <s v="2025-05-05"/>
    <s v="SUP006"/>
    <x v="0"/>
    <x v="4"/>
    <s v="1.5 Ton Inverter"/>
    <n v="16"/>
    <n v="75006"/>
    <n v="5"/>
    <n v="28"/>
    <n v="1459316.74"/>
    <x v="3"/>
    <x v="0"/>
    <d v="2025-05-12T00:00:00"/>
    <d v="2025-05-23T00:00:00"/>
    <n v="11"/>
    <x v="0"/>
  </r>
  <r>
    <s v="2025-05-28"/>
    <s v="SUP009"/>
    <x v="8"/>
    <x v="0"/>
    <s v="20L"/>
    <n v="21"/>
    <n v="65236"/>
    <n v="5"/>
    <n v="28"/>
    <n v="1665866.5"/>
    <x v="3"/>
    <x v="0"/>
    <d v="2025-06-02T00:00:00"/>
    <d v="2025-06-16T00:00:00"/>
    <n v="14"/>
    <x v="0"/>
  </r>
  <r>
    <s v="2025-06-20"/>
    <s v="SUP001"/>
    <x v="6"/>
    <x v="5"/>
    <s v="Top Load"/>
    <n v="9"/>
    <n v="75669"/>
    <n v="10"/>
    <n v="18"/>
    <n v="723244.3"/>
    <x v="1"/>
    <x v="1"/>
    <d v="2025-06-25T00:00:00"/>
    <d v="2025-06-30T00:00:00"/>
    <n v="5"/>
    <x v="0"/>
  </r>
  <r>
    <s v="2025-01-04"/>
    <s v="SUP007"/>
    <x v="5"/>
    <x v="2"/>
    <s v="55 4K"/>
    <n v="39"/>
    <n v="20924"/>
    <n v="0"/>
    <n v="12"/>
    <n v="913960.32"/>
    <x v="3"/>
    <x v="2"/>
    <d v="2025-01-07T00:00:00"/>
    <d v="2025-01-12T00:00:00"/>
    <n v="5"/>
    <x v="0"/>
  </r>
  <r>
    <s v="2025-06-28"/>
    <s v="SUP007"/>
    <x v="5"/>
    <x v="0"/>
    <s v="20L"/>
    <n v="29"/>
    <n v="81746"/>
    <n v="0"/>
    <n v="12"/>
    <n v="2655110.08"/>
    <x v="3"/>
    <x v="0"/>
    <d v="2025-07-03T00:00:00"/>
    <d v="2025-07-16T00:00:00"/>
    <n v="13"/>
    <x v="0"/>
  </r>
  <r>
    <s v="2025-02-11"/>
    <s v="SUP008"/>
    <x v="7"/>
    <x v="6"/>
    <s v="260L"/>
    <n v="37"/>
    <n v="58618"/>
    <n v="5"/>
    <n v="28"/>
    <n v="2637341.06"/>
    <x v="2"/>
    <x v="1"/>
    <d v="2025-02-21T00:00:00"/>
    <d v="2025-02-21T00:00:00"/>
    <n v="0"/>
    <x v="2"/>
  </r>
  <r>
    <s v="2025-01-19"/>
    <s v="SUP009"/>
    <x v="8"/>
    <x v="2"/>
    <s v="32 LED"/>
    <n v="12"/>
    <n v="70025"/>
    <n v="5"/>
    <n v="28"/>
    <n v="1021804.8"/>
    <x v="1"/>
    <x v="3"/>
    <d v="2025-01-26T00:00:00"/>
    <d v="2025-02-02T00:00:00"/>
    <n v="7"/>
    <x v="0"/>
  </r>
  <r>
    <s v="2025-06-20"/>
    <s v="SUP003"/>
    <x v="3"/>
    <x v="4"/>
    <s v="1.5 Ton Inverter"/>
    <n v="19"/>
    <n v="46977"/>
    <n v="10"/>
    <n v="12"/>
    <n v="899703.5"/>
    <x v="2"/>
    <x v="1"/>
    <d v="2025-06-28T00:00:00"/>
    <d v="2025-06-30T00:00:00"/>
    <n v="2"/>
    <x v="1"/>
  </r>
  <r>
    <s v="2025-03-20"/>
    <s v="SUP007"/>
    <x v="5"/>
    <x v="4"/>
    <s v="1 Ton Split"/>
    <n v="25"/>
    <n v="65061"/>
    <n v="0"/>
    <n v="18"/>
    <n v="1919299.5"/>
    <x v="1"/>
    <x v="1"/>
    <d v="2025-03-30T00:00:00"/>
    <d v="2025-04-12T00:00:00"/>
    <n v="13"/>
    <x v="0"/>
  </r>
  <r>
    <s v="2025-06-17"/>
    <s v="SUP006"/>
    <x v="0"/>
    <x v="4"/>
    <s v="1.5 Ton Inverter"/>
    <n v="18"/>
    <n v="24955"/>
    <n v="12"/>
    <n v="28"/>
    <n v="505967.62"/>
    <x v="3"/>
    <x v="2"/>
    <d v="2025-06-22T00:00:00"/>
    <d v="2025-07-02T00:00:00"/>
    <n v="10"/>
    <x v="0"/>
  </r>
  <r>
    <s v="2025-04-22"/>
    <s v="SUP005"/>
    <x v="4"/>
    <x v="4"/>
    <s v="1.5 Ton Inverter"/>
    <n v="40"/>
    <n v="72487"/>
    <n v="12"/>
    <n v="12"/>
    <n v="2857727.49"/>
    <x v="1"/>
    <x v="3"/>
    <d v="2025-04-27T00:00:00"/>
    <d v="2025-04-28T00:00:00"/>
    <n v="1"/>
    <x v="1"/>
  </r>
  <r>
    <s v="2025-04-25"/>
    <s v="SUP003"/>
    <x v="3"/>
    <x v="6"/>
    <s v="260L"/>
    <n v="37"/>
    <n v="76970"/>
    <n v="10"/>
    <n v="28"/>
    <n v="3280769.28"/>
    <x v="3"/>
    <x v="3"/>
    <d v="2025-05-05T00:00:00"/>
    <d v="2025-05-05T00:00:00"/>
    <n v="0"/>
    <x v="2"/>
  </r>
  <r>
    <s v="2025-03-10"/>
    <s v="SUP001"/>
    <x v="6"/>
    <x v="0"/>
    <s v="20L"/>
    <n v="34"/>
    <n v="9075"/>
    <n v="12"/>
    <n v="18"/>
    <n v="320398.32"/>
    <x v="0"/>
    <x v="1"/>
    <d v="2025-03-13T00:00:00"/>
    <d v="2025-03-16T00:00:00"/>
    <n v="3"/>
    <x v="1"/>
  </r>
  <r>
    <s v="2025-01-11"/>
    <s v="SUP009"/>
    <x v="8"/>
    <x v="4"/>
    <s v="1 Ton Split"/>
    <n v="15"/>
    <n v="67563"/>
    <n v="0"/>
    <n v="18"/>
    <n v="1195865.1000000001"/>
    <x v="2"/>
    <x v="1"/>
    <d v="2025-01-19T00:00:00"/>
    <d v="2025-01-27T00:00:00"/>
    <n v="8"/>
    <x v="0"/>
  </r>
  <r>
    <s v="2025-03-25"/>
    <s v="SUP007"/>
    <x v="5"/>
    <x v="4"/>
    <s v="1 Ton Split"/>
    <n v="25"/>
    <n v="4999"/>
    <n v="12"/>
    <n v="12"/>
    <n v="123175.36"/>
    <x v="2"/>
    <x v="0"/>
    <d v="2025-04-02T00:00:00"/>
    <d v="2025-04-02T00:00:00"/>
    <n v="0"/>
    <x v="2"/>
  </r>
  <r>
    <s v="2025-03-19"/>
    <s v="SUP003"/>
    <x v="3"/>
    <x v="2"/>
    <s v="32 LED"/>
    <n v="22"/>
    <n v="64657"/>
    <n v="0"/>
    <n v="18"/>
    <n v="1678495.72"/>
    <x v="1"/>
    <x v="0"/>
    <d v="2025-03-24T00:00:00"/>
    <d v="2025-03-30T00:00:00"/>
    <n v="6"/>
    <x v="0"/>
  </r>
  <r>
    <s v="2025-05-15"/>
    <s v="SUP002"/>
    <x v="2"/>
    <x v="2"/>
    <s v="55 4K"/>
    <n v="8"/>
    <n v="55573"/>
    <n v="12"/>
    <n v="28"/>
    <n v="500779.42"/>
    <x v="3"/>
    <x v="3"/>
    <d v="2025-05-19T00:00:00"/>
    <d v="2025-06-01T00:00:00"/>
    <n v="13"/>
    <x v="0"/>
  </r>
  <r>
    <s v="2025-03-21"/>
    <s v="SUP009"/>
    <x v="8"/>
    <x v="0"/>
    <s v="28L"/>
    <n v="25"/>
    <n v="36952"/>
    <n v="0"/>
    <n v="18"/>
    <n v="1090084"/>
    <x v="2"/>
    <x v="2"/>
    <d v="2025-03-30T00:00:00"/>
    <d v="2025-04-05T00:00:00"/>
    <n v="6"/>
    <x v="0"/>
  </r>
  <r>
    <s v="2025-01-22"/>
    <s v="SUP004"/>
    <x v="1"/>
    <x v="4"/>
    <s v="1.5 Ton Inverter"/>
    <n v="24"/>
    <n v="75591"/>
    <n v="5"/>
    <n v="18"/>
    <n v="2033700.26"/>
    <x v="3"/>
    <x v="0"/>
    <d v="2025-01-27T00:00:00"/>
    <d v="2025-02-03T00:00:00"/>
    <n v="7"/>
    <x v="0"/>
  </r>
  <r>
    <s v="2025-01-27"/>
    <s v="SUP002"/>
    <x v="2"/>
    <x v="4"/>
    <s v="1 Ton Split"/>
    <n v="38"/>
    <n v="34255"/>
    <n v="12"/>
    <n v="12"/>
    <n v="1282945.6599999999"/>
    <x v="3"/>
    <x v="3"/>
    <d v="2025-02-02T00:00:00"/>
    <d v="2025-02-17T00:00:00"/>
    <n v="15"/>
    <x v="0"/>
  </r>
  <r>
    <s v="2025-03-10"/>
    <s v="SUP001"/>
    <x v="6"/>
    <x v="1"/>
    <s v="35L"/>
    <n v="38"/>
    <n v="82772"/>
    <n v="0"/>
    <n v="18"/>
    <n v="3711496.48"/>
    <x v="3"/>
    <x v="2"/>
    <d v="2025-03-16T00:00:00"/>
    <d v="2025-03-27T00:00:00"/>
    <n v="11"/>
    <x v="0"/>
  </r>
  <r>
    <s v="2025-04-29"/>
    <s v="SUP007"/>
    <x v="5"/>
    <x v="1"/>
    <s v="35L"/>
    <n v="36"/>
    <n v="83363"/>
    <n v="5"/>
    <n v="18"/>
    <n v="3364197.23"/>
    <x v="0"/>
    <x v="2"/>
    <d v="2025-05-04T00:00:00"/>
    <d v="2025-05-17T00:00:00"/>
    <n v="13"/>
    <x v="0"/>
  </r>
  <r>
    <s v="2025-04-23"/>
    <s v="SUP003"/>
    <x v="3"/>
    <x v="2"/>
    <s v="43 Smart"/>
    <n v="16"/>
    <n v="69023"/>
    <n v="10"/>
    <n v="28"/>
    <n v="1272231.94"/>
    <x v="1"/>
    <x v="3"/>
    <d v="2025-05-02T00:00:00"/>
    <d v="2025-05-16T00:00:00"/>
    <n v="14"/>
    <x v="0"/>
  </r>
  <r>
    <s v="2025-03-28"/>
    <s v="SUP006"/>
    <x v="0"/>
    <x v="6"/>
    <s v="190L"/>
    <n v="38"/>
    <n v="14791"/>
    <n v="12"/>
    <n v="12"/>
    <n v="553964.36"/>
    <x v="2"/>
    <x v="1"/>
    <d v="2025-04-05T00:00:00"/>
    <d v="2025-04-11T00:00:00"/>
    <n v="6"/>
    <x v="0"/>
  </r>
  <r>
    <s v="2025-06-18"/>
    <s v="SUP007"/>
    <x v="5"/>
    <x v="2"/>
    <s v="43 Smart"/>
    <n v="23"/>
    <n v="38093"/>
    <n v="12"/>
    <n v="28"/>
    <n v="986882.97"/>
    <x v="3"/>
    <x v="3"/>
    <d v="2025-06-25T00:00:00"/>
    <d v="2025-07-09T00:00:00"/>
    <n v="14"/>
    <x v="0"/>
  </r>
  <r>
    <s v="2025-02-10"/>
    <s v="SUP007"/>
    <x v="5"/>
    <x v="0"/>
    <s v="20L"/>
    <n v="33"/>
    <n v="79501"/>
    <n v="10"/>
    <n v="12"/>
    <n v="2644521.2599999998"/>
    <x v="0"/>
    <x v="3"/>
    <d v="2025-02-20T00:00:00"/>
    <d v="2025-02-22T00:00:00"/>
    <n v="2"/>
    <x v="1"/>
  </r>
  <r>
    <s v="2025-04-05"/>
    <s v="SUP008"/>
    <x v="7"/>
    <x v="6"/>
    <s v="190L"/>
    <n v="4"/>
    <n v="41507"/>
    <n v="12"/>
    <n v="18"/>
    <n v="172403.48"/>
    <x v="3"/>
    <x v="0"/>
    <d v="2025-04-11T00:00:00"/>
    <d v="2025-04-17T00:00:00"/>
    <n v="6"/>
    <x v="0"/>
  </r>
  <r>
    <s v="2025-02-26"/>
    <s v="SUP006"/>
    <x v="0"/>
    <x v="0"/>
    <s v="28L"/>
    <n v="6"/>
    <n v="35172"/>
    <n v="5"/>
    <n v="18"/>
    <n v="236566.87"/>
    <x v="2"/>
    <x v="2"/>
    <d v="2025-03-02T00:00:00"/>
    <d v="2025-03-04T00:00:00"/>
    <n v="2"/>
    <x v="1"/>
  </r>
  <r>
    <s v="2025-03-17"/>
    <s v="SUP003"/>
    <x v="3"/>
    <x v="0"/>
    <s v="20L"/>
    <n v="38"/>
    <n v="55121"/>
    <n v="10"/>
    <n v="28"/>
    <n v="2412976.9"/>
    <x v="0"/>
    <x v="2"/>
    <d v="2025-03-25T00:00:00"/>
    <d v="2025-03-30T00:00:00"/>
    <n v="5"/>
    <x v="0"/>
  </r>
  <r>
    <s v="2025-06-17"/>
    <s v="SUP002"/>
    <x v="2"/>
    <x v="5"/>
    <s v="Front Load"/>
    <n v="25"/>
    <n v="77431"/>
    <n v="10"/>
    <n v="18"/>
    <n v="2055793.05"/>
    <x v="3"/>
    <x v="3"/>
    <d v="2025-06-21T00:00:00"/>
    <d v="2025-06-26T00:00:00"/>
    <n v="5"/>
    <x v="0"/>
  </r>
  <r>
    <s v="2025-01-31"/>
    <s v="SUP006"/>
    <x v="0"/>
    <x v="5"/>
    <s v="Front Load"/>
    <n v="17"/>
    <n v="54341"/>
    <n v="12"/>
    <n v="28"/>
    <n v="1040564.94"/>
    <x v="3"/>
    <x v="1"/>
    <d v="2025-02-06T00:00:00"/>
    <d v="2025-02-19T00:00:00"/>
    <n v="13"/>
    <x v="0"/>
  </r>
  <r>
    <s v="2025-04-08"/>
    <s v="SUP009"/>
    <x v="8"/>
    <x v="4"/>
    <s v="2 Ton"/>
    <n v="17"/>
    <n v="44337"/>
    <n v="0"/>
    <n v="28"/>
    <n v="964773.12"/>
    <x v="1"/>
    <x v="2"/>
    <d v="2025-04-14T00:00:00"/>
    <d v="2025-04-27T00:00:00"/>
    <n v="13"/>
    <x v="0"/>
  </r>
  <r>
    <s v="2025-04-17"/>
    <s v="SUP004"/>
    <x v="1"/>
    <x v="4"/>
    <s v="2 Ton"/>
    <n v="2"/>
    <n v="22372"/>
    <n v="10"/>
    <n v="28"/>
    <n v="51545.09"/>
    <x v="2"/>
    <x v="0"/>
    <d v="2025-04-20T00:00:00"/>
    <d v="2025-04-24T00:00:00"/>
    <n v="4"/>
    <x v="0"/>
  </r>
  <r>
    <s v="2025-03-06"/>
    <s v="SUP003"/>
    <x v="3"/>
    <x v="4"/>
    <s v="1.5 Ton Inverter"/>
    <n v="37"/>
    <n v="27916"/>
    <n v="12"/>
    <n v="28"/>
    <n v="1163449.55"/>
    <x v="0"/>
    <x v="0"/>
    <d v="2025-03-13T00:00:00"/>
    <d v="2025-03-22T00:00:00"/>
    <n v="9"/>
    <x v="0"/>
  </r>
  <r>
    <s v="2025-06-11"/>
    <s v="SUP005"/>
    <x v="4"/>
    <x v="2"/>
    <s v="55 4K"/>
    <n v="22"/>
    <n v="70571"/>
    <n v="0"/>
    <n v="12"/>
    <n v="1738869.44"/>
    <x v="2"/>
    <x v="1"/>
    <d v="2025-06-19T00:00:00"/>
    <d v="2025-07-01T00:00:00"/>
    <n v="12"/>
    <x v="0"/>
  </r>
  <r>
    <s v="2025-03-24"/>
    <s v="SUP004"/>
    <x v="1"/>
    <x v="6"/>
    <s v="190L"/>
    <n v="13"/>
    <n v="47236"/>
    <n v="5"/>
    <n v="18"/>
    <n v="688370.23"/>
    <x v="2"/>
    <x v="3"/>
    <d v="2025-03-27T00:00:00"/>
    <d v="2025-04-11T00:00:00"/>
    <n v="15"/>
    <x v="0"/>
  </r>
  <r>
    <s v="2025-04-29"/>
    <s v="SUP009"/>
    <x v="8"/>
    <x v="7"/>
    <s v="750W"/>
    <n v="4"/>
    <n v="44603"/>
    <n v="12"/>
    <n v="18"/>
    <n v="185263.02"/>
    <x v="3"/>
    <x v="0"/>
    <d v="2025-05-09T00:00:00"/>
    <d v="2025-05-17T00:00:00"/>
    <n v="8"/>
    <x v="0"/>
  </r>
  <r>
    <s v="2025-01-07"/>
    <s v="SUP003"/>
    <x v="3"/>
    <x v="0"/>
    <s v="28L"/>
    <n v="24"/>
    <n v="77164"/>
    <n v="10"/>
    <n v="12"/>
    <n v="1866751.49"/>
    <x v="3"/>
    <x v="0"/>
    <d v="2025-01-15T00:00:00"/>
    <d v="2025-01-30T00:00:00"/>
    <n v="15"/>
    <x v="0"/>
  </r>
  <r>
    <s v="2025-01-23"/>
    <s v="SUP003"/>
    <x v="3"/>
    <x v="6"/>
    <s v="260L"/>
    <n v="24"/>
    <n v="77215"/>
    <n v="5"/>
    <n v="28"/>
    <n v="2253442.56"/>
    <x v="3"/>
    <x v="3"/>
    <d v="2025-01-28T00:00:00"/>
    <d v="2025-01-31T00:00:00"/>
    <n v="3"/>
    <x v="1"/>
  </r>
  <r>
    <s v="2025-04-22"/>
    <s v="SUP009"/>
    <x v="8"/>
    <x v="2"/>
    <s v="32 LED"/>
    <n v="38"/>
    <n v="43446"/>
    <n v="12"/>
    <n v="18"/>
    <n v="1714344.4"/>
    <x v="1"/>
    <x v="0"/>
    <d v="2025-04-27T00:00:00"/>
    <d v="2025-05-04T00:00:00"/>
    <n v="7"/>
    <x v="0"/>
  </r>
  <r>
    <s v="2025-04-03"/>
    <s v="SUP003"/>
    <x v="3"/>
    <x v="1"/>
    <s v="35L"/>
    <n v="22"/>
    <n v="6772"/>
    <n v="12"/>
    <n v="28"/>
    <n v="167815.58"/>
    <x v="0"/>
    <x v="3"/>
    <d v="2025-04-11T00:00:00"/>
    <d v="2025-04-25T00:00:00"/>
    <n v="14"/>
    <x v="0"/>
  </r>
  <r>
    <s v="2025-03-06"/>
    <s v="SUP008"/>
    <x v="7"/>
    <x v="0"/>
    <s v="20L"/>
    <n v="15"/>
    <n v="20770"/>
    <n v="10"/>
    <n v="18"/>
    <n v="330866.09999999998"/>
    <x v="0"/>
    <x v="2"/>
    <d v="2025-03-15T00:00:00"/>
    <d v="2025-03-16T00:00:00"/>
    <n v="1"/>
    <x v="1"/>
  </r>
  <r>
    <s v="2025-03-04"/>
    <s v="SUP007"/>
    <x v="5"/>
    <x v="7"/>
    <s v="750W"/>
    <n v="39"/>
    <n v="65791"/>
    <n v="10"/>
    <n v="12"/>
    <n v="2586375.79"/>
    <x v="0"/>
    <x v="2"/>
    <d v="2025-03-12T00:00:00"/>
    <d v="2025-03-20T00:00:00"/>
    <n v="8"/>
    <x v="0"/>
  </r>
  <r>
    <s v="2025-04-27"/>
    <s v="SUP002"/>
    <x v="2"/>
    <x v="1"/>
    <s v="35L"/>
    <n v="21"/>
    <n v="74072"/>
    <n v="12"/>
    <n v="28"/>
    <n v="1752128.72"/>
    <x v="0"/>
    <x v="1"/>
    <d v="2025-05-01T00:00:00"/>
    <d v="2025-05-15T00:00:00"/>
    <n v="14"/>
    <x v="0"/>
  </r>
  <r>
    <s v="2025-01-01"/>
    <s v="SUP009"/>
    <x v="8"/>
    <x v="2"/>
    <s v="55 4K"/>
    <n v="40"/>
    <n v="24239"/>
    <n v="5"/>
    <n v="28"/>
    <n v="1178984.96"/>
    <x v="2"/>
    <x v="0"/>
    <d v="2025-01-11T00:00:00"/>
    <d v="2025-01-22T00:00:00"/>
    <n v="11"/>
    <x v="0"/>
  </r>
  <r>
    <s v="2025-06-22"/>
    <s v="SUP001"/>
    <x v="6"/>
    <x v="1"/>
    <s v="35L"/>
    <n v="22"/>
    <n v="59893"/>
    <n v="0"/>
    <n v="12"/>
    <n v="1475763.52"/>
    <x v="3"/>
    <x v="1"/>
    <d v="2025-06-26T00:00:00"/>
    <d v="2025-07-04T00:00:00"/>
    <n v="8"/>
    <x v="0"/>
  </r>
  <r>
    <s v="2025-01-01"/>
    <s v="SUP002"/>
    <x v="2"/>
    <x v="7"/>
    <s v="500W"/>
    <n v="34"/>
    <n v="61857"/>
    <n v="12"/>
    <n v="12"/>
    <n v="2072852.81"/>
    <x v="1"/>
    <x v="1"/>
    <d v="2025-01-08T00:00:00"/>
    <d v="2025-01-09T00:00:00"/>
    <n v="1"/>
    <x v="1"/>
  </r>
  <r>
    <s v="2025-03-22"/>
    <s v="SUP002"/>
    <x v="2"/>
    <x v="1"/>
    <s v="35L"/>
    <n v="13"/>
    <n v="45464"/>
    <n v="0"/>
    <n v="18"/>
    <n v="697417.76"/>
    <x v="1"/>
    <x v="0"/>
    <d v="2025-03-26T00:00:00"/>
    <d v="2025-03-27T00:00:00"/>
    <n v="1"/>
    <x v="1"/>
  </r>
  <r>
    <s v="2025-02-04"/>
    <s v="SUP004"/>
    <x v="1"/>
    <x v="0"/>
    <s v="20L"/>
    <n v="29"/>
    <n v="40465"/>
    <n v="0"/>
    <n v="18"/>
    <n v="1384712.3"/>
    <x v="0"/>
    <x v="0"/>
    <d v="2025-02-08T00:00:00"/>
    <d v="2025-02-22T00:00:00"/>
    <n v="14"/>
    <x v="0"/>
  </r>
  <r>
    <s v="2025-06-20"/>
    <s v="SUP004"/>
    <x v="1"/>
    <x v="1"/>
    <s v="35L"/>
    <n v="34"/>
    <n v="24625"/>
    <n v="10"/>
    <n v="18"/>
    <n v="889159.5"/>
    <x v="1"/>
    <x v="2"/>
    <d v="2025-06-24T00:00:00"/>
    <d v="2025-07-06T00:00:00"/>
    <n v="12"/>
    <x v="0"/>
  </r>
  <r>
    <s v="2025-05-27"/>
    <s v="SUP002"/>
    <x v="2"/>
    <x v="2"/>
    <s v="43 Smart"/>
    <n v="34"/>
    <n v="73781"/>
    <n v="10"/>
    <n v="12"/>
    <n v="2528622.4300000002"/>
    <x v="2"/>
    <x v="0"/>
    <d v="2025-06-06T00:00:00"/>
    <d v="2025-06-21T00:00:00"/>
    <n v="15"/>
    <x v="0"/>
  </r>
  <r>
    <s v="2025-06-09"/>
    <s v="SUP002"/>
    <x v="2"/>
    <x v="2"/>
    <s v="32 LED"/>
    <n v="28"/>
    <n v="37028"/>
    <n v="0"/>
    <n v="12"/>
    <n v="1161198.0800000001"/>
    <x v="3"/>
    <x v="2"/>
    <d v="2025-06-12T00:00:00"/>
    <d v="2025-06-16T00:00:00"/>
    <n v="4"/>
    <x v="0"/>
  </r>
  <r>
    <s v="2025-03-04"/>
    <s v="SUP004"/>
    <x v="1"/>
    <x v="2"/>
    <s v="55 4K"/>
    <n v="22"/>
    <n v="77286"/>
    <n v="0"/>
    <n v="12"/>
    <n v="1904327.04"/>
    <x v="3"/>
    <x v="0"/>
    <d v="2025-03-12T00:00:00"/>
    <d v="2025-03-16T00:00:00"/>
    <n v="4"/>
    <x v="0"/>
  </r>
  <r>
    <s v="2025-05-29"/>
    <s v="SUP001"/>
    <x v="6"/>
    <x v="0"/>
    <s v="20L"/>
    <n v="35"/>
    <n v="82585"/>
    <n v="12"/>
    <n v="12"/>
    <n v="2848852.16"/>
    <x v="0"/>
    <x v="1"/>
    <d v="2025-06-01T00:00:00"/>
    <d v="2025-06-04T00:00:00"/>
    <n v="3"/>
    <x v="1"/>
  </r>
  <r>
    <s v="2025-06-28"/>
    <s v="SUP007"/>
    <x v="5"/>
    <x v="4"/>
    <s v="1 Ton Split"/>
    <n v="8"/>
    <n v="58429"/>
    <n v="0"/>
    <n v="18"/>
    <n v="551569.76"/>
    <x v="3"/>
    <x v="0"/>
    <d v="2025-07-07T00:00:00"/>
    <d v="2025-07-09T00:00:00"/>
    <n v="2"/>
    <x v="1"/>
  </r>
  <r>
    <s v="2025-06-23"/>
    <s v="SUP002"/>
    <x v="2"/>
    <x v="7"/>
    <s v="500W"/>
    <n v="20"/>
    <n v="71355"/>
    <n v="10"/>
    <n v="28"/>
    <n v="1644019.2"/>
    <x v="3"/>
    <x v="0"/>
    <d v="2025-06-28T00:00:00"/>
    <d v="2025-07-06T00:00:00"/>
    <n v="8"/>
    <x v="0"/>
  </r>
  <r>
    <s v="2025-02-16"/>
    <s v="SUP008"/>
    <x v="7"/>
    <x v="7"/>
    <s v="500W"/>
    <n v="26"/>
    <n v="52843"/>
    <n v="0"/>
    <n v="18"/>
    <n v="1621223.24"/>
    <x v="1"/>
    <x v="2"/>
    <d v="2025-02-19T00:00:00"/>
    <d v="2025-02-20T00:00:00"/>
    <n v="1"/>
    <x v="1"/>
  </r>
  <r>
    <s v="2025-02-22"/>
    <s v="SUP007"/>
    <x v="5"/>
    <x v="4"/>
    <s v="1 Ton Split"/>
    <n v="13"/>
    <n v="71491"/>
    <n v="12"/>
    <n v="28"/>
    <n v="1046857.01"/>
    <x v="2"/>
    <x v="1"/>
    <d v="2025-02-26T00:00:00"/>
    <d v="2025-03-01T00:00:00"/>
    <n v="3"/>
    <x v="1"/>
  </r>
  <r>
    <s v="2025-05-24"/>
    <s v="SUP005"/>
    <x v="4"/>
    <x v="1"/>
    <s v="35L"/>
    <n v="23"/>
    <n v="46307"/>
    <n v="5"/>
    <n v="18"/>
    <n v="1193933.3799999999"/>
    <x v="0"/>
    <x v="2"/>
    <d v="2025-06-01T00:00:00"/>
    <d v="2025-06-05T00:00:00"/>
    <n v="4"/>
    <x v="0"/>
  </r>
  <r>
    <s v="2025-05-24"/>
    <s v="SUP005"/>
    <x v="4"/>
    <x v="4"/>
    <s v="1 Ton Split"/>
    <n v="35"/>
    <n v="51746"/>
    <n v="0"/>
    <n v="12"/>
    <n v="2028443.2"/>
    <x v="2"/>
    <x v="0"/>
    <d v="2025-05-31T00:00:00"/>
    <d v="2025-06-15T00:00:00"/>
    <n v="15"/>
    <x v="0"/>
  </r>
  <r>
    <s v="2025-06-29"/>
    <s v="SUP007"/>
    <x v="5"/>
    <x v="3"/>
    <s v="1200mm"/>
    <n v="31"/>
    <n v="50272"/>
    <n v="0"/>
    <n v="28"/>
    <n v="1994792.96"/>
    <x v="3"/>
    <x v="1"/>
    <d v="2025-07-05T00:00:00"/>
    <d v="2025-07-15T00:00:00"/>
    <n v="10"/>
    <x v="0"/>
  </r>
  <r>
    <s v="2025-06-01"/>
    <s v="SUP009"/>
    <x v="8"/>
    <x v="7"/>
    <s v="500W"/>
    <n v="11"/>
    <n v="33659"/>
    <n v="5"/>
    <n v="12"/>
    <n v="393944.94"/>
    <x v="3"/>
    <x v="1"/>
    <d v="2025-06-11T00:00:00"/>
    <d v="2025-06-18T00:00:00"/>
    <n v="7"/>
    <x v="0"/>
  </r>
  <r>
    <s v="2025-01-13"/>
    <s v="SUP002"/>
    <x v="2"/>
    <x v="7"/>
    <s v="750W"/>
    <n v="22"/>
    <n v="65290"/>
    <n v="12"/>
    <n v="18"/>
    <n v="1491536.99"/>
    <x v="1"/>
    <x v="0"/>
    <d v="2025-01-22T00:00:00"/>
    <d v="2025-01-29T00:00:00"/>
    <n v="7"/>
    <x v="0"/>
  </r>
  <r>
    <s v="2025-04-07"/>
    <s v="SUP007"/>
    <x v="5"/>
    <x v="2"/>
    <s v="43 Smart"/>
    <n v="12"/>
    <n v="71545"/>
    <n v="5"/>
    <n v="28"/>
    <n v="1043984.64"/>
    <x v="1"/>
    <x v="2"/>
    <d v="2025-04-15T00:00:00"/>
    <d v="2025-04-28T00:00:00"/>
    <n v="13"/>
    <x v="0"/>
  </r>
  <r>
    <s v="2025-01-31"/>
    <s v="SUP009"/>
    <x v="8"/>
    <x v="0"/>
    <s v="28L"/>
    <n v="36"/>
    <n v="2735"/>
    <n v="10"/>
    <n v="12"/>
    <n v="99247.679999999993"/>
    <x v="2"/>
    <x v="0"/>
    <d v="2025-02-03T00:00:00"/>
    <d v="2025-02-18T00:00:00"/>
    <n v="15"/>
    <x v="0"/>
  </r>
  <r>
    <s v="2025-02-21"/>
    <s v="SUP006"/>
    <x v="0"/>
    <x v="4"/>
    <s v="2 Ton"/>
    <n v="19"/>
    <n v="56352"/>
    <n v="5"/>
    <n v="18"/>
    <n v="1200241.25"/>
    <x v="2"/>
    <x v="2"/>
    <d v="2025-02-27T00:00:00"/>
    <d v="2025-03-04T00:00:00"/>
    <n v="5"/>
    <x v="0"/>
  </r>
  <r>
    <s v="2025-05-29"/>
    <s v="SUP004"/>
    <x v="1"/>
    <x v="6"/>
    <s v="260L"/>
    <n v="12"/>
    <n v="47459"/>
    <n v="12"/>
    <n v="18"/>
    <n v="591377.11"/>
    <x v="0"/>
    <x v="2"/>
    <d v="2025-06-08T00:00:00"/>
    <d v="2025-06-14T00:00:00"/>
    <n v="6"/>
    <x v="0"/>
  </r>
  <r>
    <s v="2025-05-18"/>
    <s v="SUP007"/>
    <x v="5"/>
    <x v="3"/>
    <s v="1200mm"/>
    <n v="23"/>
    <n v="43689"/>
    <n v="10"/>
    <n v="28"/>
    <n v="1157583.74"/>
    <x v="2"/>
    <x v="3"/>
    <d v="2025-05-22T00:00:00"/>
    <d v="2025-06-06T00:00:00"/>
    <n v="15"/>
    <x v="0"/>
  </r>
  <r>
    <s v="2025-02-22"/>
    <s v="SUP003"/>
    <x v="3"/>
    <x v="2"/>
    <s v="55 4K"/>
    <n v="24"/>
    <n v="79327"/>
    <n v="12"/>
    <n v="12"/>
    <n v="1876432.59"/>
    <x v="0"/>
    <x v="0"/>
    <d v="2025-03-03T00:00:00"/>
    <d v="2025-03-18T00:00:00"/>
    <n v="15"/>
    <x v="0"/>
  </r>
  <r>
    <s v="2025-01-29"/>
    <s v="SUP008"/>
    <x v="7"/>
    <x v="4"/>
    <s v="2 Ton"/>
    <n v="39"/>
    <n v="47751"/>
    <n v="0"/>
    <n v="28"/>
    <n v="2383729.92"/>
    <x v="0"/>
    <x v="0"/>
    <d v="2025-02-01T00:00:00"/>
    <d v="2025-02-16T00:00:00"/>
    <n v="15"/>
    <x v="0"/>
  </r>
  <r>
    <s v="2025-06-14"/>
    <s v="SUP007"/>
    <x v="5"/>
    <x v="4"/>
    <s v="1 Ton Split"/>
    <n v="12"/>
    <n v="69813"/>
    <n v="12"/>
    <n v="12"/>
    <n v="825692.31"/>
    <x v="3"/>
    <x v="2"/>
    <d v="2025-06-20T00:00:00"/>
    <d v="2025-07-02T00:00:00"/>
    <n v="12"/>
    <x v="0"/>
  </r>
  <r>
    <s v="2025-02-17"/>
    <s v="SUP005"/>
    <x v="4"/>
    <x v="3"/>
    <s v="1200mm"/>
    <n v="5"/>
    <n v="50048"/>
    <n v="12"/>
    <n v="12"/>
    <n v="246636.54"/>
    <x v="1"/>
    <x v="1"/>
    <d v="2025-02-20T00:00:00"/>
    <d v="2025-03-06T00:00:00"/>
    <n v="14"/>
    <x v="0"/>
  </r>
  <r>
    <s v="2025-06-10"/>
    <s v="SUP001"/>
    <x v="6"/>
    <x v="5"/>
    <s v="Front Load"/>
    <n v="30"/>
    <n v="79699"/>
    <n v="10"/>
    <n v="18"/>
    <n v="2539210.14"/>
    <x v="2"/>
    <x v="1"/>
    <d v="2025-06-15T00:00:00"/>
    <d v="2025-06-24T00:00:00"/>
    <n v="9"/>
    <x v="0"/>
  </r>
  <r>
    <s v="2025-05-28"/>
    <s v="SUP003"/>
    <x v="3"/>
    <x v="2"/>
    <s v="32 LED"/>
    <n v="4"/>
    <n v="35410"/>
    <n v="5"/>
    <n v="28"/>
    <n v="172234.23999999999"/>
    <x v="1"/>
    <x v="2"/>
    <d v="2025-06-03T00:00:00"/>
    <d v="2025-06-13T00:00:00"/>
    <n v="10"/>
    <x v="0"/>
  </r>
  <r>
    <s v="2025-02-08"/>
    <s v="SUP008"/>
    <x v="7"/>
    <x v="4"/>
    <s v="1 Ton Split"/>
    <n v="25"/>
    <n v="31791"/>
    <n v="5"/>
    <n v="18"/>
    <n v="890942.77"/>
    <x v="0"/>
    <x v="0"/>
    <d v="2025-02-15T00:00:00"/>
    <d v="2025-02-28T00:00:00"/>
    <n v="13"/>
    <x v="0"/>
  </r>
  <r>
    <s v="2025-04-02"/>
    <s v="SUP002"/>
    <x v="2"/>
    <x v="7"/>
    <s v="750W"/>
    <n v="19"/>
    <n v="34330"/>
    <n v="12"/>
    <n v="18"/>
    <n v="677317.17"/>
    <x v="3"/>
    <x v="3"/>
    <d v="2025-04-05T00:00:00"/>
    <d v="2025-04-16T00:00:00"/>
    <n v="11"/>
    <x v="0"/>
  </r>
  <r>
    <s v="2025-05-12"/>
    <s v="SUP009"/>
    <x v="8"/>
    <x v="6"/>
    <s v="190L"/>
    <n v="11"/>
    <n v="65202"/>
    <n v="10"/>
    <n v="28"/>
    <n v="826239.74"/>
    <x v="2"/>
    <x v="3"/>
    <d v="2025-05-17T00:00:00"/>
    <d v="2025-05-20T00:00:00"/>
    <n v="3"/>
    <x v="1"/>
  </r>
  <r>
    <s v="2025-01-19"/>
    <s v="SUP001"/>
    <x v="6"/>
    <x v="2"/>
    <s v="32 LED"/>
    <n v="38"/>
    <n v="83457"/>
    <n v="12"/>
    <n v="28"/>
    <n v="3572226.66"/>
    <x v="3"/>
    <x v="2"/>
    <d v="2025-01-27T00:00:00"/>
    <d v="2025-02-02T00:00:00"/>
    <n v="6"/>
    <x v="0"/>
  </r>
  <r>
    <s v="2025-03-22"/>
    <s v="SUP009"/>
    <x v="8"/>
    <x v="6"/>
    <s v="190L"/>
    <n v="35"/>
    <n v="68583"/>
    <n v="5"/>
    <n v="12"/>
    <n v="2554030.92"/>
    <x v="1"/>
    <x v="3"/>
    <d v="2025-03-26T00:00:00"/>
    <d v="2025-03-31T00:00:00"/>
    <n v="5"/>
    <x v="0"/>
  </r>
  <r>
    <s v="2025-06-06"/>
    <s v="SUP009"/>
    <x v="8"/>
    <x v="7"/>
    <s v="500W"/>
    <n v="25"/>
    <n v="22907"/>
    <n v="10"/>
    <n v="18"/>
    <n v="608180.85"/>
    <x v="0"/>
    <x v="3"/>
    <d v="2025-06-16T00:00:00"/>
    <d v="2025-06-28T00:00:00"/>
    <n v="12"/>
    <x v="0"/>
  </r>
  <r>
    <s v="2025-01-31"/>
    <s v="SUP007"/>
    <x v="5"/>
    <x v="6"/>
    <s v="190L"/>
    <n v="27"/>
    <n v="62050"/>
    <n v="12"/>
    <n v="28"/>
    <n v="1887114.24"/>
    <x v="1"/>
    <x v="1"/>
    <d v="2025-02-04T00:00:00"/>
    <d v="2025-02-07T00:00:00"/>
    <n v="3"/>
    <x v="1"/>
  </r>
  <r>
    <s v="2025-04-13"/>
    <s v="SUP005"/>
    <x v="4"/>
    <x v="3"/>
    <s v="1200mm"/>
    <n v="11"/>
    <n v="6957"/>
    <n v="0"/>
    <n v="28"/>
    <n v="97954.559999999998"/>
    <x v="3"/>
    <x v="1"/>
    <d v="2025-04-22T00:00:00"/>
    <d v="2025-05-04T00:00:00"/>
    <n v="12"/>
    <x v="0"/>
  </r>
  <r>
    <s v="2025-04-28"/>
    <s v="SUP002"/>
    <x v="2"/>
    <x v="7"/>
    <s v="750W"/>
    <n v="40"/>
    <n v="35216"/>
    <n v="12"/>
    <n v="28"/>
    <n v="1586692.1"/>
    <x v="0"/>
    <x v="3"/>
    <d v="2025-05-01T00:00:00"/>
    <d v="2025-05-08T00:00:00"/>
    <n v="7"/>
    <x v="0"/>
  </r>
  <r>
    <s v="2025-02-15"/>
    <s v="SUP002"/>
    <x v="2"/>
    <x v="4"/>
    <s v="2 Ton"/>
    <n v="17"/>
    <n v="17009"/>
    <n v="12"/>
    <n v="18"/>
    <n v="300256.48"/>
    <x v="1"/>
    <x v="3"/>
    <d v="2025-02-21T00:00:00"/>
    <d v="2025-02-22T00:00:00"/>
    <n v="1"/>
    <x v="1"/>
  </r>
  <r>
    <s v="2025-03-27"/>
    <s v="SUP007"/>
    <x v="5"/>
    <x v="6"/>
    <s v="190L"/>
    <n v="40"/>
    <n v="76552"/>
    <n v="10"/>
    <n v="28"/>
    <n v="3527516.1600000001"/>
    <x v="2"/>
    <x v="1"/>
    <d v="2025-04-03T00:00:00"/>
    <d v="2025-04-08T00:00:00"/>
    <n v="5"/>
    <x v="0"/>
  </r>
  <r>
    <s v="2025-04-03"/>
    <s v="SUP001"/>
    <x v="6"/>
    <x v="4"/>
    <s v="1.5 Ton Inverter"/>
    <n v="16"/>
    <n v="58081"/>
    <n v="0"/>
    <n v="18"/>
    <n v="1096569.28"/>
    <x v="0"/>
    <x v="2"/>
    <d v="2025-04-10T00:00:00"/>
    <d v="2025-04-21T00:00:00"/>
    <n v="11"/>
    <x v="0"/>
  </r>
  <r>
    <s v="2025-01-07"/>
    <s v="SUP004"/>
    <x v="1"/>
    <x v="1"/>
    <s v="35L"/>
    <n v="12"/>
    <n v="10573"/>
    <n v="5"/>
    <n v="12"/>
    <n v="134996.06"/>
    <x v="0"/>
    <x v="0"/>
    <d v="2025-01-11T00:00:00"/>
    <d v="2025-01-19T00:00:00"/>
    <n v="8"/>
    <x v="0"/>
  </r>
  <r>
    <s v="2025-01-09"/>
    <s v="SUP003"/>
    <x v="3"/>
    <x v="7"/>
    <s v="500W"/>
    <n v="11"/>
    <n v="10990"/>
    <n v="12"/>
    <n v="18"/>
    <n v="125532.18"/>
    <x v="0"/>
    <x v="2"/>
    <d v="2025-01-14T00:00:00"/>
    <d v="2025-01-15T00:00:00"/>
    <n v="1"/>
    <x v="1"/>
  </r>
  <r>
    <s v="2025-05-01"/>
    <s v="SUP007"/>
    <x v="5"/>
    <x v="7"/>
    <s v="750W"/>
    <n v="17"/>
    <n v="67699"/>
    <n v="0"/>
    <n v="28"/>
    <n v="1473130.24"/>
    <x v="3"/>
    <x v="0"/>
    <d v="2025-05-07T00:00:00"/>
    <d v="2025-05-10T00:00:00"/>
    <n v="3"/>
    <x v="1"/>
  </r>
  <r>
    <s v="2025-04-13"/>
    <s v="SUP002"/>
    <x v="2"/>
    <x v="4"/>
    <s v="2 Ton"/>
    <n v="31"/>
    <n v="28311"/>
    <n v="5"/>
    <n v="18"/>
    <n v="983835.56"/>
    <x v="2"/>
    <x v="2"/>
    <d v="2025-04-23T00:00:00"/>
    <d v="2025-04-24T00:00:00"/>
    <n v="1"/>
    <x v="1"/>
  </r>
  <r>
    <s v="2025-03-19"/>
    <s v="SUP004"/>
    <x v="1"/>
    <x v="2"/>
    <s v="43 Smart"/>
    <n v="1"/>
    <n v="17601"/>
    <n v="5"/>
    <n v="18"/>
    <n v="19730.72"/>
    <x v="1"/>
    <x v="1"/>
    <d v="2025-03-27T00:00:00"/>
    <d v="2025-04-10T00:00:00"/>
    <n v="14"/>
    <x v="0"/>
  </r>
  <r>
    <s v="2025-03-11"/>
    <s v="SUP008"/>
    <x v="7"/>
    <x v="7"/>
    <s v="750W"/>
    <n v="15"/>
    <n v="2483"/>
    <n v="5"/>
    <n v="28"/>
    <n v="45289.919999999998"/>
    <x v="2"/>
    <x v="0"/>
    <d v="2025-03-14T00:00:00"/>
    <d v="2025-03-20T00:00:00"/>
    <n v="6"/>
    <x v="0"/>
  </r>
  <r>
    <s v="2025-06-07"/>
    <s v="SUP007"/>
    <x v="5"/>
    <x v="4"/>
    <s v="1 Ton Split"/>
    <n v="8"/>
    <n v="11292"/>
    <n v="0"/>
    <n v="12"/>
    <n v="101176.32000000001"/>
    <x v="0"/>
    <x v="3"/>
    <d v="2025-06-17T00:00:00"/>
    <d v="2025-06-18T00:00:00"/>
    <n v="1"/>
    <x v="1"/>
  </r>
  <r>
    <s v="2025-01-27"/>
    <s v="SUP009"/>
    <x v="8"/>
    <x v="0"/>
    <s v="20L"/>
    <n v="28"/>
    <n v="24313"/>
    <n v="5"/>
    <n v="18"/>
    <n v="763136.44"/>
    <x v="3"/>
    <x v="3"/>
    <d v="2025-02-03T00:00:00"/>
    <d v="2025-02-05T00:00:00"/>
    <n v="2"/>
    <x v="1"/>
  </r>
  <r>
    <s v="2025-02-22"/>
    <s v="SUP004"/>
    <x v="1"/>
    <x v="6"/>
    <s v="260L"/>
    <n v="2"/>
    <n v="23561"/>
    <n v="12"/>
    <n v="28"/>
    <n v="53078.22"/>
    <x v="1"/>
    <x v="2"/>
    <d v="2025-02-27T00:00:00"/>
    <d v="2025-03-01T00:00:00"/>
    <n v="2"/>
    <x v="1"/>
  </r>
  <r>
    <s v="2025-04-18"/>
    <s v="SUP003"/>
    <x v="3"/>
    <x v="2"/>
    <s v="43 Smart"/>
    <n v="19"/>
    <n v="50907"/>
    <n v="12"/>
    <n v="12"/>
    <n v="953304.84"/>
    <x v="3"/>
    <x v="0"/>
    <d v="2025-04-25T00:00:00"/>
    <d v="2025-05-01T00:00:00"/>
    <n v="6"/>
    <x v="0"/>
  </r>
  <r>
    <s v="2025-05-26"/>
    <s v="SUP003"/>
    <x v="3"/>
    <x v="4"/>
    <s v="2 Ton"/>
    <n v="32"/>
    <n v="23760"/>
    <n v="12"/>
    <n v="18"/>
    <n v="789516.29"/>
    <x v="3"/>
    <x v="3"/>
    <d v="2025-05-29T00:00:00"/>
    <d v="2025-06-07T00:00:00"/>
    <n v="9"/>
    <x v="0"/>
  </r>
  <r>
    <s v="2025-03-16"/>
    <s v="SUP007"/>
    <x v="5"/>
    <x v="7"/>
    <s v="500W"/>
    <n v="19"/>
    <n v="80832"/>
    <n v="10"/>
    <n v="28"/>
    <n v="1769250.82"/>
    <x v="3"/>
    <x v="1"/>
    <d v="2025-03-19T00:00:00"/>
    <d v="2025-04-03T00:00:00"/>
    <n v="15"/>
    <x v="0"/>
  </r>
  <r>
    <s v="2025-03-17"/>
    <s v="SUP006"/>
    <x v="0"/>
    <x v="6"/>
    <s v="260L"/>
    <n v="7"/>
    <n v="34287"/>
    <n v="0"/>
    <n v="18"/>
    <n v="283210.62"/>
    <x v="0"/>
    <x v="0"/>
    <d v="2025-03-24T00:00:00"/>
    <d v="2025-03-26T00:00:00"/>
    <n v="2"/>
    <x v="1"/>
  </r>
  <r>
    <s v="2025-03-15"/>
    <s v="SUP002"/>
    <x v="2"/>
    <x v="2"/>
    <s v="55 4K"/>
    <n v="2"/>
    <n v="80095"/>
    <n v="5"/>
    <n v="12"/>
    <n v="170442.16"/>
    <x v="0"/>
    <x v="2"/>
    <d v="2025-03-20T00:00:00"/>
    <d v="2025-03-27T00:00:00"/>
    <n v="7"/>
    <x v="0"/>
  </r>
  <r>
    <s v="2025-01-27"/>
    <s v="SUP005"/>
    <x v="4"/>
    <x v="3"/>
    <s v="1200mm"/>
    <n v="25"/>
    <n v="15311"/>
    <n v="5"/>
    <n v="18"/>
    <n v="429090.77"/>
    <x v="0"/>
    <x v="2"/>
    <d v="2025-02-06T00:00:00"/>
    <d v="2025-02-07T00:00:00"/>
    <n v="1"/>
    <x v="1"/>
  </r>
  <r>
    <s v="2025-02-22"/>
    <s v="SUP008"/>
    <x v="7"/>
    <x v="3"/>
    <s v="1200mm"/>
    <n v="40"/>
    <n v="5047"/>
    <n v="10"/>
    <n v="12"/>
    <n v="203495.04000000001"/>
    <x v="1"/>
    <x v="2"/>
    <d v="2025-03-02T00:00:00"/>
    <d v="2025-03-09T00:00:00"/>
    <n v="7"/>
    <x v="0"/>
  </r>
  <r>
    <s v="2025-06-27"/>
    <s v="SUP003"/>
    <x v="3"/>
    <x v="0"/>
    <s v="20L"/>
    <n v="16"/>
    <n v="53370"/>
    <n v="12"/>
    <n v="28"/>
    <n v="961855.49"/>
    <x v="1"/>
    <x v="1"/>
    <d v="2025-07-06T00:00:00"/>
    <d v="2025-07-20T00:00:00"/>
    <n v="14"/>
    <x v="0"/>
  </r>
  <r>
    <s v="2025-02-22"/>
    <s v="SUP006"/>
    <x v="0"/>
    <x v="4"/>
    <s v="1.5 Ton Inverter"/>
    <n v="15"/>
    <n v="38235"/>
    <n v="12"/>
    <n v="12"/>
    <n v="565266.24"/>
    <x v="3"/>
    <x v="1"/>
    <d v="2025-02-26T00:00:00"/>
    <d v="2025-03-05T00:00:00"/>
    <n v="7"/>
    <x v="0"/>
  </r>
  <r>
    <s v="2025-04-09"/>
    <s v="SUP005"/>
    <x v="4"/>
    <x v="7"/>
    <s v="750W"/>
    <n v="32"/>
    <n v="79754"/>
    <n v="10"/>
    <n v="12"/>
    <n v="2572545.02"/>
    <x v="3"/>
    <x v="2"/>
    <d v="2025-04-12T00:00:00"/>
    <d v="2025-04-12T00:00:00"/>
    <n v="0"/>
    <x v="2"/>
  </r>
  <r>
    <s v="2025-04-09"/>
    <s v="SUP007"/>
    <x v="5"/>
    <x v="7"/>
    <s v="500W"/>
    <n v="32"/>
    <n v="56918"/>
    <n v="5"/>
    <n v="18"/>
    <n v="2041762.5"/>
    <x v="1"/>
    <x v="3"/>
    <d v="2025-04-18T00:00:00"/>
    <d v="2025-04-30T00:00:00"/>
    <n v="12"/>
    <x v="0"/>
  </r>
  <r>
    <s v="2025-06-18"/>
    <s v="SUP003"/>
    <x v="3"/>
    <x v="2"/>
    <s v="43 Smart"/>
    <n v="32"/>
    <n v="31214"/>
    <n v="5"/>
    <n v="18"/>
    <n v="1119708.6100000001"/>
    <x v="1"/>
    <x v="1"/>
    <d v="2025-06-22T00:00:00"/>
    <d v="2025-07-06T00:00:00"/>
    <n v="14"/>
    <x v="0"/>
  </r>
  <r>
    <s v="2025-05-08"/>
    <s v="SUP002"/>
    <x v="2"/>
    <x v="2"/>
    <s v="55 4K"/>
    <n v="15"/>
    <n v="30257"/>
    <n v="5"/>
    <n v="18"/>
    <n v="508771.45"/>
    <x v="0"/>
    <x v="2"/>
    <d v="2025-05-13T00:00:00"/>
    <d v="2025-05-18T00:00:00"/>
    <n v="5"/>
    <x v="0"/>
  </r>
  <r>
    <s v="2025-06-24"/>
    <s v="SUP002"/>
    <x v="2"/>
    <x v="2"/>
    <s v="43 Smart"/>
    <n v="22"/>
    <n v="75929"/>
    <n v="12"/>
    <n v="18"/>
    <n v="1734582.82"/>
    <x v="2"/>
    <x v="1"/>
    <d v="2025-06-30T00:00:00"/>
    <d v="2025-07-05T00:00:00"/>
    <n v="5"/>
    <x v="0"/>
  </r>
  <r>
    <s v="2025-04-15"/>
    <s v="SUP002"/>
    <x v="2"/>
    <x v="2"/>
    <s v="43 Smart"/>
    <n v="3"/>
    <n v="71580"/>
    <n v="5"/>
    <n v="18"/>
    <n v="240723.54"/>
    <x v="1"/>
    <x v="2"/>
    <d v="2025-04-21T00:00:00"/>
    <d v="2025-05-01T00:00:00"/>
    <n v="10"/>
    <x v="0"/>
  </r>
  <r>
    <s v="2025-01-17"/>
    <s v="SUP006"/>
    <x v="0"/>
    <x v="0"/>
    <s v="28L"/>
    <n v="37"/>
    <n v="53863"/>
    <n v="10"/>
    <n v="28"/>
    <n v="2295856.5099999998"/>
    <x v="1"/>
    <x v="2"/>
    <d v="2025-01-26T00:00:00"/>
    <d v="2025-02-03T00:00:00"/>
    <n v="8"/>
    <x v="0"/>
  </r>
  <r>
    <s v="2025-04-04"/>
    <s v="SUP004"/>
    <x v="1"/>
    <x v="4"/>
    <s v="2 Ton"/>
    <n v="4"/>
    <n v="43231"/>
    <n v="5"/>
    <n v="28"/>
    <n v="210275.58"/>
    <x v="1"/>
    <x v="2"/>
    <d v="2025-04-09T00:00:00"/>
    <d v="2025-04-23T00:00:00"/>
    <n v="14"/>
    <x v="0"/>
  </r>
  <r>
    <s v="2025-04-14"/>
    <s v="SUP006"/>
    <x v="0"/>
    <x v="1"/>
    <s v="35L"/>
    <n v="3"/>
    <n v="70016"/>
    <n v="5"/>
    <n v="12"/>
    <n v="223491.07"/>
    <x v="1"/>
    <x v="0"/>
    <d v="2025-04-18T00:00:00"/>
    <d v="2025-04-18T00:00:00"/>
    <n v="0"/>
    <x v="2"/>
  </r>
  <r>
    <s v="2025-01-19"/>
    <s v="SUP006"/>
    <x v="0"/>
    <x v="4"/>
    <s v="1 Ton Split"/>
    <n v="18"/>
    <n v="23520"/>
    <n v="0"/>
    <n v="28"/>
    <n v="541900.80000000005"/>
    <x v="1"/>
    <x v="2"/>
    <d v="2025-01-27T00:00:00"/>
    <d v="2025-01-29T00:00:00"/>
    <n v="2"/>
    <x v="1"/>
  </r>
  <r>
    <s v="2025-06-09"/>
    <s v="SUP001"/>
    <x v="6"/>
    <x v="5"/>
    <s v="Top Load"/>
    <n v="33"/>
    <n v="46866"/>
    <n v="5"/>
    <n v="12"/>
    <n v="1645558.99"/>
    <x v="2"/>
    <x v="1"/>
    <d v="2025-06-14T00:00:00"/>
    <d v="2025-06-21T00:00:00"/>
    <n v="7"/>
    <x v="0"/>
  </r>
  <r>
    <s v="2025-04-11"/>
    <s v="SUP003"/>
    <x v="3"/>
    <x v="2"/>
    <s v="32 LED"/>
    <n v="5"/>
    <n v="73607"/>
    <n v="5"/>
    <n v="28"/>
    <n v="447530.56"/>
    <x v="2"/>
    <x v="3"/>
    <d v="2025-04-21T00:00:00"/>
    <d v="2025-04-25T00:00:00"/>
    <n v="4"/>
    <x v="0"/>
  </r>
  <r>
    <s v="2025-03-01"/>
    <s v="SUP006"/>
    <x v="0"/>
    <x v="5"/>
    <s v="Top Load"/>
    <n v="13"/>
    <n v="28103"/>
    <n v="0"/>
    <n v="28"/>
    <n v="467633.91999999998"/>
    <x v="1"/>
    <x v="1"/>
    <d v="2025-03-09T00:00:00"/>
    <d v="2025-03-14T00:00:00"/>
    <n v="5"/>
    <x v="0"/>
  </r>
  <r>
    <s v="2025-04-16"/>
    <s v="SUP001"/>
    <x v="6"/>
    <x v="2"/>
    <s v="43 Smart"/>
    <n v="34"/>
    <n v="10898"/>
    <n v="12"/>
    <n v="18"/>
    <n v="384760.43"/>
    <x v="1"/>
    <x v="3"/>
    <d v="2025-04-26T00:00:00"/>
    <d v="2025-04-29T00:00:00"/>
    <n v="3"/>
    <x v="1"/>
  </r>
  <r>
    <s v="2025-04-08"/>
    <s v="SUP007"/>
    <x v="5"/>
    <x v="4"/>
    <s v="2 Ton"/>
    <n v="16"/>
    <n v="2902"/>
    <n v="5"/>
    <n v="18"/>
    <n v="52050.27"/>
    <x v="1"/>
    <x v="0"/>
    <d v="2025-04-13T00:00:00"/>
    <d v="2025-04-13T00:00:00"/>
    <n v="0"/>
    <x v="2"/>
  </r>
  <r>
    <s v="2025-04-17"/>
    <s v="SUP002"/>
    <x v="2"/>
    <x v="4"/>
    <s v="2 Ton"/>
    <n v="15"/>
    <n v="65941"/>
    <n v="12"/>
    <n v="12"/>
    <n v="974871.74"/>
    <x v="1"/>
    <x v="2"/>
    <d v="2025-04-26T00:00:00"/>
    <d v="2025-04-28T00:00:00"/>
    <n v="2"/>
    <x v="1"/>
  </r>
  <r>
    <s v="2025-04-09"/>
    <s v="SUP001"/>
    <x v="6"/>
    <x v="3"/>
    <s v="1200mm"/>
    <n v="7"/>
    <n v="24159"/>
    <n v="5"/>
    <n v="18"/>
    <n v="189575.67"/>
    <x v="3"/>
    <x v="3"/>
    <d v="2025-04-19T00:00:00"/>
    <d v="2025-05-02T00:00:00"/>
    <n v="13"/>
    <x v="0"/>
  </r>
  <r>
    <s v="2025-01-28"/>
    <s v="SUP005"/>
    <x v="4"/>
    <x v="4"/>
    <s v="2 Ton"/>
    <n v="8"/>
    <n v="8373"/>
    <n v="0"/>
    <n v="12"/>
    <n v="75022.080000000002"/>
    <x v="2"/>
    <x v="3"/>
    <d v="2025-02-05T00:00:00"/>
    <d v="2025-02-16T00:00:00"/>
    <n v="11"/>
    <x v="0"/>
  </r>
  <r>
    <s v="2025-04-23"/>
    <s v="SUP001"/>
    <x v="6"/>
    <x v="4"/>
    <s v="1 Ton Split"/>
    <n v="7"/>
    <n v="13298"/>
    <n v="12"/>
    <n v="18"/>
    <n v="96660.5"/>
    <x v="2"/>
    <x v="2"/>
    <d v="2025-04-27T00:00:00"/>
    <d v="2025-04-27T00:00:00"/>
    <n v="0"/>
    <x v="2"/>
  </r>
  <r>
    <s v="2025-05-08"/>
    <s v="SUP004"/>
    <x v="1"/>
    <x v="5"/>
    <s v="Top Load"/>
    <n v="31"/>
    <n v="69299"/>
    <n v="0"/>
    <n v="12"/>
    <n v="2406061.2799999998"/>
    <x v="1"/>
    <x v="0"/>
    <d v="2025-05-15T00:00:00"/>
    <d v="2025-05-22T00:00:00"/>
    <n v="7"/>
    <x v="0"/>
  </r>
  <r>
    <s v="2025-01-20"/>
    <s v="SUP001"/>
    <x v="6"/>
    <x v="5"/>
    <s v="Top Load"/>
    <n v="40"/>
    <n v="55859"/>
    <n v="12"/>
    <n v="18"/>
    <n v="2320159.42"/>
    <x v="1"/>
    <x v="0"/>
    <d v="2025-01-24T00:00:00"/>
    <d v="2025-02-05T00:00:00"/>
    <n v="12"/>
    <x v="0"/>
  </r>
  <r>
    <s v="2025-01-12"/>
    <s v="SUP003"/>
    <x v="3"/>
    <x v="4"/>
    <s v="1.5 Ton Inverter"/>
    <n v="10"/>
    <n v="25640"/>
    <n v="10"/>
    <n v="18"/>
    <n v="272296.8"/>
    <x v="3"/>
    <x v="0"/>
    <d v="2025-01-18T00:00:00"/>
    <d v="2025-01-27T00:00:00"/>
    <n v="9"/>
    <x v="0"/>
  </r>
  <r>
    <s v="2025-03-27"/>
    <s v="SUP007"/>
    <x v="5"/>
    <x v="2"/>
    <s v="43 Smart"/>
    <n v="12"/>
    <n v="76350"/>
    <n v="5"/>
    <n v="18"/>
    <n v="1027060.2"/>
    <x v="2"/>
    <x v="3"/>
    <d v="2025-04-01T00:00:00"/>
    <d v="2025-04-10T00:00:00"/>
    <n v="9"/>
    <x v="0"/>
  </r>
  <r>
    <s v="2025-04-29"/>
    <s v="SUP006"/>
    <x v="0"/>
    <x v="7"/>
    <s v="500W"/>
    <n v="19"/>
    <n v="67522"/>
    <n v="0"/>
    <n v="18"/>
    <n v="1513843.24"/>
    <x v="0"/>
    <x v="3"/>
    <d v="2025-05-02T00:00:00"/>
    <d v="2025-05-02T00:00:00"/>
    <n v="0"/>
    <x v="2"/>
  </r>
  <r>
    <s v="2025-02-02"/>
    <s v="SUP004"/>
    <x v="1"/>
    <x v="4"/>
    <s v="2 Ton"/>
    <n v="4"/>
    <n v="29977"/>
    <n v="12"/>
    <n v="18"/>
    <n v="124512.47"/>
    <x v="2"/>
    <x v="2"/>
    <d v="2025-02-10T00:00:00"/>
    <d v="2025-02-15T00:00:00"/>
    <n v="5"/>
    <x v="0"/>
  </r>
  <r>
    <s v="2025-01-16"/>
    <s v="SUP001"/>
    <x v="6"/>
    <x v="7"/>
    <s v="500W"/>
    <n v="1"/>
    <n v="64120"/>
    <n v="12"/>
    <n v="12"/>
    <n v="63196.67"/>
    <x v="2"/>
    <x v="3"/>
    <d v="2025-01-26T00:00:00"/>
    <d v="2025-01-29T00:00:00"/>
    <n v="3"/>
    <x v="1"/>
  </r>
  <r>
    <s v="2025-01-03"/>
    <s v="SUP006"/>
    <x v="0"/>
    <x v="2"/>
    <s v="55 4K"/>
    <n v="5"/>
    <n v="55878"/>
    <n v="5"/>
    <n v="18"/>
    <n v="313196.19"/>
    <x v="0"/>
    <x v="0"/>
    <d v="2025-01-09T00:00:00"/>
    <d v="2025-01-24T00:00:00"/>
    <n v="15"/>
    <x v="0"/>
  </r>
  <r>
    <s v="2025-05-31"/>
    <s v="SUP006"/>
    <x v="0"/>
    <x v="3"/>
    <s v="1200mm"/>
    <n v="23"/>
    <n v="30445"/>
    <n v="5"/>
    <n v="28"/>
    <n v="851485.76"/>
    <x v="2"/>
    <x v="2"/>
    <d v="2025-06-05T00:00:00"/>
    <d v="2025-06-20T00:00:00"/>
    <n v="15"/>
    <x v="0"/>
  </r>
  <r>
    <s v="2025-05-26"/>
    <s v="SUP002"/>
    <x v="2"/>
    <x v="4"/>
    <s v="1 Ton Split"/>
    <n v="38"/>
    <n v="15020"/>
    <n v="5"/>
    <n v="12"/>
    <n v="607288.64"/>
    <x v="0"/>
    <x v="2"/>
    <d v="2025-05-30T00:00:00"/>
    <d v="2025-06-01T00:00:00"/>
    <n v="2"/>
    <x v="1"/>
  </r>
  <r>
    <s v="2025-04-08"/>
    <s v="SUP002"/>
    <x v="2"/>
    <x v="2"/>
    <s v="43 Smart"/>
    <n v="35"/>
    <n v="78974"/>
    <n v="0"/>
    <n v="28"/>
    <n v="3538035.2"/>
    <x v="0"/>
    <x v="2"/>
    <d v="2025-04-13T00:00:00"/>
    <d v="2025-04-13T00:00:00"/>
    <n v="0"/>
    <x v="2"/>
  </r>
  <r>
    <s v="2025-04-03"/>
    <s v="SUP007"/>
    <x v="5"/>
    <x v="1"/>
    <s v="35L"/>
    <n v="16"/>
    <n v="79515"/>
    <n v="0"/>
    <n v="18"/>
    <n v="1501243.2"/>
    <x v="0"/>
    <x v="2"/>
    <d v="2025-04-10T00:00:00"/>
    <d v="2025-04-14T00:00:00"/>
    <n v="4"/>
    <x v="0"/>
  </r>
  <r>
    <s v="2025-01-21"/>
    <s v="SUP006"/>
    <x v="0"/>
    <x v="7"/>
    <s v="750W"/>
    <n v="2"/>
    <n v="51451"/>
    <n v="10"/>
    <n v="12"/>
    <n v="103725.22"/>
    <x v="2"/>
    <x v="0"/>
    <d v="2025-01-30T00:00:00"/>
    <d v="2025-02-07T00:00:00"/>
    <n v="8"/>
    <x v="0"/>
  </r>
  <r>
    <s v="2025-04-27"/>
    <s v="SUP003"/>
    <x v="3"/>
    <x v="0"/>
    <s v="28L"/>
    <n v="38"/>
    <n v="54887"/>
    <n v="10"/>
    <n v="28"/>
    <n v="2402733.31"/>
    <x v="1"/>
    <x v="0"/>
    <d v="2025-04-30T00:00:00"/>
    <d v="2025-05-14T00:00:00"/>
    <n v="14"/>
    <x v="0"/>
  </r>
  <r>
    <s v="2025-06-28"/>
    <s v="SUP008"/>
    <x v="7"/>
    <x v="2"/>
    <s v="55 4K"/>
    <n v="21"/>
    <n v="28199"/>
    <n v="0"/>
    <n v="28"/>
    <n v="757989.12"/>
    <x v="3"/>
    <x v="0"/>
    <d v="2025-07-05T00:00:00"/>
    <d v="2025-07-09T00:00:00"/>
    <n v="4"/>
    <x v="0"/>
  </r>
  <r>
    <s v="2025-03-30"/>
    <s v="SUP008"/>
    <x v="7"/>
    <x v="6"/>
    <s v="260L"/>
    <n v="22"/>
    <n v="21911"/>
    <n v="5"/>
    <n v="28"/>
    <n v="586163.06999999995"/>
    <x v="0"/>
    <x v="3"/>
    <d v="2025-04-08T00:00:00"/>
    <d v="2025-04-08T00:00:00"/>
    <n v="0"/>
    <x v="2"/>
  </r>
  <r>
    <s v="2025-03-28"/>
    <s v="SUP008"/>
    <x v="7"/>
    <x v="2"/>
    <s v="32 LED"/>
    <n v="23"/>
    <n v="64198"/>
    <n v="5"/>
    <n v="18"/>
    <n v="1655217.03"/>
    <x v="1"/>
    <x v="3"/>
    <d v="2025-04-07T00:00:00"/>
    <d v="2025-04-10T00:00:00"/>
    <n v="3"/>
    <x v="1"/>
  </r>
  <r>
    <s v="2025-06-04"/>
    <s v="SUP007"/>
    <x v="5"/>
    <x v="7"/>
    <s v="750W"/>
    <n v="2"/>
    <n v="24849"/>
    <n v="5"/>
    <n v="28"/>
    <n v="60432.77"/>
    <x v="3"/>
    <x v="3"/>
    <d v="2025-06-08T00:00:00"/>
    <d v="2025-06-15T00:00:00"/>
    <n v="7"/>
    <x v="0"/>
  </r>
  <r>
    <s v="2025-02-02"/>
    <s v="SUP006"/>
    <x v="0"/>
    <x v="7"/>
    <s v="750W"/>
    <n v="3"/>
    <n v="38637"/>
    <n v="0"/>
    <n v="12"/>
    <n v="129820.32"/>
    <x v="2"/>
    <x v="1"/>
    <d v="2025-02-10T00:00:00"/>
    <d v="2025-02-24T00:00:00"/>
    <n v="14"/>
    <x v="0"/>
  </r>
  <r>
    <s v="2025-06-24"/>
    <s v="SUP004"/>
    <x v="1"/>
    <x v="0"/>
    <s v="20L"/>
    <n v="7"/>
    <n v="84494"/>
    <n v="5"/>
    <n v="12"/>
    <n v="629311.31000000006"/>
    <x v="2"/>
    <x v="2"/>
    <d v="2025-06-28T00:00:00"/>
    <d v="2025-07-10T00:00:00"/>
    <n v="12"/>
    <x v="0"/>
  </r>
  <r>
    <s v="2025-04-02"/>
    <s v="SUP003"/>
    <x v="3"/>
    <x v="4"/>
    <s v="2 Ton"/>
    <n v="26"/>
    <n v="79550"/>
    <n v="5"/>
    <n v="28"/>
    <n v="2515052.7999999998"/>
    <x v="2"/>
    <x v="3"/>
    <d v="2025-04-09T00:00:00"/>
    <d v="2025-04-23T00:00:00"/>
    <n v="14"/>
    <x v="0"/>
  </r>
  <r>
    <s v="2025-04-15"/>
    <s v="SUP004"/>
    <x v="1"/>
    <x v="5"/>
    <s v="Top Load"/>
    <n v="26"/>
    <n v="56858"/>
    <n v="12"/>
    <n v="18"/>
    <n v="1535075.03"/>
    <x v="1"/>
    <x v="0"/>
    <d v="2025-04-25T00:00:00"/>
    <d v="2025-05-04T00:00:00"/>
    <n v="9"/>
    <x v="0"/>
  </r>
  <r>
    <s v="2025-02-27"/>
    <s v="SUP006"/>
    <x v="0"/>
    <x v="6"/>
    <s v="190L"/>
    <n v="12"/>
    <n v="31948"/>
    <n v="5"/>
    <n v="12"/>
    <n v="407912.06"/>
    <x v="0"/>
    <x v="0"/>
    <d v="2025-03-06T00:00:00"/>
    <d v="2025-03-20T00:00:00"/>
    <n v="14"/>
    <x v="0"/>
  </r>
  <r>
    <s v="2025-05-27"/>
    <s v="SUP007"/>
    <x v="5"/>
    <x v="0"/>
    <s v="20L"/>
    <n v="21"/>
    <n v="32208"/>
    <n v="0"/>
    <n v="12"/>
    <n v="757532.16000000003"/>
    <x v="0"/>
    <x v="1"/>
    <d v="2025-06-05T00:00:00"/>
    <d v="2025-06-20T00:00:00"/>
    <n v="15"/>
    <x v="0"/>
  </r>
  <r>
    <s v="2025-03-15"/>
    <s v="SUP009"/>
    <x v="8"/>
    <x v="6"/>
    <s v="190L"/>
    <n v="25"/>
    <n v="33835"/>
    <n v="10"/>
    <n v="12"/>
    <n v="852642"/>
    <x v="0"/>
    <x v="2"/>
    <d v="2025-03-22T00:00:00"/>
    <d v="2025-04-01T00:00:00"/>
    <n v="10"/>
    <x v="0"/>
  </r>
  <r>
    <s v="2025-05-20"/>
    <s v="SUP005"/>
    <x v="4"/>
    <x v="4"/>
    <s v="1.5 Ton Inverter"/>
    <n v="18"/>
    <n v="79328"/>
    <n v="5"/>
    <n v="28"/>
    <n v="1736331.26"/>
    <x v="0"/>
    <x v="2"/>
    <d v="2025-05-25T00:00:00"/>
    <d v="2025-05-28T00:00:00"/>
    <n v="3"/>
    <x v="1"/>
  </r>
  <r>
    <s v="2025-01-06"/>
    <s v="SUP005"/>
    <x v="4"/>
    <x v="1"/>
    <s v="35L"/>
    <n v="1"/>
    <n v="73214"/>
    <n v="12"/>
    <n v="12"/>
    <n v="72159.72"/>
    <x v="1"/>
    <x v="0"/>
    <d v="2025-01-09T00:00:00"/>
    <d v="2025-01-15T00:00:00"/>
    <n v="6"/>
    <x v="0"/>
  </r>
  <r>
    <s v="2025-06-16"/>
    <s v="SUP003"/>
    <x v="3"/>
    <x v="2"/>
    <s v="55 4K"/>
    <n v="20"/>
    <n v="41365"/>
    <n v="12"/>
    <n v="12"/>
    <n v="815386.88"/>
    <x v="0"/>
    <x v="1"/>
    <d v="2025-06-22T00:00:00"/>
    <d v="2025-07-01T00:00:00"/>
    <n v="9"/>
    <x v="0"/>
  </r>
  <r>
    <s v="2025-04-19"/>
    <s v="SUP009"/>
    <x v="8"/>
    <x v="6"/>
    <s v="190L"/>
    <n v="17"/>
    <n v="29824"/>
    <n v="10"/>
    <n v="18"/>
    <n v="538442.5"/>
    <x v="3"/>
    <x v="2"/>
    <d v="2025-04-28T00:00:00"/>
    <d v="2025-05-05T00:00:00"/>
    <n v="7"/>
    <x v="0"/>
  </r>
  <r>
    <s v="2025-01-23"/>
    <s v="SUP002"/>
    <x v="2"/>
    <x v="0"/>
    <s v="20L"/>
    <n v="34"/>
    <n v="72273"/>
    <n v="0"/>
    <n v="28"/>
    <n v="3145320.96"/>
    <x v="2"/>
    <x v="3"/>
    <d v="2025-01-31T00:00:00"/>
    <d v="2025-02-05T00:00:00"/>
    <n v="5"/>
    <x v="0"/>
  </r>
  <r>
    <s v="2025-04-25"/>
    <s v="SUP001"/>
    <x v="6"/>
    <x v="2"/>
    <s v="43 Smart"/>
    <n v="21"/>
    <n v="25560"/>
    <n v="12"/>
    <n v="12"/>
    <n v="529030.66"/>
    <x v="3"/>
    <x v="3"/>
    <d v="2025-04-29T00:00:00"/>
    <d v="2025-05-06T00:00:00"/>
    <n v="7"/>
    <x v="0"/>
  </r>
  <r>
    <s v="2025-04-16"/>
    <s v="SUP001"/>
    <x v="6"/>
    <x v="2"/>
    <s v="43 Smart"/>
    <n v="18"/>
    <n v="28686"/>
    <n v="12"/>
    <n v="12"/>
    <n v="508912.59"/>
    <x v="1"/>
    <x v="3"/>
    <d v="2025-04-25T00:00:00"/>
    <d v="2025-04-29T00:00:00"/>
    <n v="4"/>
    <x v="0"/>
  </r>
  <r>
    <s v="2025-03-28"/>
    <s v="SUP009"/>
    <x v="8"/>
    <x v="0"/>
    <s v="20L"/>
    <n v="6"/>
    <n v="49680"/>
    <n v="0"/>
    <n v="28"/>
    <n v="381542.40000000002"/>
    <x v="3"/>
    <x v="3"/>
    <d v="2025-04-05T00:00:00"/>
    <d v="2025-04-17T00:00:00"/>
    <n v="12"/>
    <x v="0"/>
  </r>
  <r>
    <s v="2025-04-30"/>
    <s v="SUP006"/>
    <x v="0"/>
    <x v="2"/>
    <s v="55 4K"/>
    <n v="32"/>
    <n v="19570"/>
    <n v="0"/>
    <n v="12"/>
    <n v="701388.80000000005"/>
    <x v="2"/>
    <x v="3"/>
    <d v="2025-05-06T00:00:00"/>
    <d v="2025-05-15T00:00:00"/>
    <n v="9"/>
    <x v="0"/>
  </r>
  <r>
    <s v="2025-05-24"/>
    <s v="SUP002"/>
    <x v="2"/>
    <x v="1"/>
    <s v="35L"/>
    <n v="15"/>
    <n v="11738"/>
    <n v="12"/>
    <n v="18"/>
    <n v="182831.09"/>
    <x v="0"/>
    <x v="0"/>
    <d v="2025-06-02T00:00:00"/>
    <d v="2025-06-10T00:00:00"/>
    <n v="8"/>
    <x v="0"/>
  </r>
  <r>
    <s v="2025-06-18"/>
    <s v="SUP004"/>
    <x v="1"/>
    <x v="7"/>
    <s v="500W"/>
    <n v="40"/>
    <n v="24148"/>
    <n v="12"/>
    <n v="12"/>
    <n v="952010.75"/>
    <x v="1"/>
    <x v="2"/>
    <d v="2025-06-26T00:00:00"/>
    <d v="2025-07-10T00:00:00"/>
    <n v="14"/>
    <x v="0"/>
  </r>
  <r>
    <s v="2025-02-09"/>
    <s v="SUP004"/>
    <x v="1"/>
    <x v="1"/>
    <s v="35L"/>
    <n v="35"/>
    <n v="58239"/>
    <n v="12"/>
    <n v="28"/>
    <n v="2296014.34"/>
    <x v="1"/>
    <x v="2"/>
    <d v="2025-02-15T00:00:00"/>
    <d v="2025-02-20T00:00:00"/>
    <n v="5"/>
    <x v="0"/>
  </r>
  <r>
    <s v="2025-01-22"/>
    <s v="SUP004"/>
    <x v="1"/>
    <x v="0"/>
    <s v="20L"/>
    <n v="22"/>
    <n v="71818"/>
    <n v="0"/>
    <n v="12"/>
    <n v="1769595.52"/>
    <x v="1"/>
    <x v="1"/>
    <d v="2025-01-29T00:00:00"/>
    <d v="2025-01-30T00:00:00"/>
    <n v="1"/>
    <x v="1"/>
  </r>
  <r>
    <s v="2025-03-17"/>
    <s v="SUP004"/>
    <x v="1"/>
    <x v="2"/>
    <s v="43 Smart"/>
    <n v="31"/>
    <n v="1385"/>
    <n v="0"/>
    <n v="12"/>
    <n v="48087.199999999997"/>
    <x v="1"/>
    <x v="3"/>
    <d v="2025-03-23T00:00:00"/>
    <d v="2025-04-01T00:00:00"/>
    <n v="9"/>
    <x v="0"/>
  </r>
  <r>
    <s v="2025-02-13"/>
    <s v="SUP008"/>
    <x v="7"/>
    <x v="6"/>
    <s v="190L"/>
    <n v="14"/>
    <n v="67288"/>
    <n v="12"/>
    <n v="28"/>
    <n v="1061104.8400000001"/>
    <x v="0"/>
    <x v="3"/>
    <d v="2025-02-18T00:00:00"/>
    <d v="2025-03-03T00:00:00"/>
    <n v="13"/>
    <x v="0"/>
  </r>
  <r>
    <s v="2025-02-20"/>
    <s v="SUP003"/>
    <x v="3"/>
    <x v="1"/>
    <s v="35L"/>
    <n v="27"/>
    <n v="77389"/>
    <n v="12"/>
    <n v="28"/>
    <n v="2353616.1800000002"/>
    <x v="2"/>
    <x v="3"/>
    <d v="2025-02-25T00:00:00"/>
    <d v="2025-03-11T00:00:00"/>
    <n v="14"/>
    <x v="0"/>
  </r>
  <r>
    <s v="2025-03-04"/>
    <s v="SUP003"/>
    <x v="3"/>
    <x v="6"/>
    <s v="260L"/>
    <n v="35"/>
    <n v="83404"/>
    <n v="5"/>
    <n v="12"/>
    <n v="3105964.96"/>
    <x v="2"/>
    <x v="2"/>
    <d v="2025-03-13T00:00:00"/>
    <d v="2025-03-28T00:00:00"/>
    <n v="15"/>
    <x v="0"/>
  </r>
  <r>
    <s v="2025-01-11"/>
    <s v="SUP008"/>
    <x v="7"/>
    <x v="0"/>
    <s v="20L"/>
    <n v="11"/>
    <n v="77041"/>
    <n v="10"/>
    <n v="12"/>
    <n v="854230.61"/>
    <x v="2"/>
    <x v="3"/>
    <d v="2025-01-14T00:00:00"/>
    <d v="2025-01-23T00:00:00"/>
    <n v="9"/>
    <x v="0"/>
  </r>
  <r>
    <s v="2025-03-07"/>
    <s v="SUP009"/>
    <x v="8"/>
    <x v="6"/>
    <s v="190L"/>
    <n v="5"/>
    <n v="76880"/>
    <n v="5"/>
    <n v="12"/>
    <n v="409001.6"/>
    <x v="3"/>
    <x v="3"/>
    <d v="2025-03-10T00:00:00"/>
    <d v="2025-03-20T00:00:00"/>
    <n v="10"/>
    <x v="0"/>
  </r>
  <r>
    <s v="2025-01-29"/>
    <s v="SUP009"/>
    <x v="8"/>
    <x v="3"/>
    <s v="1200mm"/>
    <n v="21"/>
    <n v="79418"/>
    <n v="10"/>
    <n v="28"/>
    <n v="1921280.26"/>
    <x v="1"/>
    <x v="3"/>
    <d v="2025-02-05T00:00:00"/>
    <d v="2025-02-18T00:00:00"/>
    <n v="13"/>
    <x v="0"/>
  </r>
  <r>
    <s v="2025-04-07"/>
    <s v="SUP006"/>
    <x v="0"/>
    <x v="4"/>
    <s v="1.5 Ton Inverter"/>
    <n v="10"/>
    <n v="46490"/>
    <n v="5"/>
    <n v="18"/>
    <n v="521152.9"/>
    <x v="2"/>
    <x v="0"/>
    <d v="2025-04-13T00:00:00"/>
    <d v="2025-04-22T00:00:00"/>
    <n v="9"/>
    <x v="0"/>
  </r>
  <r>
    <s v="2025-02-20"/>
    <s v="SUP009"/>
    <x v="8"/>
    <x v="4"/>
    <s v="1 Ton Split"/>
    <n v="27"/>
    <n v="69634"/>
    <n v="12"/>
    <n v="28"/>
    <n v="2117764.92"/>
    <x v="3"/>
    <x v="1"/>
    <d v="2025-02-28T00:00:00"/>
    <d v="2025-03-11T00:00:00"/>
    <n v="11"/>
    <x v="0"/>
  </r>
  <r>
    <s v="2025-03-27"/>
    <s v="SUP002"/>
    <x v="2"/>
    <x v="2"/>
    <s v="43 Smart"/>
    <n v="31"/>
    <n v="42414"/>
    <n v="10"/>
    <n v="18"/>
    <n v="1396353.71"/>
    <x v="1"/>
    <x v="2"/>
    <d v="2025-04-05T00:00:00"/>
    <d v="2025-04-12T00:00:00"/>
    <n v="7"/>
    <x v="0"/>
  </r>
  <r>
    <s v="2025-05-07"/>
    <s v="SUP007"/>
    <x v="5"/>
    <x v="2"/>
    <s v="32 LED"/>
    <n v="36"/>
    <n v="20051"/>
    <n v="10"/>
    <n v="12"/>
    <n v="727610.69"/>
    <x v="3"/>
    <x v="1"/>
    <d v="2025-05-10T00:00:00"/>
    <d v="2025-05-23T00:00:00"/>
    <n v="13"/>
    <x v="0"/>
  </r>
  <r>
    <s v="2025-04-17"/>
    <s v="SUP009"/>
    <x v="8"/>
    <x v="2"/>
    <s v="43 Smart"/>
    <n v="17"/>
    <n v="27001"/>
    <n v="10"/>
    <n v="28"/>
    <n v="528787.57999999996"/>
    <x v="3"/>
    <x v="2"/>
    <d v="2025-04-26T00:00:00"/>
    <d v="2025-05-08T00:00:00"/>
    <n v="12"/>
    <x v="0"/>
  </r>
  <r>
    <s v="2025-05-20"/>
    <s v="SUP008"/>
    <x v="7"/>
    <x v="3"/>
    <s v="1200mm"/>
    <n v="28"/>
    <n v="42688"/>
    <n v="10"/>
    <n v="18"/>
    <n v="1269370.3700000001"/>
    <x v="2"/>
    <x v="0"/>
    <d v="2025-05-28T00:00:00"/>
    <d v="2025-06-04T00:00:00"/>
    <n v="7"/>
    <x v="0"/>
  </r>
  <r>
    <s v="2025-03-09"/>
    <s v="SUP005"/>
    <x v="4"/>
    <x v="7"/>
    <s v="500W"/>
    <n v="11"/>
    <n v="4086"/>
    <n v="10"/>
    <n v="12"/>
    <n v="45305.57"/>
    <x v="3"/>
    <x v="1"/>
    <d v="2025-03-18T00:00:00"/>
    <d v="2025-03-29T00:00:00"/>
    <n v="11"/>
    <x v="0"/>
  </r>
  <r>
    <s v="2025-04-13"/>
    <s v="SUP002"/>
    <x v="2"/>
    <x v="1"/>
    <s v="35L"/>
    <n v="40"/>
    <n v="64495"/>
    <n v="5"/>
    <n v="18"/>
    <n v="2891955.8"/>
    <x v="1"/>
    <x v="0"/>
    <d v="2025-04-16T00:00:00"/>
    <d v="2025-04-19T00:00:00"/>
    <n v="3"/>
    <x v="1"/>
  </r>
  <r>
    <s v="2025-06-12"/>
    <s v="SUP001"/>
    <x v="6"/>
    <x v="3"/>
    <s v="1200mm"/>
    <n v="5"/>
    <n v="64100"/>
    <n v="10"/>
    <n v="12"/>
    <n v="323064"/>
    <x v="3"/>
    <x v="3"/>
    <d v="2025-06-18T00:00:00"/>
    <d v="2025-06-24T00:00:00"/>
    <n v="6"/>
    <x v="0"/>
  </r>
  <r>
    <s v="2025-04-06"/>
    <s v="SUP008"/>
    <x v="7"/>
    <x v="2"/>
    <s v="43 Smart"/>
    <n v="4"/>
    <n v="49754"/>
    <n v="0"/>
    <n v="12"/>
    <n v="222897.92000000001"/>
    <x v="2"/>
    <x v="0"/>
    <d v="2025-04-11T00:00:00"/>
    <d v="2025-04-26T00:00:00"/>
    <n v="15"/>
    <x v="0"/>
  </r>
  <r>
    <s v="2025-04-09"/>
    <s v="SUP006"/>
    <x v="0"/>
    <x v="3"/>
    <s v="1200mm"/>
    <n v="9"/>
    <n v="33669"/>
    <n v="10"/>
    <n v="28"/>
    <n v="349080.19"/>
    <x v="3"/>
    <x v="2"/>
    <d v="2025-04-18T00:00:00"/>
    <d v="2025-05-03T00:00:00"/>
    <n v="15"/>
    <x v="0"/>
  </r>
  <r>
    <s v="2025-06-26"/>
    <s v="SUP006"/>
    <x v="0"/>
    <x v="4"/>
    <s v="1 Ton Split"/>
    <n v="20"/>
    <n v="57281"/>
    <n v="5"/>
    <n v="12"/>
    <n v="1218939.68"/>
    <x v="3"/>
    <x v="2"/>
    <d v="2025-07-01T00:00:00"/>
    <d v="2025-07-14T00:00:00"/>
    <n v="13"/>
    <x v="0"/>
  </r>
  <r>
    <s v="2025-04-15"/>
    <s v="SUP006"/>
    <x v="0"/>
    <x v="4"/>
    <s v="2 Ton"/>
    <n v="40"/>
    <n v="38524"/>
    <n v="0"/>
    <n v="18"/>
    <n v="1818332.8"/>
    <x v="3"/>
    <x v="2"/>
    <d v="2025-04-21T00:00:00"/>
    <d v="2025-05-02T00:00:00"/>
    <n v="11"/>
    <x v="0"/>
  </r>
  <r>
    <s v="2025-01-22"/>
    <s v="SUP007"/>
    <x v="5"/>
    <x v="0"/>
    <s v="28L"/>
    <n v="1"/>
    <n v="63585"/>
    <n v="10"/>
    <n v="28"/>
    <n v="73249.919999999998"/>
    <x v="1"/>
    <x v="3"/>
    <d v="2025-01-25T00:00:00"/>
    <d v="2025-01-27T00:00:00"/>
    <n v="2"/>
    <x v="1"/>
  </r>
  <r>
    <s v="2025-01-01"/>
    <s v="SUP006"/>
    <x v="0"/>
    <x v="3"/>
    <s v="1200mm"/>
    <n v="32"/>
    <n v="34903"/>
    <n v="10"/>
    <n v="18"/>
    <n v="1186143.55"/>
    <x v="2"/>
    <x v="2"/>
    <d v="2025-01-05T00:00:00"/>
    <d v="2025-01-08T00:00:00"/>
    <n v="3"/>
    <x v="1"/>
  </r>
  <r>
    <s v="2025-05-16"/>
    <s v="SUP009"/>
    <x v="8"/>
    <x v="2"/>
    <s v="32 LED"/>
    <n v="5"/>
    <n v="16005"/>
    <n v="0"/>
    <n v="18"/>
    <n v="94429.5"/>
    <x v="3"/>
    <x v="0"/>
    <d v="2025-05-22T00:00:00"/>
    <d v="2025-06-03T00:00:00"/>
    <n v="12"/>
    <x v="0"/>
  </r>
  <r>
    <s v="2025-05-31"/>
    <s v="SUP006"/>
    <x v="0"/>
    <x v="7"/>
    <s v="750W"/>
    <n v="19"/>
    <n v="37671"/>
    <n v="12"/>
    <n v="18"/>
    <n v="743233.76"/>
    <x v="2"/>
    <x v="3"/>
    <d v="2025-06-04T00:00:00"/>
    <d v="2025-06-18T00:00:00"/>
    <n v="14"/>
    <x v="0"/>
  </r>
  <r>
    <s v="2025-06-08"/>
    <s v="SUP007"/>
    <x v="5"/>
    <x v="4"/>
    <s v="2 Ton"/>
    <n v="9"/>
    <n v="35839"/>
    <n v="12"/>
    <n v="28"/>
    <n v="363321.45"/>
    <x v="1"/>
    <x v="0"/>
    <d v="2025-06-16T00:00:00"/>
    <d v="2025-06-19T00:00:00"/>
    <n v="3"/>
    <x v="1"/>
  </r>
  <r>
    <s v="2025-06-19"/>
    <s v="SUP009"/>
    <x v="8"/>
    <x v="7"/>
    <s v="750W"/>
    <n v="28"/>
    <n v="41145"/>
    <n v="12"/>
    <n v="12"/>
    <n v="1135470.3400000001"/>
    <x v="0"/>
    <x v="2"/>
    <d v="2025-06-28T00:00:00"/>
    <d v="2025-07-05T00:00:00"/>
    <n v="7"/>
    <x v="0"/>
  </r>
  <r>
    <s v="2025-05-03"/>
    <s v="SUP008"/>
    <x v="7"/>
    <x v="2"/>
    <s v="43 Smart"/>
    <n v="22"/>
    <n v="20472"/>
    <n v="5"/>
    <n v="18"/>
    <n v="504880.46"/>
    <x v="1"/>
    <x v="2"/>
    <d v="2025-05-11T00:00:00"/>
    <d v="2025-05-20T00:00:00"/>
    <n v="9"/>
    <x v="0"/>
  </r>
  <r>
    <s v="2025-05-28"/>
    <s v="SUP006"/>
    <x v="0"/>
    <x v="5"/>
    <s v="Top Load"/>
    <n v="13"/>
    <n v="20528"/>
    <n v="5"/>
    <n v="18"/>
    <n v="299154.53999999998"/>
    <x v="0"/>
    <x v="1"/>
    <d v="2025-05-31T00:00:00"/>
    <d v="2025-06-03T00:00:00"/>
    <n v="3"/>
    <x v="1"/>
  </r>
  <r>
    <s v="2025-01-11"/>
    <s v="SUP002"/>
    <x v="2"/>
    <x v="2"/>
    <s v="32 LED"/>
    <n v="12"/>
    <n v="64128"/>
    <n v="0"/>
    <n v="28"/>
    <n v="985006.07999999996"/>
    <x v="0"/>
    <x v="1"/>
    <d v="2025-01-15T00:00:00"/>
    <d v="2025-01-25T00:00:00"/>
    <n v="10"/>
    <x v="0"/>
  </r>
  <r>
    <s v="2025-05-08"/>
    <s v="SUP008"/>
    <x v="7"/>
    <x v="1"/>
    <s v="35L"/>
    <n v="31"/>
    <n v="24858"/>
    <n v="5"/>
    <n v="28"/>
    <n v="937047.17"/>
    <x v="2"/>
    <x v="0"/>
    <d v="2025-05-13T00:00:00"/>
    <d v="2025-05-27T00:00:00"/>
    <n v="14"/>
    <x v="0"/>
  </r>
  <r>
    <s v="2025-05-04"/>
    <s v="SUP002"/>
    <x v="2"/>
    <x v="2"/>
    <s v="43 Smart"/>
    <n v="27"/>
    <n v="17170"/>
    <n v="10"/>
    <n v="18"/>
    <n v="492332.58"/>
    <x v="1"/>
    <x v="0"/>
    <d v="2025-05-13T00:00:00"/>
    <d v="2025-05-16T00:00:00"/>
    <n v="3"/>
    <x v="1"/>
  </r>
  <r>
    <s v="2025-05-08"/>
    <s v="SUP004"/>
    <x v="1"/>
    <x v="2"/>
    <s v="43 Smart"/>
    <n v="26"/>
    <n v="75060"/>
    <n v="0"/>
    <n v="18"/>
    <n v="2302840.7999999998"/>
    <x v="2"/>
    <x v="0"/>
    <d v="2025-05-12T00:00:00"/>
    <d v="2025-05-18T00:00:00"/>
    <n v="6"/>
    <x v="0"/>
  </r>
  <r>
    <s v="2025-02-14"/>
    <s v="SUP008"/>
    <x v="7"/>
    <x v="2"/>
    <s v="55 4K"/>
    <n v="11"/>
    <n v="29144"/>
    <n v="12"/>
    <n v="18"/>
    <n v="332894.43"/>
    <x v="2"/>
    <x v="3"/>
    <d v="2025-02-24T00:00:00"/>
    <d v="2025-03-06T00:00:00"/>
    <n v="10"/>
    <x v="0"/>
  </r>
  <r>
    <s v="2025-03-17"/>
    <s v="SUP001"/>
    <x v="6"/>
    <x v="0"/>
    <s v="28L"/>
    <n v="20"/>
    <n v="31688"/>
    <n v="5"/>
    <n v="18"/>
    <n v="710444.96"/>
    <x v="2"/>
    <x v="1"/>
    <d v="2025-03-22T00:00:00"/>
    <d v="2025-03-25T00:00:00"/>
    <n v="3"/>
    <x v="1"/>
  </r>
  <r>
    <s v="2025-03-07"/>
    <s v="SUP007"/>
    <x v="5"/>
    <x v="1"/>
    <s v="35L"/>
    <n v="29"/>
    <n v="31734"/>
    <n v="12"/>
    <n v="28"/>
    <n v="1036610.15"/>
    <x v="2"/>
    <x v="1"/>
    <d v="2025-03-11T00:00:00"/>
    <d v="2025-03-22T00:00:00"/>
    <n v="11"/>
    <x v="0"/>
  </r>
  <r>
    <s v="2025-06-01"/>
    <s v="SUP006"/>
    <x v="0"/>
    <x v="2"/>
    <s v="43 Smart"/>
    <n v="39"/>
    <n v="13409"/>
    <n v="12"/>
    <n v="28"/>
    <n v="589052.01"/>
    <x v="2"/>
    <x v="2"/>
    <d v="2025-06-07T00:00:00"/>
    <d v="2025-06-11T00:00:00"/>
    <n v="4"/>
    <x v="0"/>
  </r>
  <r>
    <s v="2025-05-22"/>
    <s v="SUP003"/>
    <x v="3"/>
    <x v="1"/>
    <s v="35L"/>
    <n v="9"/>
    <n v="34144"/>
    <n v="5"/>
    <n v="12"/>
    <n v="326962.94"/>
    <x v="0"/>
    <x v="1"/>
    <d v="2025-06-01T00:00:00"/>
    <d v="2025-06-15T00:00:00"/>
    <n v="14"/>
    <x v="0"/>
  </r>
  <r>
    <s v="2025-03-22"/>
    <s v="SUP008"/>
    <x v="7"/>
    <x v="2"/>
    <s v="43 Smart"/>
    <n v="26"/>
    <n v="80648"/>
    <n v="5"/>
    <n v="28"/>
    <n v="2549767.17"/>
    <x v="1"/>
    <x v="2"/>
    <d v="2025-03-26T00:00:00"/>
    <d v="2025-04-08T00:00:00"/>
    <n v="13"/>
    <x v="0"/>
  </r>
  <r>
    <s v="2025-04-26"/>
    <s v="SUP009"/>
    <x v="8"/>
    <x v="6"/>
    <s v="260L"/>
    <n v="36"/>
    <n v="80900"/>
    <n v="10"/>
    <n v="28"/>
    <n v="3355084.7999999998"/>
    <x v="3"/>
    <x v="2"/>
    <d v="2025-05-01T00:00:00"/>
    <d v="2025-05-03T00:00:00"/>
    <n v="2"/>
    <x v="1"/>
  </r>
  <r>
    <s v="2025-04-21"/>
    <s v="SUP004"/>
    <x v="1"/>
    <x v="6"/>
    <s v="260L"/>
    <n v="29"/>
    <n v="46028"/>
    <n v="5"/>
    <n v="12"/>
    <n v="1420239.97"/>
    <x v="2"/>
    <x v="0"/>
    <d v="2025-04-24T00:00:00"/>
    <d v="2025-05-08T00:00:00"/>
    <n v="14"/>
    <x v="0"/>
  </r>
  <r>
    <s v="2025-02-14"/>
    <s v="SUP009"/>
    <x v="8"/>
    <x v="4"/>
    <s v="1.5 Ton Inverter"/>
    <n v="7"/>
    <n v="71399"/>
    <n v="12"/>
    <n v="28"/>
    <n v="562966.84"/>
    <x v="3"/>
    <x v="0"/>
    <d v="2025-02-23T00:00:00"/>
    <d v="2025-02-25T00:00:00"/>
    <n v="2"/>
    <x v="1"/>
  </r>
  <r>
    <s v="2025-06-09"/>
    <s v="SUP008"/>
    <x v="7"/>
    <x v="6"/>
    <s v="260L"/>
    <n v="6"/>
    <n v="69458"/>
    <n v="12"/>
    <n v="28"/>
    <n v="469424.95"/>
    <x v="1"/>
    <x v="3"/>
    <d v="2025-06-19T00:00:00"/>
    <d v="2025-07-04T00:00:00"/>
    <n v="15"/>
    <x v="0"/>
  </r>
  <r>
    <s v="2025-06-22"/>
    <s v="SUP001"/>
    <x v="6"/>
    <x v="6"/>
    <s v="260L"/>
    <n v="8"/>
    <n v="5125"/>
    <n v="12"/>
    <n v="28"/>
    <n v="46182.400000000001"/>
    <x v="3"/>
    <x v="2"/>
    <d v="2025-06-25T00:00:00"/>
    <d v="2025-07-09T00:00:00"/>
    <n v="14"/>
    <x v="0"/>
  </r>
  <r>
    <s v="2025-05-19"/>
    <s v="SUP006"/>
    <x v="0"/>
    <x v="5"/>
    <s v="Front Load"/>
    <n v="3"/>
    <n v="62142"/>
    <n v="0"/>
    <n v="28"/>
    <n v="238625.28"/>
    <x v="3"/>
    <x v="3"/>
    <d v="2025-05-29T00:00:00"/>
    <d v="2025-06-09T00:00:00"/>
    <n v="11"/>
    <x v="0"/>
  </r>
  <r>
    <s v="2025-02-06"/>
    <s v="SUP001"/>
    <x v="6"/>
    <x v="6"/>
    <s v="190L"/>
    <n v="25"/>
    <n v="21550"/>
    <n v="12"/>
    <n v="28"/>
    <n v="606848"/>
    <x v="2"/>
    <x v="0"/>
    <d v="2025-02-10T00:00:00"/>
    <d v="2025-02-11T00:00:00"/>
    <n v="1"/>
    <x v="1"/>
  </r>
  <r>
    <s v="2025-06-24"/>
    <s v="SUP007"/>
    <x v="5"/>
    <x v="4"/>
    <s v="1.5 Ton Inverter"/>
    <n v="16"/>
    <n v="70068"/>
    <n v="12"/>
    <n v="18"/>
    <n v="1164137.78"/>
    <x v="2"/>
    <x v="0"/>
    <d v="2025-07-03T00:00:00"/>
    <d v="2025-07-08T00:00:00"/>
    <n v="5"/>
    <x v="0"/>
  </r>
  <r>
    <s v="2025-03-26"/>
    <s v="SUP004"/>
    <x v="1"/>
    <x v="5"/>
    <s v="Front Load"/>
    <n v="32"/>
    <n v="31990"/>
    <n v="12"/>
    <n v="18"/>
    <n v="1062989.31"/>
    <x v="0"/>
    <x v="2"/>
    <d v="2025-04-04T00:00:00"/>
    <d v="2025-04-06T00:00:00"/>
    <n v="2"/>
    <x v="1"/>
  </r>
  <r>
    <s v="2025-01-05"/>
    <s v="SUP003"/>
    <x v="3"/>
    <x v="2"/>
    <s v="55 4K"/>
    <n v="19"/>
    <n v="74708"/>
    <n v="0"/>
    <n v="28"/>
    <n v="1816898.5600000001"/>
    <x v="3"/>
    <x v="2"/>
    <d v="2025-01-12T00:00:00"/>
    <d v="2025-01-19T00:00:00"/>
    <n v="7"/>
    <x v="0"/>
  </r>
  <r>
    <s v="2025-03-01"/>
    <s v="SUP008"/>
    <x v="7"/>
    <x v="4"/>
    <s v="2 Ton"/>
    <n v="27"/>
    <n v="41681"/>
    <n v="10"/>
    <n v="12"/>
    <n v="1134390.1000000001"/>
    <x v="3"/>
    <x v="0"/>
    <d v="2025-03-10T00:00:00"/>
    <d v="2025-03-13T00:00:00"/>
    <n v="3"/>
    <x v="1"/>
  </r>
  <r>
    <s v="2025-04-09"/>
    <s v="SUP006"/>
    <x v="0"/>
    <x v="6"/>
    <s v="260L"/>
    <n v="27"/>
    <n v="19770"/>
    <n v="10"/>
    <n v="18"/>
    <n v="566884.98"/>
    <x v="1"/>
    <x v="1"/>
    <d v="2025-04-17T00:00:00"/>
    <d v="2025-04-22T00:00:00"/>
    <n v="5"/>
    <x v="0"/>
  </r>
  <r>
    <s v="2025-04-26"/>
    <s v="SUP006"/>
    <x v="0"/>
    <x v="4"/>
    <s v="2 Ton"/>
    <n v="24"/>
    <n v="16122"/>
    <n v="10"/>
    <n v="12"/>
    <n v="390023.42"/>
    <x v="1"/>
    <x v="3"/>
    <d v="2025-04-29T00:00:00"/>
    <d v="2025-05-03T00:00:00"/>
    <n v="4"/>
    <x v="0"/>
  </r>
  <r>
    <s v="2025-06-17"/>
    <s v="SUP009"/>
    <x v="8"/>
    <x v="6"/>
    <s v="190L"/>
    <n v="36"/>
    <n v="47172"/>
    <n v="0"/>
    <n v="18"/>
    <n v="2003866.56"/>
    <x v="0"/>
    <x v="1"/>
    <d v="2025-06-24T00:00:00"/>
    <d v="2025-07-02T00:00:00"/>
    <n v="8"/>
    <x v="0"/>
  </r>
  <r>
    <s v="2025-04-22"/>
    <s v="SUP008"/>
    <x v="7"/>
    <x v="7"/>
    <s v="500W"/>
    <n v="33"/>
    <n v="54034"/>
    <n v="5"/>
    <n v="18"/>
    <n v="1998879.76"/>
    <x v="1"/>
    <x v="0"/>
    <d v="2025-05-01T00:00:00"/>
    <d v="2025-05-04T00:00:00"/>
    <n v="3"/>
    <x v="1"/>
  </r>
  <r>
    <s v="2025-04-13"/>
    <s v="SUP005"/>
    <x v="4"/>
    <x v="4"/>
    <s v="1 Ton Split"/>
    <n v="15"/>
    <n v="62836"/>
    <n v="12"/>
    <n v="28"/>
    <n v="1061677.06"/>
    <x v="1"/>
    <x v="1"/>
    <d v="2025-04-19T00:00:00"/>
    <d v="2025-04-30T00:00:00"/>
    <n v="11"/>
    <x v="0"/>
  </r>
  <r>
    <s v="2025-03-08"/>
    <s v="SUP001"/>
    <x v="6"/>
    <x v="2"/>
    <s v="43 Smart"/>
    <n v="24"/>
    <n v="14441"/>
    <n v="5"/>
    <n v="12"/>
    <n v="368765.38"/>
    <x v="1"/>
    <x v="3"/>
    <d v="2025-03-12T00:00:00"/>
    <d v="2025-03-25T00:00:00"/>
    <n v="13"/>
    <x v="0"/>
  </r>
  <r>
    <s v="2025-06-29"/>
    <s v="SUP008"/>
    <x v="7"/>
    <x v="3"/>
    <s v="1200mm"/>
    <n v="35"/>
    <n v="60365"/>
    <n v="12"/>
    <n v="28"/>
    <n v="2379829.7599999998"/>
    <x v="3"/>
    <x v="3"/>
    <d v="2025-07-03T00:00:00"/>
    <d v="2025-07-11T00:00:00"/>
    <n v="8"/>
    <x v="0"/>
  </r>
  <r>
    <s v="2025-01-31"/>
    <s v="SUP008"/>
    <x v="7"/>
    <x v="4"/>
    <s v="2 Ton"/>
    <n v="15"/>
    <n v="38629"/>
    <n v="10"/>
    <n v="12"/>
    <n v="584070.48"/>
    <x v="0"/>
    <x v="1"/>
    <d v="2025-02-08T00:00:00"/>
    <d v="2025-02-21T00:00:00"/>
    <n v="13"/>
    <x v="0"/>
  </r>
  <r>
    <s v="2025-02-27"/>
    <s v="SUP008"/>
    <x v="7"/>
    <x v="4"/>
    <s v="2 Ton"/>
    <n v="40"/>
    <n v="79708"/>
    <n v="10"/>
    <n v="28"/>
    <n v="3672944.6400000001"/>
    <x v="0"/>
    <x v="2"/>
    <d v="2025-03-06T00:00:00"/>
    <d v="2025-03-13T00:00:00"/>
    <n v="7"/>
    <x v="0"/>
  </r>
  <r>
    <s v="2025-06-19"/>
    <s v="SUP005"/>
    <x v="4"/>
    <x v="2"/>
    <s v="43 Smart"/>
    <n v="27"/>
    <n v="66813"/>
    <n v="5"/>
    <n v="12"/>
    <n v="1919403.86"/>
    <x v="3"/>
    <x v="1"/>
    <d v="2025-06-24T00:00:00"/>
    <d v="2025-07-07T00:00:00"/>
    <n v="13"/>
    <x v="0"/>
  </r>
  <r>
    <s v="2025-02-12"/>
    <s v="SUP004"/>
    <x v="1"/>
    <x v="4"/>
    <s v="1 Ton Split"/>
    <n v="20"/>
    <n v="14300"/>
    <n v="5"/>
    <n v="28"/>
    <n v="347776"/>
    <x v="2"/>
    <x v="3"/>
    <d v="2025-02-19T00:00:00"/>
    <d v="2025-02-20T00:00:00"/>
    <n v="1"/>
    <x v="1"/>
  </r>
  <r>
    <s v="2025-06-24"/>
    <s v="SUP003"/>
    <x v="3"/>
    <x v="7"/>
    <s v="500W"/>
    <n v="18"/>
    <n v="69641"/>
    <n v="0"/>
    <n v="12"/>
    <n v="1403962.56"/>
    <x v="1"/>
    <x v="2"/>
    <d v="2025-07-01T00:00:00"/>
    <d v="2025-07-15T00:00:00"/>
    <n v="14"/>
    <x v="0"/>
  </r>
  <r>
    <s v="2025-05-29"/>
    <s v="SUP003"/>
    <x v="3"/>
    <x v="4"/>
    <s v="1 Ton Split"/>
    <n v="36"/>
    <n v="40468"/>
    <n v="5"/>
    <n v="28"/>
    <n v="1771527.17"/>
    <x v="1"/>
    <x v="0"/>
    <d v="2025-06-05T00:00:00"/>
    <d v="2025-06-18T00:00:00"/>
    <n v="13"/>
    <x v="0"/>
  </r>
  <r>
    <s v="2025-04-29"/>
    <s v="SUP004"/>
    <x v="1"/>
    <x v="0"/>
    <s v="28L"/>
    <n v="12"/>
    <n v="68983"/>
    <n v="12"/>
    <n v="28"/>
    <n v="932429.41"/>
    <x v="1"/>
    <x v="1"/>
    <d v="2025-05-06T00:00:00"/>
    <d v="2025-05-12T00:00:00"/>
    <n v="6"/>
    <x v="0"/>
  </r>
  <r>
    <s v="2025-06-16"/>
    <s v="SUP005"/>
    <x v="4"/>
    <x v="4"/>
    <s v="2 Ton"/>
    <n v="21"/>
    <n v="2233"/>
    <n v="0"/>
    <n v="12"/>
    <n v="52520.160000000003"/>
    <x v="1"/>
    <x v="3"/>
    <d v="2025-06-26T00:00:00"/>
    <d v="2025-07-01T00:00:00"/>
    <n v="5"/>
    <x v="0"/>
  </r>
  <r>
    <s v="2025-06-22"/>
    <s v="SUP002"/>
    <x v="2"/>
    <x v="5"/>
    <s v="Front Load"/>
    <n v="2"/>
    <n v="69436"/>
    <n v="5"/>
    <n v="28"/>
    <n v="168868.35"/>
    <x v="1"/>
    <x v="3"/>
    <d v="2025-06-30T00:00:00"/>
    <d v="2025-07-09T00:00:00"/>
    <n v="9"/>
    <x v="0"/>
  </r>
  <r>
    <s v="2025-03-05"/>
    <s v="SUP001"/>
    <x v="6"/>
    <x v="5"/>
    <s v="Front Load"/>
    <n v="21"/>
    <n v="22821"/>
    <n v="0"/>
    <n v="12"/>
    <n v="536749.92000000004"/>
    <x v="0"/>
    <x v="0"/>
    <d v="2025-03-12T00:00:00"/>
    <d v="2025-03-21T00:00:00"/>
    <n v="9"/>
    <x v="0"/>
  </r>
  <r>
    <s v="2025-06-13"/>
    <s v="SUP005"/>
    <x v="4"/>
    <x v="5"/>
    <s v="Front Load"/>
    <n v="11"/>
    <n v="9036"/>
    <n v="12"/>
    <n v="18"/>
    <n v="103212.81"/>
    <x v="1"/>
    <x v="0"/>
    <d v="2025-06-17T00:00:00"/>
    <d v="2025-06-24T00:00:00"/>
    <n v="7"/>
    <x v="0"/>
  </r>
  <r>
    <s v="2025-06-29"/>
    <s v="SUP009"/>
    <x v="8"/>
    <x v="7"/>
    <s v="500W"/>
    <n v="5"/>
    <n v="18941"/>
    <n v="5"/>
    <n v="28"/>
    <n v="115161.28"/>
    <x v="0"/>
    <x v="3"/>
    <d v="2025-07-02T00:00:00"/>
    <d v="2025-07-08T00:00:00"/>
    <n v="6"/>
    <x v="0"/>
  </r>
  <r>
    <s v="2025-05-29"/>
    <s v="SUP004"/>
    <x v="1"/>
    <x v="4"/>
    <s v="1.5 Ton Inverter"/>
    <n v="11"/>
    <n v="84125"/>
    <n v="12"/>
    <n v="28"/>
    <n v="1042342.4"/>
    <x v="2"/>
    <x v="3"/>
    <d v="2025-06-06T00:00:00"/>
    <d v="2025-06-16T00:00:00"/>
    <n v="10"/>
    <x v="0"/>
  </r>
  <r>
    <s v="2025-01-27"/>
    <s v="SUP009"/>
    <x v="8"/>
    <x v="2"/>
    <s v="43 Smart"/>
    <n v="6"/>
    <n v="41152"/>
    <n v="5"/>
    <n v="18"/>
    <n v="276788.34999999998"/>
    <x v="0"/>
    <x v="1"/>
    <d v="2025-01-31T00:00:00"/>
    <d v="2025-02-10T00:00:00"/>
    <n v="10"/>
    <x v="0"/>
  </r>
  <r>
    <s v="2025-01-01"/>
    <s v="SUP009"/>
    <x v="8"/>
    <x v="0"/>
    <s v="20L"/>
    <n v="27"/>
    <n v="1708"/>
    <n v="10"/>
    <n v="18"/>
    <n v="48975.19"/>
    <x v="0"/>
    <x v="2"/>
    <d v="2025-01-10T00:00:00"/>
    <d v="2025-01-23T00:00:00"/>
    <n v="13"/>
    <x v="0"/>
  </r>
  <r>
    <s v="2025-02-17"/>
    <s v="SUP002"/>
    <x v="2"/>
    <x v="5"/>
    <s v="Front Load"/>
    <n v="38"/>
    <n v="50739"/>
    <n v="5"/>
    <n v="18"/>
    <n v="2161379.92"/>
    <x v="0"/>
    <x v="2"/>
    <d v="2025-02-27T00:00:00"/>
    <d v="2025-03-11T00:00:00"/>
    <n v="12"/>
    <x v="0"/>
  </r>
  <r>
    <s v="2025-06-13"/>
    <s v="SUP005"/>
    <x v="4"/>
    <x v="7"/>
    <s v="500W"/>
    <n v="10"/>
    <n v="16809"/>
    <n v="10"/>
    <n v="28"/>
    <n v="193639.67999999999"/>
    <x v="1"/>
    <x v="0"/>
    <d v="2025-06-17T00:00:00"/>
    <d v="2025-06-28T00:00:00"/>
    <n v="11"/>
    <x v="0"/>
  </r>
  <r>
    <s v="2025-05-02"/>
    <s v="SUP006"/>
    <x v="0"/>
    <x v="7"/>
    <s v="500W"/>
    <n v="17"/>
    <n v="45987"/>
    <n v="5"/>
    <n v="18"/>
    <n v="876374.26"/>
    <x v="3"/>
    <x v="3"/>
    <d v="2025-05-11T00:00:00"/>
    <d v="2025-05-25T00:00:00"/>
    <n v="14"/>
    <x v="0"/>
  </r>
  <r>
    <s v="2025-05-07"/>
    <s v="SUP009"/>
    <x v="8"/>
    <x v="7"/>
    <s v="500W"/>
    <n v="30"/>
    <n v="84766"/>
    <n v="10"/>
    <n v="18"/>
    <n v="2700644.76"/>
    <x v="3"/>
    <x v="1"/>
    <d v="2025-05-15T00:00:00"/>
    <d v="2025-05-27T00:00:00"/>
    <n v="12"/>
    <x v="0"/>
  </r>
  <r>
    <s v="2025-01-09"/>
    <s v="SUP008"/>
    <x v="7"/>
    <x v="2"/>
    <s v="55 4K"/>
    <n v="1"/>
    <n v="58973"/>
    <n v="10"/>
    <n v="12"/>
    <n v="59444.78"/>
    <x v="0"/>
    <x v="0"/>
    <d v="2025-01-17T00:00:00"/>
    <d v="2025-01-17T00:00:00"/>
    <n v="0"/>
    <x v="2"/>
  </r>
  <r>
    <s v="2025-05-28"/>
    <s v="SUP007"/>
    <x v="5"/>
    <x v="4"/>
    <s v="2 Ton"/>
    <n v="38"/>
    <n v="20869"/>
    <n v="0"/>
    <n v="12"/>
    <n v="888184.64"/>
    <x v="3"/>
    <x v="0"/>
    <d v="2025-06-05T00:00:00"/>
    <d v="2025-06-17T00:00:00"/>
    <n v="12"/>
    <x v="0"/>
  </r>
  <r>
    <s v="2025-03-10"/>
    <s v="SUP003"/>
    <x v="3"/>
    <x v="3"/>
    <s v="1200mm"/>
    <n v="40"/>
    <n v="44187"/>
    <n v="0"/>
    <n v="12"/>
    <n v="1979577.6"/>
    <x v="3"/>
    <x v="2"/>
    <d v="2025-03-18T00:00:00"/>
    <d v="2025-03-26T00:00:00"/>
    <n v="8"/>
    <x v="0"/>
  </r>
  <r>
    <s v="2025-05-16"/>
    <s v="SUP007"/>
    <x v="5"/>
    <x v="7"/>
    <s v="750W"/>
    <n v="5"/>
    <n v="61329"/>
    <n v="5"/>
    <n v="28"/>
    <n v="372880.32"/>
    <x v="3"/>
    <x v="2"/>
    <d v="2025-05-26T00:00:00"/>
    <d v="2025-05-26T00:00:00"/>
    <n v="0"/>
    <x v="2"/>
  </r>
  <r>
    <s v="2025-03-03"/>
    <s v="SUP006"/>
    <x v="0"/>
    <x v="2"/>
    <s v="43 Smart"/>
    <n v="5"/>
    <n v="80983"/>
    <n v="0"/>
    <n v="18"/>
    <n v="477799.7"/>
    <x v="0"/>
    <x v="1"/>
    <d v="2025-03-11T00:00:00"/>
    <d v="2025-03-24T00:00:00"/>
    <n v="13"/>
    <x v="0"/>
  </r>
  <r>
    <s v="2025-03-11"/>
    <s v="SUP001"/>
    <x v="6"/>
    <x v="6"/>
    <s v="260L"/>
    <n v="6"/>
    <n v="56947"/>
    <n v="0"/>
    <n v="18"/>
    <n v="403184.76"/>
    <x v="0"/>
    <x v="0"/>
    <d v="2025-03-21T00:00:00"/>
    <d v="2025-03-22T00:00:00"/>
    <n v="1"/>
    <x v="1"/>
  </r>
  <r>
    <s v="2025-01-12"/>
    <s v="SUP002"/>
    <x v="2"/>
    <x v="2"/>
    <s v="32 LED"/>
    <n v="31"/>
    <n v="32675"/>
    <n v="0"/>
    <n v="18"/>
    <n v="1195251.5"/>
    <x v="0"/>
    <x v="3"/>
    <d v="2025-01-15T00:00:00"/>
    <d v="2025-01-24T00:00:00"/>
    <n v="9"/>
    <x v="0"/>
  </r>
  <r>
    <s v="2025-03-27"/>
    <s v="SUP007"/>
    <x v="5"/>
    <x v="5"/>
    <s v="Top Load"/>
    <n v="21"/>
    <n v="22090"/>
    <n v="5"/>
    <n v="12"/>
    <n v="493578.96"/>
    <x v="0"/>
    <x v="2"/>
    <d v="2025-03-30T00:00:00"/>
    <d v="2025-04-02T00:00:00"/>
    <n v="3"/>
    <x v="1"/>
  </r>
  <r>
    <s v="2025-04-14"/>
    <s v="SUP009"/>
    <x v="8"/>
    <x v="4"/>
    <s v="1 Ton Split"/>
    <n v="12"/>
    <n v="50562"/>
    <n v="5"/>
    <n v="28"/>
    <n v="737800.7"/>
    <x v="1"/>
    <x v="3"/>
    <d v="2025-04-22T00:00:00"/>
    <d v="2025-05-05T00:00:00"/>
    <n v="13"/>
    <x v="0"/>
  </r>
  <r>
    <s v="2025-02-09"/>
    <s v="SUP001"/>
    <x v="6"/>
    <x v="1"/>
    <s v="35L"/>
    <n v="21"/>
    <n v="82327"/>
    <n v="12"/>
    <n v="18"/>
    <n v="1795255.49"/>
    <x v="0"/>
    <x v="3"/>
    <d v="2025-02-16T00:00:00"/>
    <d v="2025-02-28T00:00:00"/>
    <n v="12"/>
    <x v="0"/>
  </r>
  <r>
    <s v="2025-03-09"/>
    <s v="SUP009"/>
    <x v="8"/>
    <x v="4"/>
    <s v="2 Ton"/>
    <n v="39"/>
    <n v="69395"/>
    <n v="10"/>
    <n v="12"/>
    <n v="2728056.24"/>
    <x v="1"/>
    <x v="1"/>
    <d v="2025-03-16T00:00:00"/>
    <d v="2025-03-24T00:00:00"/>
    <n v="8"/>
    <x v="0"/>
  </r>
  <r>
    <s v="2025-03-14"/>
    <s v="SUP002"/>
    <x v="2"/>
    <x v="1"/>
    <s v="35L"/>
    <n v="33"/>
    <n v="15660"/>
    <n v="5"/>
    <n v="28"/>
    <n v="628404.47999999998"/>
    <x v="1"/>
    <x v="0"/>
    <d v="2025-03-17T00:00:00"/>
    <d v="2025-03-23T00:00:00"/>
    <n v="6"/>
    <x v="0"/>
  </r>
  <r>
    <s v="2025-06-29"/>
    <s v="SUP008"/>
    <x v="7"/>
    <x v="0"/>
    <s v="28L"/>
    <n v="16"/>
    <n v="25770"/>
    <n v="10"/>
    <n v="12"/>
    <n v="415618.56"/>
    <x v="2"/>
    <x v="2"/>
    <d v="2025-07-05T00:00:00"/>
    <d v="2025-07-06T00:00:00"/>
    <n v="1"/>
    <x v="1"/>
  </r>
  <r>
    <s v="2025-05-20"/>
    <s v="SUP002"/>
    <x v="2"/>
    <x v="5"/>
    <s v="Top Load"/>
    <n v="11"/>
    <n v="74702"/>
    <n v="12"/>
    <n v="12"/>
    <n v="809889.2"/>
    <x v="0"/>
    <x v="0"/>
    <d v="2025-05-24T00:00:00"/>
    <d v="2025-05-31T00:00:00"/>
    <n v="7"/>
    <x v="0"/>
  </r>
  <r>
    <s v="2025-03-16"/>
    <s v="SUP001"/>
    <x v="6"/>
    <x v="4"/>
    <s v="1 Ton Split"/>
    <n v="34"/>
    <n v="30596"/>
    <n v="5"/>
    <n v="28"/>
    <n v="1264961.02"/>
    <x v="2"/>
    <x v="1"/>
    <d v="2025-03-21T00:00:00"/>
    <d v="2025-03-22T00:00:00"/>
    <n v="1"/>
    <x v="1"/>
  </r>
  <r>
    <s v="2025-03-09"/>
    <s v="SUP007"/>
    <x v="5"/>
    <x v="4"/>
    <s v="1 Ton Split"/>
    <n v="25"/>
    <n v="82416"/>
    <n v="5"/>
    <n v="12"/>
    <n v="2192265.6"/>
    <x v="1"/>
    <x v="3"/>
    <d v="2025-03-17T00:00:00"/>
    <d v="2025-03-31T00:00:00"/>
    <n v="14"/>
    <x v="0"/>
  </r>
  <r>
    <s v="2025-04-09"/>
    <s v="SUP001"/>
    <x v="6"/>
    <x v="0"/>
    <s v="20L"/>
    <n v="5"/>
    <n v="46287"/>
    <n v="0"/>
    <n v="12"/>
    <n v="259207.2"/>
    <x v="1"/>
    <x v="3"/>
    <d v="2025-04-13T00:00:00"/>
    <d v="2025-04-14T00:00:00"/>
    <n v="1"/>
    <x v="1"/>
  </r>
  <r>
    <s v="2025-02-12"/>
    <s v="SUP008"/>
    <x v="7"/>
    <x v="2"/>
    <s v="55 4K"/>
    <n v="27"/>
    <n v="60340"/>
    <n v="10"/>
    <n v="12"/>
    <n v="1642213.44"/>
    <x v="0"/>
    <x v="3"/>
    <d v="2025-02-19T00:00:00"/>
    <d v="2025-02-23T00:00:00"/>
    <n v="4"/>
    <x v="0"/>
  </r>
  <r>
    <s v="2025-04-15"/>
    <s v="SUP006"/>
    <x v="0"/>
    <x v="5"/>
    <s v="Front Load"/>
    <n v="25"/>
    <n v="60376"/>
    <n v="10"/>
    <n v="28"/>
    <n v="1738828.8"/>
    <x v="1"/>
    <x v="0"/>
    <d v="2025-04-19T00:00:00"/>
    <d v="2025-05-02T00:00:00"/>
    <n v="13"/>
    <x v="0"/>
  </r>
  <r>
    <s v="2025-06-16"/>
    <s v="SUP007"/>
    <x v="5"/>
    <x v="6"/>
    <s v="190L"/>
    <n v="27"/>
    <n v="50014"/>
    <n v="10"/>
    <n v="12"/>
    <n v="1361181.02"/>
    <x v="1"/>
    <x v="1"/>
    <d v="2025-06-22T00:00:00"/>
    <d v="2025-06-25T00:00:00"/>
    <n v="3"/>
    <x v="1"/>
  </r>
  <r>
    <s v="2025-05-06"/>
    <s v="SUP004"/>
    <x v="1"/>
    <x v="4"/>
    <s v="1 Ton Split"/>
    <n v="39"/>
    <n v="36893"/>
    <n v="12"/>
    <n v="28"/>
    <n v="1620694.73"/>
    <x v="2"/>
    <x v="3"/>
    <d v="2025-05-10T00:00:00"/>
    <d v="2025-05-13T00:00:00"/>
    <n v="3"/>
    <x v="1"/>
  </r>
  <r>
    <s v="2025-04-08"/>
    <s v="SUP001"/>
    <x v="6"/>
    <x v="4"/>
    <s v="1.5 Ton Inverter"/>
    <n v="19"/>
    <n v="80493"/>
    <n v="5"/>
    <n v="28"/>
    <n v="1859710.27"/>
    <x v="3"/>
    <x v="0"/>
    <d v="2025-04-12T00:00:00"/>
    <d v="2025-04-24T00:00:00"/>
    <n v="12"/>
    <x v="0"/>
  </r>
  <r>
    <s v="2025-01-28"/>
    <s v="SUP008"/>
    <x v="7"/>
    <x v="5"/>
    <s v="Front Load"/>
    <n v="35"/>
    <n v="27086"/>
    <n v="0"/>
    <n v="18"/>
    <n v="1118651.8"/>
    <x v="0"/>
    <x v="1"/>
    <d v="2025-01-31T00:00:00"/>
    <d v="2025-02-04T00:00:00"/>
    <n v="4"/>
    <x v="0"/>
  </r>
  <r>
    <s v="2025-04-26"/>
    <s v="SUP004"/>
    <x v="1"/>
    <x v="5"/>
    <s v="Top Load"/>
    <n v="38"/>
    <n v="31356"/>
    <n v="10"/>
    <n v="12"/>
    <n v="1201060.22"/>
    <x v="3"/>
    <x v="1"/>
    <d v="2025-05-06T00:00:00"/>
    <d v="2025-05-06T00:00:00"/>
    <n v="0"/>
    <x v="2"/>
  </r>
  <r>
    <s v="2025-04-30"/>
    <s v="SUP003"/>
    <x v="3"/>
    <x v="5"/>
    <s v="Front Load"/>
    <n v="12"/>
    <n v="2733"/>
    <n v="12"/>
    <n v="12"/>
    <n v="32323.74"/>
    <x v="1"/>
    <x v="3"/>
    <d v="2025-05-07T00:00:00"/>
    <d v="2025-05-20T00:00:00"/>
    <n v="13"/>
    <x v="0"/>
  </r>
  <r>
    <s v="2025-06-30"/>
    <s v="SUP008"/>
    <x v="7"/>
    <x v="7"/>
    <s v="750W"/>
    <n v="1"/>
    <n v="26003"/>
    <n v="5"/>
    <n v="12"/>
    <n v="27667.19"/>
    <x v="0"/>
    <x v="3"/>
    <d v="2025-07-08T00:00:00"/>
    <d v="2025-07-22T00:00:00"/>
    <n v="14"/>
    <x v="0"/>
  </r>
  <r>
    <s v="2025-02-08"/>
    <s v="SUP008"/>
    <x v="7"/>
    <x v="5"/>
    <s v="Top Load"/>
    <n v="34"/>
    <n v="22708"/>
    <n v="0"/>
    <n v="18"/>
    <n v="911044.96"/>
    <x v="0"/>
    <x v="0"/>
    <d v="2025-02-14T00:00:00"/>
    <d v="2025-02-15T00:00:00"/>
    <n v="1"/>
    <x v="1"/>
  </r>
  <r>
    <s v="2025-05-30"/>
    <s v="SUP004"/>
    <x v="1"/>
    <x v="3"/>
    <s v="1200mm"/>
    <n v="7"/>
    <n v="83318"/>
    <n v="5"/>
    <n v="18"/>
    <n v="653796.35"/>
    <x v="2"/>
    <x v="1"/>
    <d v="2025-06-08T00:00:00"/>
    <d v="2025-06-17T00:00:00"/>
    <n v="9"/>
    <x v="0"/>
  </r>
  <r>
    <s v="2025-03-04"/>
    <s v="SUP007"/>
    <x v="5"/>
    <x v="6"/>
    <s v="190L"/>
    <n v="40"/>
    <n v="15333"/>
    <n v="0"/>
    <n v="18"/>
    <n v="723717.6"/>
    <x v="0"/>
    <x v="3"/>
    <d v="2025-03-09T00:00:00"/>
    <d v="2025-03-17T00:00:00"/>
    <n v="8"/>
    <x v="0"/>
  </r>
  <r>
    <s v="2025-05-05"/>
    <s v="SUP002"/>
    <x v="2"/>
    <x v="4"/>
    <s v="2 Ton"/>
    <n v="8"/>
    <n v="12635"/>
    <n v="10"/>
    <n v="12"/>
    <n v="101888.64"/>
    <x v="0"/>
    <x v="2"/>
    <d v="2025-05-10T00:00:00"/>
    <d v="2025-05-22T00:00:00"/>
    <n v="12"/>
    <x v="0"/>
  </r>
  <r>
    <s v="2025-02-21"/>
    <s v="SUP006"/>
    <x v="0"/>
    <x v="5"/>
    <s v="Top Load"/>
    <n v="38"/>
    <n v="46552"/>
    <n v="12"/>
    <n v="18"/>
    <n v="1836904.68"/>
    <x v="1"/>
    <x v="1"/>
    <d v="2025-02-24T00:00:00"/>
    <d v="2025-02-26T00:00:00"/>
    <n v="2"/>
    <x v="1"/>
  </r>
  <r>
    <s v="2025-05-15"/>
    <s v="SUP008"/>
    <x v="7"/>
    <x v="2"/>
    <s v="43 Smart"/>
    <n v="29"/>
    <n v="8882"/>
    <n v="10"/>
    <n v="18"/>
    <n v="273547.84000000003"/>
    <x v="2"/>
    <x v="2"/>
    <d v="2025-05-25T00:00:00"/>
    <d v="2025-06-07T00:00:00"/>
    <n v="13"/>
    <x v="0"/>
  </r>
  <r>
    <s v="2025-03-04"/>
    <s v="SUP009"/>
    <x v="8"/>
    <x v="7"/>
    <s v="500W"/>
    <n v="17"/>
    <n v="25577"/>
    <n v="0"/>
    <n v="12"/>
    <n v="486986.08"/>
    <x v="1"/>
    <x v="2"/>
    <d v="2025-03-14T00:00:00"/>
    <d v="2025-03-28T00:00:00"/>
    <n v="14"/>
    <x v="0"/>
  </r>
  <r>
    <s v="2025-06-11"/>
    <s v="SUP003"/>
    <x v="3"/>
    <x v="7"/>
    <s v="750W"/>
    <n v="22"/>
    <n v="43628"/>
    <n v="10"/>
    <n v="12"/>
    <n v="967494.53"/>
    <x v="2"/>
    <x v="0"/>
    <d v="2025-06-16T00:00:00"/>
    <d v="2025-06-16T00:00:00"/>
    <n v="0"/>
    <x v="2"/>
  </r>
  <r>
    <s v="2025-02-01"/>
    <s v="SUP007"/>
    <x v="5"/>
    <x v="0"/>
    <s v="20L"/>
    <n v="26"/>
    <n v="2680"/>
    <n v="10"/>
    <n v="12"/>
    <n v="70237.440000000002"/>
    <x v="1"/>
    <x v="1"/>
    <d v="2025-02-08T00:00:00"/>
    <d v="2025-02-11T00:00:00"/>
    <n v="3"/>
    <x v="1"/>
  </r>
  <r>
    <s v="2025-02-15"/>
    <s v="SUP006"/>
    <x v="0"/>
    <x v="1"/>
    <s v="35L"/>
    <n v="22"/>
    <n v="30947"/>
    <n v="10"/>
    <n v="12"/>
    <n v="686280.67"/>
    <x v="0"/>
    <x v="1"/>
    <d v="2025-02-20T00:00:00"/>
    <d v="2025-03-05T00:00:00"/>
    <n v="13"/>
    <x v="0"/>
  </r>
  <r>
    <s v="2025-03-07"/>
    <s v="SUP008"/>
    <x v="7"/>
    <x v="7"/>
    <s v="750W"/>
    <n v="23"/>
    <n v="14789"/>
    <n v="5"/>
    <n v="18"/>
    <n v="381304.79"/>
    <x v="2"/>
    <x v="3"/>
    <d v="2025-03-13T00:00:00"/>
    <d v="2025-03-21T00:00:00"/>
    <n v="8"/>
    <x v="0"/>
  </r>
  <r>
    <s v="2025-06-07"/>
    <s v="SUP003"/>
    <x v="3"/>
    <x v="0"/>
    <s v="20L"/>
    <n v="23"/>
    <n v="27937"/>
    <n v="0"/>
    <n v="28"/>
    <n v="822465.28"/>
    <x v="0"/>
    <x v="1"/>
    <d v="2025-06-17T00:00:00"/>
    <d v="2025-06-21T00:00:00"/>
    <n v="4"/>
    <x v="0"/>
  </r>
  <r>
    <s v="2025-02-26"/>
    <s v="SUP006"/>
    <x v="0"/>
    <x v="0"/>
    <s v="20L"/>
    <n v="38"/>
    <n v="26410"/>
    <n v="5"/>
    <n v="18"/>
    <n v="1125013.18"/>
    <x v="3"/>
    <x v="3"/>
    <d v="2025-03-04T00:00:00"/>
    <d v="2025-03-14T00:00:00"/>
    <n v="10"/>
    <x v="0"/>
  </r>
  <r>
    <s v="2025-01-04"/>
    <s v="SUP006"/>
    <x v="0"/>
    <x v="4"/>
    <s v="1 Ton Split"/>
    <n v="1"/>
    <n v="38956"/>
    <n v="10"/>
    <n v="18"/>
    <n v="41371.269999999997"/>
    <x v="0"/>
    <x v="2"/>
    <d v="2025-01-09T00:00:00"/>
    <d v="2025-01-18T00:00:00"/>
    <n v="9"/>
    <x v="0"/>
  </r>
  <r>
    <s v="2025-04-24"/>
    <s v="SUP007"/>
    <x v="5"/>
    <x v="2"/>
    <s v="43 Smart"/>
    <n v="7"/>
    <n v="46455"/>
    <n v="12"/>
    <n v="12"/>
    <n v="320502.34000000003"/>
    <x v="3"/>
    <x v="3"/>
    <d v="2025-04-27T00:00:00"/>
    <d v="2025-04-30T00:00:00"/>
    <n v="3"/>
    <x v="1"/>
  </r>
  <r>
    <s v="2025-04-20"/>
    <s v="SUP007"/>
    <x v="5"/>
    <x v="2"/>
    <s v="55 4K"/>
    <n v="32"/>
    <n v="73555"/>
    <n v="12"/>
    <n v="18"/>
    <n v="2444144.38"/>
    <x v="0"/>
    <x v="2"/>
    <d v="2025-04-26T00:00:00"/>
    <d v="2025-05-10T00:00:00"/>
    <n v="14"/>
    <x v="0"/>
  </r>
  <r>
    <s v="2025-02-22"/>
    <s v="SUP008"/>
    <x v="7"/>
    <x v="2"/>
    <s v="32 LED"/>
    <n v="36"/>
    <n v="4099"/>
    <n v="0"/>
    <n v="28"/>
    <n v="188881.92000000001"/>
    <x v="2"/>
    <x v="1"/>
    <d v="2025-03-03T00:00:00"/>
    <d v="2025-03-05T00:00:00"/>
    <n v="2"/>
    <x v="1"/>
  </r>
  <r>
    <s v="2025-05-11"/>
    <s v="SUP002"/>
    <x v="2"/>
    <x v="6"/>
    <s v="260L"/>
    <n v="3"/>
    <n v="37635"/>
    <n v="5"/>
    <n v="12"/>
    <n v="120130.92"/>
    <x v="0"/>
    <x v="0"/>
    <d v="2025-05-19T00:00:00"/>
    <d v="2025-05-31T00:00:00"/>
    <n v="12"/>
    <x v="0"/>
  </r>
  <r>
    <s v="2025-01-03"/>
    <s v="SUP003"/>
    <x v="3"/>
    <x v="2"/>
    <s v="43 Smart"/>
    <n v="23"/>
    <n v="77687"/>
    <n v="12"/>
    <n v="12"/>
    <n v="1761071.07"/>
    <x v="2"/>
    <x v="3"/>
    <d v="2025-01-07T00:00:00"/>
    <d v="2025-01-07T00:00:00"/>
    <n v="0"/>
    <x v="2"/>
  </r>
  <r>
    <s v="2025-02-15"/>
    <s v="SUP002"/>
    <x v="2"/>
    <x v="2"/>
    <s v="55 4K"/>
    <n v="25"/>
    <n v="46765"/>
    <n v="0"/>
    <n v="28"/>
    <n v="1496480"/>
    <x v="1"/>
    <x v="3"/>
    <d v="2025-02-23T00:00:00"/>
    <d v="2025-02-25T00:00:00"/>
    <n v="2"/>
    <x v="1"/>
  </r>
  <r>
    <s v="2025-02-18"/>
    <s v="SUP006"/>
    <x v="0"/>
    <x v="2"/>
    <s v="55 4K"/>
    <n v="28"/>
    <n v="80055"/>
    <n v="0"/>
    <n v="28"/>
    <n v="2869171.2"/>
    <x v="0"/>
    <x v="3"/>
    <d v="2025-02-25T00:00:00"/>
    <d v="2025-03-04T00:00:00"/>
    <n v="7"/>
    <x v="0"/>
  </r>
  <r>
    <s v="2025-05-06"/>
    <s v="SUP008"/>
    <x v="7"/>
    <x v="5"/>
    <s v="Front Load"/>
    <n v="27"/>
    <n v="72521"/>
    <n v="0"/>
    <n v="18"/>
    <n v="2310519.06"/>
    <x v="1"/>
    <x v="3"/>
    <d v="2025-05-12T00:00:00"/>
    <d v="2025-05-22T00:00:00"/>
    <n v="10"/>
    <x v="0"/>
  </r>
  <r>
    <s v="2025-02-03"/>
    <s v="SUP008"/>
    <x v="7"/>
    <x v="2"/>
    <s v="32 LED"/>
    <n v="21"/>
    <n v="42397"/>
    <n v="12"/>
    <n v="12"/>
    <n v="877516.15"/>
    <x v="3"/>
    <x v="0"/>
    <d v="2025-02-10T00:00:00"/>
    <d v="2025-02-12T00:00:00"/>
    <n v="2"/>
    <x v="1"/>
  </r>
  <r>
    <s v="2025-02-24"/>
    <s v="SUP002"/>
    <x v="2"/>
    <x v="5"/>
    <s v="Top Load"/>
    <n v="34"/>
    <n v="2657"/>
    <n v="12"/>
    <n v="18"/>
    <n v="93806.98"/>
    <x v="1"/>
    <x v="3"/>
    <d v="2025-03-03T00:00:00"/>
    <d v="2025-03-06T00:00:00"/>
    <n v="3"/>
    <x v="1"/>
  </r>
  <r>
    <s v="2025-06-05"/>
    <s v="SUP006"/>
    <x v="0"/>
    <x v="1"/>
    <s v="35L"/>
    <n v="6"/>
    <n v="19994"/>
    <n v="5"/>
    <n v="12"/>
    <n v="127641.7"/>
    <x v="3"/>
    <x v="1"/>
    <d v="2025-06-09T00:00:00"/>
    <d v="2025-06-16T00:00:00"/>
    <n v="7"/>
    <x v="0"/>
  </r>
  <r>
    <s v="2025-03-05"/>
    <s v="SUP008"/>
    <x v="7"/>
    <x v="4"/>
    <s v="1 Ton Split"/>
    <n v="31"/>
    <n v="37433"/>
    <n v="10"/>
    <n v="18"/>
    <n v="1232369.23"/>
    <x v="0"/>
    <x v="3"/>
    <d v="2025-03-15T00:00:00"/>
    <d v="2025-03-26T00:00:00"/>
    <n v="11"/>
    <x v="0"/>
  </r>
  <r>
    <s v="2025-06-16"/>
    <s v="SUP008"/>
    <x v="7"/>
    <x v="0"/>
    <s v="20L"/>
    <n v="14"/>
    <n v="16789"/>
    <n v="10"/>
    <n v="12"/>
    <n v="236926.37"/>
    <x v="3"/>
    <x v="2"/>
    <d v="2025-06-21T00:00:00"/>
    <d v="2025-06-26T00:00:00"/>
    <n v="5"/>
    <x v="0"/>
  </r>
  <r>
    <s v="2025-06-27"/>
    <s v="SUP009"/>
    <x v="8"/>
    <x v="0"/>
    <s v="20L"/>
    <n v="32"/>
    <n v="46972"/>
    <n v="12"/>
    <n v="28"/>
    <n v="1693096.35"/>
    <x v="3"/>
    <x v="2"/>
    <d v="2025-07-02T00:00:00"/>
    <d v="2025-07-08T00:00:00"/>
    <n v="6"/>
    <x v="0"/>
  </r>
  <r>
    <s v="2025-04-29"/>
    <s v="SUP001"/>
    <x v="6"/>
    <x v="4"/>
    <s v="1 Ton Split"/>
    <n v="27"/>
    <n v="54604"/>
    <n v="10"/>
    <n v="18"/>
    <n v="1565715.1"/>
    <x v="0"/>
    <x v="0"/>
    <d v="2025-05-06T00:00:00"/>
    <d v="2025-05-09T00:00:00"/>
    <n v="3"/>
    <x v="1"/>
  </r>
  <r>
    <s v="2025-03-20"/>
    <s v="SUP001"/>
    <x v="6"/>
    <x v="1"/>
    <s v="35L"/>
    <n v="3"/>
    <n v="11696"/>
    <n v="5"/>
    <n v="12"/>
    <n v="37333.629999999997"/>
    <x v="3"/>
    <x v="2"/>
    <d v="2025-03-29T00:00:00"/>
    <d v="2025-04-06T00:00:00"/>
    <n v="8"/>
    <x v="0"/>
  </r>
  <r>
    <s v="2025-01-25"/>
    <s v="SUP002"/>
    <x v="2"/>
    <x v="2"/>
    <s v="43 Smart"/>
    <n v="11"/>
    <n v="31282"/>
    <n v="0"/>
    <n v="12"/>
    <n v="385394.24"/>
    <x v="3"/>
    <x v="0"/>
    <d v="2025-02-04T00:00:00"/>
    <d v="2025-02-15T00:00:00"/>
    <n v="11"/>
    <x v="0"/>
  </r>
  <r>
    <s v="2025-06-25"/>
    <s v="SUP005"/>
    <x v="4"/>
    <x v="0"/>
    <s v="20L"/>
    <n v="25"/>
    <n v="7938"/>
    <n v="0"/>
    <n v="28"/>
    <n v="254016"/>
    <x v="2"/>
    <x v="0"/>
    <d v="2025-07-01T00:00:00"/>
    <d v="2025-07-07T00:00:00"/>
    <n v="6"/>
    <x v="0"/>
  </r>
  <r>
    <s v="2025-06-21"/>
    <s v="SUP002"/>
    <x v="2"/>
    <x v="2"/>
    <s v="43 Smart"/>
    <n v="16"/>
    <n v="14012"/>
    <n v="10"/>
    <n v="12"/>
    <n v="225985.54"/>
    <x v="1"/>
    <x v="3"/>
    <d v="2025-06-26T00:00:00"/>
    <d v="2025-07-07T00:00:00"/>
    <n v="11"/>
    <x v="0"/>
  </r>
  <r>
    <s v="2025-06-18"/>
    <s v="SUP006"/>
    <x v="0"/>
    <x v="6"/>
    <s v="190L"/>
    <n v="10"/>
    <n v="84039"/>
    <n v="12"/>
    <n v="18"/>
    <n v="872660.98"/>
    <x v="2"/>
    <x v="2"/>
    <d v="2025-06-28T00:00:00"/>
    <d v="2025-06-30T00:00:00"/>
    <n v="2"/>
    <x v="1"/>
  </r>
  <r>
    <s v="2025-03-20"/>
    <s v="SUP002"/>
    <x v="2"/>
    <x v="2"/>
    <s v="55 4K"/>
    <n v="36"/>
    <n v="42733"/>
    <n v="5"/>
    <n v="28"/>
    <n v="1870679.81"/>
    <x v="3"/>
    <x v="3"/>
    <d v="2025-03-25T00:00:00"/>
    <d v="2025-04-03T00:00:00"/>
    <n v="9"/>
    <x v="0"/>
  </r>
  <r>
    <s v="2025-06-08"/>
    <s v="SUP009"/>
    <x v="8"/>
    <x v="3"/>
    <s v="1200mm"/>
    <n v="34"/>
    <n v="80091"/>
    <n v="5"/>
    <n v="18"/>
    <n v="3052588.37"/>
    <x v="1"/>
    <x v="1"/>
    <d v="2025-06-11T00:00:00"/>
    <d v="2025-06-22T00:00:00"/>
    <n v="11"/>
    <x v="0"/>
  </r>
  <r>
    <s v="2025-05-22"/>
    <s v="SUP004"/>
    <x v="1"/>
    <x v="6"/>
    <s v="260L"/>
    <n v="12"/>
    <n v="78068"/>
    <n v="0"/>
    <n v="18"/>
    <n v="1105442.8799999999"/>
    <x v="3"/>
    <x v="0"/>
    <d v="2025-05-28T00:00:00"/>
    <d v="2025-06-05T00:00:00"/>
    <n v="8"/>
    <x v="0"/>
  </r>
  <r>
    <s v="2025-01-01"/>
    <s v="SUP001"/>
    <x v="6"/>
    <x v="1"/>
    <s v="35L"/>
    <n v="12"/>
    <n v="75532"/>
    <n v="12"/>
    <n v="18"/>
    <n v="941189.15"/>
    <x v="0"/>
    <x v="2"/>
    <d v="2025-01-11T00:00:00"/>
    <d v="2025-01-12T00:00:00"/>
    <n v="1"/>
    <x v="1"/>
  </r>
  <r>
    <s v="2025-03-09"/>
    <s v="SUP008"/>
    <x v="7"/>
    <x v="0"/>
    <s v="20L"/>
    <n v="2"/>
    <n v="32646"/>
    <n v="5"/>
    <n v="28"/>
    <n v="79395.070000000007"/>
    <x v="0"/>
    <x v="1"/>
    <d v="2025-03-16T00:00:00"/>
    <d v="2025-03-20T00:00:00"/>
    <n v="4"/>
    <x v="0"/>
  </r>
  <r>
    <s v="2025-03-03"/>
    <s v="SUP003"/>
    <x v="3"/>
    <x v="0"/>
    <s v="20L"/>
    <n v="13"/>
    <n v="11233"/>
    <n v="0"/>
    <n v="18"/>
    <n v="172314.22"/>
    <x v="2"/>
    <x v="0"/>
    <d v="2025-03-10T00:00:00"/>
    <d v="2025-03-24T00:00:00"/>
    <n v="14"/>
    <x v="0"/>
  </r>
  <r>
    <s v="2025-04-21"/>
    <s v="SUP001"/>
    <x v="6"/>
    <x v="3"/>
    <s v="1200mm"/>
    <n v="9"/>
    <n v="80312"/>
    <n v="12"/>
    <n v="18"/>
    <n v="750563.83"/>
    <x v="2"/>
    <x v="3"/>
    <d v="2025-04-30T00:00:00"/>
    <d v="2025-05-03T00:00:00"/>
    <n v="3"/>
    <x v="1"/>
  </r>
  <r>
    <s v="2025-01-18"/>
    <s v="SUP003"/>
    <x v="3"/>
    <x v="3"/>
    <s v="1200mm"/>
    <n v="13"/>
    <n v="71212"/>
    <n v="10"/>
    <n v="28"/>
    <n v="1066470.9099999999"/>
    <x v="2"/>
    <x v="1"/>
    <d v="2025-01-24T00:00:00"/>
    <d v="2025-02-02T00:00:00"/>
    <n v="9"/>
    <x v="0"/>
  </r>
  <r>
    <s v="2025-02-18"/>
    <s v="SUP001"/>
    <x v="6"/>
    <x v="4"/>
    <s v="1 Ton Split"/>
    <n v="22"/>
    <n v="2352"/>
    <n v="0"/>
    <n v="18"/>
    <n v="61057.919999999998"/>
    <x v="0"/>
    <x v="2"/>
    <d v="2025-02-22T00:00:00"/>
    <d v="2025-03-02T00:00:00"/>
    <n v="8"/>
    <x v="0"/>
  </r>
  <r>
    <s v="2025-06-09"/>
    <s v="SUP001"/>
    <x v="6"/>
    <x v="4"/>
    <s v="2 Ton"/>
    <n v="35"/>
    <n v="35368"/>
    <n v="0"/>
    <n v="12"/>
    <n v="1386425.6"/>
    <x v="0"/>
    <x v="3"/>
    <d v="2025-06-18T00:00:00"/>
    <d v="2025-06-20T00:00:00"/>
    <n v="2"/>
    <x v="1"/>
  </r>
  <r>
    <s v="2025-04-22"/>
    <s v="SUP005"/>
    <x v="4"/>
    <x v="4"/>
    <s v="1 Ton Split"/>
    <n v="40"/>
    <n v="77289"/>
    <n v="10"/>
    <n v="18"/>
    <n v="3283236.72"/>
    <x v="1"/>
    <x v="3"/>
    <d v="2025-05-02T00:00:00"/>
    <d v="2025-05-12T00:00:00"/>
    <n v="10"/>
    <x v="0"/>
  </r>
  <r>
    <s v="2025-03-29"/>
    <s v="SUP001"/>
    <x v="6"/>
    <x v="4"/>
    <s v="2 Ton"/>
    <n v="30"/>
    <n v="4476"/>
    <n v="12"/>
    <n v="18"/>
    <n v="139436.35"/>
    <x v="0"/>
    <x v="3"/>
    <d v="2025-04-05T00:00:00"/>
    <d v="2025-04-14T00:00:00"/>
    <n v="9"/>
    <x v="0"/>
  </r>
  <r>
    <s v="2025-06-13"/>
    <s v="SUP006"/>
    <x v="0"/>
    <x v="3"/>
    <s v="1200mm"/>
    <n v="27"/>
    <n v="36586"/>
    <n v="10"/>
    <n v="12"/>
    <n v="995724.58"/>
    <x v="1"/>
    <x v="2"/>
    <d v="2025-06-18T00:00:00"/>
    <d v="2025-06-19T00:00:00"/>
    <n v="1"/>
    <x v="1"/>
  </r>
  <r>
    <s v="2025-04-04"/>
    <s v="SUP002"/>
    <x v="2"/>
    <x v="6"/>
    <s v="260L"/>
    <n v="13"/>
    <n v="47235"/>
    <n v="5"/>
    <n v="18"/>
    <n v="688355.65"/>
    <x v="1"/>
    <x v="3"/>
    <d v="2025-04-08T00:00:00"/>
    <d v="2025-04-17T00:00:00"/>
    <n v="9"/>
    <x v="0"/>
  </r>
  <r>
    <s v="2025-05-03"/>
    <s v="SUP004"/>
    <x v="1"/>
    <x v="6"/>
    <s v="190L"/>
    <n v="31"/>
    <n v="15590"/>
    <n v="5"/>
    <n v="18"/>
    <n v="541768.09"/>
    <x v="2"/>
    <x v="2"/>
    <d v="2025-05-12T00:00:00"/>
    <d v="2025-05-14T00:00:00"/>
    <n v="2"/>
    <x v="1"/>
  </r>
  <r>
    <s v="2025-01-03"/>
    <s v="SUP009"/>
    <x v="8"/>
    <x v="2"/>
    <s v="43 Smart"/>
    <n v="22"/>
    <n v="70251"/>
    <n v="0"/>
    <n v="28"/>
    <n v="1978268.16"/>
    <x v="2"/>
    <x v="1"/>
    <d v="2025-01-09T00:00:00"/>
    <d v="2025-01-15T00:00:00"/>
    <n v="6"/>
    <x v="0"/>
  </r>
  <r>
    <s v="2025-05-25"/>
    <s v="SUP002"/>
    <x v="2"/>
    <x v="7"/>
    <s v="750W"/>
    <n v="4"/>
    <n v="66888"/>
    <n v="5"/>
    <n v="28"/>
    <n v="325343.23"/>
    <x v="0"/>
    <x v="0"/>
    <d v="2025-05-28T00:00:00"/>
    <d v="2025-05-28T00:00:00"/>
    <n v="0"/>
    <x v="2"/>
  </r>
  <r>
    <s v="2025-04-28"/>
    <s v="SUP008"/>
    <x v="7"/>
    <x v="0"/>
    <s v="28L"/>
    <n v="38"/>
    <n v="2936"/>
    <n v="5"/>
    <n v="28"/>
    <n v="135666.69"/>
    <x v="1"/>
    <x v="1"/>
    <d v="2025-05-06T00:00:00"/>
    <d v="2025-05-12T00:00:00"/>
    <n v="6"/>
    <x v="0"/>
  </r>
  <r>
    <s v="2025-06-15"/>
    <s v="SUP005"/>
    <x v="4"/>
    <x v="4"/>
    <s v="2 Ton"/>
    <n v="38"/>
    <n v="33003"/>
    <n v="0"/>
    <n v="12"/>
    <n v="1404607.68"/>
    <x v="0"/>
    <x v="3"/>
    <d v="2025-06-18T00:00:00"/>
    <d v="2025-06-28T00:00:00"/>
    <n v="10"/>
    <x v="0"/>
  </r>
  <r>
    <s v="2025-03-17"/>
    <s v="SUP006"/>
    <x v="0"/>
    <x v="1"/>
    <s v="35L"/>
    <n v="17"/>
    <n v="24253"/>
    <n v="5"/>
    <n v="28"/>
    <n v="501358.02"/>
    <x v="0"/>
    <x v="3"/>
    <d v="2025-03-21T00:00:00"/>
    <d v="2025-03-29T00:00:00"/>
    <n v="8"/>
    <x v="0"/>
  </r>
  <r>
    <s v="2025-05-09"/>
    <s v="SUP003"/>
    <x v="3"/>
    <x v="4"/>
    <s v="1 Ton Split"/>
    <n v="20"/>
    <n v="16264"/>
    <n v="12"/>
    <n v="28"/>
    <n v="366395.39"/>
    <x v="3"/>
    <x v="2"/>
    <d v="2025-05-19T00:00:00"/>
    <d v="2025-06-01T00:00:00"/>
    <n v="13"/>
    <x v="0"/>
  </r>
  <r>
    <s v="2025-04-02"/>
    <s v="SUP008"/>
    <x v="7"/>
    <x v="7"/>
    <s v="750W"/>
    <n v="3"/>
    <n v="41164"/>
    <n v="10"/>
    <n v="12"/>
    <n v="124479.94"/>
    <x v="0"/>
    <x v="3"/>
    <d v="2025-04-10T00:00:00"/>
    <d v="2025-04-17T00:00:00"/>
    <n v="7"/>
    <x v="0"/>
  </r>
  <r>
    <s v="2025-06-14"/>
    <s v="SUP008"/>
    <x v="7"/>
    <x v="7"/>
    <s v="750W"/>
    <n v="40"/>
    <n v="18709"/>
    <n v="5"/>
    <n v="28"/>
    <n v="910005.76000000001"/>
    <x v="3"/>
    <x v="1"/>
    <d v="2025-06-17T00:00:00"/>
    <d v="2025-06-28T00:00:00"/>
    <n v="11"/>
    <x v="0"/>
  </r>
  <r>
    <s v="2025-01-24"/>
    <s v="SUP004"/>
    <x v="1"/>
    <x v="1"/>
    <s v="35L"/>
    <n v="4"/>
    <n v="77871"/>
    <n v="5"/>
    <n v="28"/>
    <n v="378764.54"/>
    <x v="2"/>
    <x v="0"/>
    <d v="2025-02-03T00:00:00"/>
    <d v="2025-02-18T00:00:00"/>
    <n v="15"/>
    <x v="0"/>
  </r>
  <r>
    <s v="2025-06-17"/>
    <s v="SUP009"/>
    <x v="8"/>
    <x v="3"/>
    <s v="1200mm"/>
    <n v="35"/>
    <n v="66164"/>
    <n v="5"/>
    <n v="12"/>
    <n v="2463947.36"/>
    <x v="1"/>
    <x v="2"/>
    <d v="2025-06-26T00:00:00"/>
    <d v="2025-06-27T00:00:00"/>
    <n v="1"/>
    <x v="1"/>
  </r>
  <r>
    <s v="2025-03-15"/>
    <s v="SUP002"/>
    <x v="2"/>
    <x v="4"/>
    <s v="2 Ton"/>
    <n v="27"/>
    <n v="77602"/>
    <n v="0"/>
    <n v="18"/>
    <n v="2472399.7200000002"/>
    <x v="3"/>
    <x v="0"/>
    <d v="2025-03-23T00:00:00"/>
    <d v="2025-04-03T00:00:00"/>
    <n v="11"/>
    <x v="0"/>
  </r>
  <r>
    <s v="2025-03-06"/>
    <s v="SUP005"/>
    <x v="4"/>
    <x v="6"/>
    <s v="260L"/>
    <n v="33"/>
    <n v="77290"/>
    <n v="5"/>
    <n v="28"/>
    <n v="3101493.12"/>
    <x v="1"/>
    <x v="1"/>
    <d v="2025-03-12T00:00:00"/>
    <d v="2025-03-20T00:00:00"/>
    <n v="8"/>
    <x v="0"/>
  </r>
  <r>
    <s v="2025-02-02"/>
    <s v="SUP003"/>
    <x v="3"/>
    <x v="2"/>
    <s v="43 Smart"/>
    <n v="32"/>
    <n v="4962"/>
    <n v="5"/>
    <n v="28"/>
    <n v="193081.34"/>
    <x v="3"/>
    <x v="1"/>
    <d v="2025-02-10T00:00:00"/>
    <d v="2025-02-22T00:00:00"/>
    <n v="12"/>
    <x v="0"/>
  </r>
  <r>
    <s v="2025-03-18"/>
    <s v="SUP009"/>
    <x v="8"/>
    <x v="4"/>
    <s v="1.5 Ton Inverter"/>
    <n v="15"/>
    <n v="13953"/>
    <n v="12"/>
    <n v="18"/>
    <n v="217331.93"/>
    <x v="1"/>
    <x v="2"/>
    <d v="2025-03-22T00:00:00"/>
    <d v="2025-03-22T00:00:00"/>
    <n v="0"/>
    <x v="2"/>
  </r>
  <r>
    <s v="2025-02-14"/>
    <s v="SUP003"/>
    <x v="3"/>
    <x v="4"/>
    <s v="1.5 Ton Inverter"/>
    <n v="24"/>
    <n v="65701"/>
    <n v="12"/>
    <n v="12"/>
    <n v="1554117.73"/>
    <x v="1"/>
    <x v="1"/>
    <d v="2025-02-23T00:00:00"/>
    <d v="2025-03-09T00:00:00"/>
    <n v="14"/>
    <x v="0"/>
  </r>
  <r>
    <s v="2025-05-06"/>
    <s v="SUP006"/>
    <x v="0"/>
    <x v="7"/>
    <s v="500W"/>
    <n v="16"/>
    <n v="43447"/>
    <n v="5"/>
    <n v="28"/>
    <n v="845304.83"/>
    <x v="1"/>
    <x v="3"/>
    <d v="2025-05-09T00:00:00"/>
    <d v="2025-05-10T00:00:00"/>
    <n v="1"/>
    <x v="1"/>
  </r>
  <r>
    <s v="2025-01-01"/>
    <s v="SUP007"/>
    <x v="5"/>
    <x v="4"/>
    <s v="1 Ton Split"/>
    <n v="19"/>
    <n v="4020"/>
    <n v="12"/>
    <n v="12"/>
    <n v="75280.13"/>
    <x v="0"/>
    <x v="1"/>
    <d v="2025-01-11T00:00:00"/>
    <d v="2025-01-15T00:00:00"/>
    <n v="4"/>
    <x v="0"/>
  </r>
  <r>
    <s v="2025-03-11"/>
    <s v="SUP006"/>
    <x v="0"/>
    <x v="0"/>
    <s v="28L"/>
    <n v="2"/>
    <n v="11817"/>
    <n v="10"/>
    <n v="18"/>
    <n v="25099.31"/>
    <x v="1"/>
    <x v="3"/>
    <d v="2025-03-21T00:00:00"/>
    <d v="2025-04-02T00:00:00"/>
    <n v="12"/>
    <x v="0"/>
  </r>
  <r>
    <s v="2025-06-21"/>
    <s v="SUP001"/>
    <x v="6"/>
    <x v="6"/>
    <s v="190L"/>
    <n v="11"/>
    <n v="17199"/>
    <n v="10"/>
    <n v="28"/>
    <n v="217945.73"/>
    <x v="3"/>
    <x v="3"/>
    <d v="2025-06-25T00:00:00"/>
    <d v="2025-07-06T00:00:00"/>
    <n v="11"/>
    <x v="0"/>
  </r>
  <r>
    <s v="2025-05-10"/>
    <s v="SUP009"/>
    <x v="8"/>
    <x v="4"/>
    <s v="1.5 Ton Inverter"/>
    <n v="39"/>
    <n v="20813"/>
    <n v="0"/>
    <n v="28"/>
    <n v="1038984.96"/>
    <x v="2"/>
    <x v="0"/>
    <d v="2025-05-14T00:00:00"/>
    <d v="2025-05-22T00:00:00"/>
    <n v="8"/>
    <x v="0"/>
  </r>
  <r>
    <s v="2025-05-31"/>
    <s v="SUP004"/>
    <x v="1"/>
    <x v="6"/>
    <s v="260L"/>
    <n v="5"/>
    <n v="3971"/>
    <n v="5"/>
    <n v="12"/>
    <n v="21125.72"/>
    <x v="2"/>
    <x v="2"/>
    <d v="2025-06-04T00:00:00"/>
    <d v="2025-06-11T00:00:00"/>
    <n v="7"/>
    <x v="0"/>
  </r>
  <r>
    <s v="2025-05-05"/>
    <s v="SUP008"/>
    <x v="7"/>
    <x v="2"/>
    <s v="43 Smart"/>
    <n v="23"/>
    <n v="38409"/>
    <n v="12"/>
    <n v="12"/>
    <n v="870685.94"/>
    <x v="1"/>
    <x v="0"/>
    <d v="2025-05-14T00:00:00"/>
    <d v="2025-05-21T00:00:00"/>
    <n v="7"/>
    <x v="0"/>
  </r>
  <r>
    <s v="2025-04-09"/>
    <s v="SUP006"/>
    <x v="0"/>
    <x v="7"/>
    <s v="750W"/>
    <n v="38"/>
    <n v="44845"/>
    <n v="10"/>
    <n v="18"/>
    <n v="1809764.82"/>
    <x v="2"/>
    <x v="3"/>
    <d v="2025-04-15T00:00:00"/>
    <d v="2025-04-23T00:00:00"/>
    <n v="8"/>
    <x v="0"/>
  </r>
  <r>
    <s v="2025-05-05"/>
    <s v="SUP009"/>
    <x v="8"/>
    <x v="0"/>
    <s v="20L"/>
    <n v="22"/>
    <n v="15210"/>
    <n v="12"/>
    <n v="18"/>
    <n v="347469.41"/>
    <x v="0"/>
    <x v="2"/>
    <d v="2025-05-11T00:00:00"/>
    <d v="2025-05-25T00:00:00"/>
    <n v="14"/>
    <x v="0"/>
  </r>
  <r>
    <s v="2025-01-11"/>
    <s v="SUP001"/>
    <x v="6"/>
    <x v="4"/>
    <s v="1.5 Ton Inverter"/>
    <n v="20"/>
    <n v="80954"/>
    <n v="12"/>
    <n v="18"/>
    <n v="1681252.67"/>
    <x v="0"/>
    <x v="1"/>
    <d v="2025-01-14T00:00:00"/>
    <d v="2025-01-17T00:00:00"/>
    <n v="3"/>
    <x v="1"/>
  </r>
  <r>
    <s v="2025-06-19"/>
    <s v="SUP006"/>
    <x v="0"/>
    <x v="2"/>
    <s v="55 4K"/>
    <n v="16"/>
    <n v="20028"/>
    <n v="12"/>
    <n v="18"/>
    <n v="332753.2"/>
    <x v="1"/>
    <x v="2"/>
    <d v="2025-06-22T00:00:00"/>
    <d v="2025-07-07T00:00:00"/>
    <n v="15"/>
    <x v="0"/>
  </r>
  <r>
    <s v="2025-06-17"/>
    <s v="SUP002"/>
    <x v="2"/>
    <x v="6"/>
    <s v="190L"/>
    <n v="22"/>
    <n v="49788"/>
    <n v="12"/>
    <n v="28"/>
    <n v="1233786.47"/>
    <x v="3"/>
    <x v="1"/>
    <d v="2025-06-25T00:00:00"/>
    <d v="2025-06-30T00:00:00"/>
    <n v="5"/>
    <x v="0"/>
  </r>
  <r>
    <s v="2025-02-03"/>
    <s v="SUP009"/>
    <x v="8"/>
    <x v="7"/>
    <s v="750W"/>
    <n v="8"/>
    <n v="57679"/>
    <n v="0"/>
    <n v="28"/>
    <n v="590632.95999999996"/>
    <x v="2"/>
    <x v="1"/>
    <d v="2025-02-12T00:00:00"/>
    <d v="2025-02-16T00:00:00"/>
    <n v="4"/>
    <x v="0"/>
  </r>
  <r>
    <s v="2025-01-26"/>
    <s v="SUP005"/>
    <x v="4"/>
    <x v="7"/>
    <s v="750W"/>
    <n v="40"/>
    <n v="16315"/>
    <n v="12"/>
    <n v="18"/>
    <n v="677659.84"/>
    <x v="1"/>
    <x v="2"/>
    <d v="2025-02-01T00:00:00"/>
    <d v="2025-02-10T00:00:00"/>
    <n v="9"/>
    <x v="0"/>
  </r>
  <r>
    <s v="2025-06-08"/>
    <s v="SUP001"/>
    <x v="6"/>
    <x v="4"/>
    <s v="2 Ton"/>
    <n v="35"/>
    <n v="66738"/>
    <n v="12"/>
    <n v="18"/>
    <n v="2425525.87"/>
    <x v="1"/>
    <x v="2"/>
    <d v="2025-06-13T00:00:00"/>
    <d v="2025-06-22T00:00:00"/>
    <n v="9"/>
    <x v="0"/>
  </r>
  <r>
    <s v="2025-03-15"/>
    <s v="SUP001"/>
    <x v="6"/>
    <x v="6"/>
    <s v="190L"/>
    <n v="21"/>
    <n v="50089"/>
    <n v="12"/>
    <n v="18"/>
    <n v="1092260.77"/>
    <x v="2"/>
    <x v="2"/>
    <d v="2025-03-24T00:00:00"/>
    <d v="2025-04-02T00:00:00"/>
    <n v="9"/>
    <x v="0"/>
  </r>
  <r>
    <s v="2025-05-15"/>
    <s v="SUP008"/>
    <x v="7"/>
    <x v="7"/>
    <s v="750W"/>
    <n v="24"/>
    <n v="79736"/>
    <n v="0"/>
    <n v="12"/>
    <n v="2143303.6800000002"/>
    <x v="3"/>
    <x v="1"/>
    <d v="2025-05-24T00:00:00"/>
    <d v="2025-06-06T00:00:00"/>
    <n v="13"/>
    <x v="0"/>
  </r>
  <r>
    <s v="2025-02-07"/>
    <s v="SUP004"/>
    <x v="1"/>
    <x v="5"/>
    <s v="Front Load"/>
    <n v="27"/>
    <n v="50959"/>
    <n v="0"/>
    <n v="18"/>
    <n v="1623553.74"/>
    <x v="3"/>
    <x v="2"/>
    <d v="2025-02-16T00:00:00"/>
    <d v="2025-02-22T00:00:00"/>
    <n v="6"/>
    <x v="0"/>
  </r>
  <r>
    <s v="2025-03-16"/>
    <s v="SUP009"/>
    <x v="8"/>
    <x v="0"/>
    <s v="20L"/>
    <n v="26"/>
    <n v="50996"/>
    <n v="10"/>
    <n v="12"/>
    <n v="1336503.17"/>
    <x v="0"/>
    <x v="1"/>
    <d v="2025-03-20T00:00:00"/>
    <d v="2025-04-01T00:00:00"/>
    <n v="12"/>
    <x v="0"/>
  </r>
  <r>
    <s v="2025-03-29"/>
    <s v="SUP007"/>
    <x v="5"/>
    <x v="5"/>
    <s v="Front Load"/>
    <n v="26"/>
    <n v="79941"/>
    <n v="5"/>
    <n v="28"/>
    <n v="2527414.66"/>
    <x v="1"/>
    <x v="2"/>
    <d v="2025-04-07T00:00:00"/>
    <d v="2025-04-18T00:00:00"/>
    <n v="11"/>
    <x v="0"/>
  </r>
  <r>
    <s v="2025-05-04"/>
    <s v="SUP002"/>
    <x v="2"/>
    <x v="0"/>
    <s v="20L"/>
    <n v="18"/>
    <n v="17638"/>
    <n v="12"/>
    <n v="12"/>
    <n v="312912.23"/>
    <x v="2"/>
    <x v="2"/>
    <d v="2025-05-10T00:00:00"/>
    <d v="2025-05-25T00:00:00"/>
    <n v="15"/>
    <x v="0"/>
  </r>
  <r>
    <s v="2025-05-05"/>
    <s v="SUP003"/>
    <x v="3"/>
    <x v="2"/>
    <s v="32 LED"/>
    <n v="40"/>
    <n v="49268"/>
    <n v="10"/>
    <n v="28"/>
    <n v="2270269.4399999999"/>
    <x v="2"/>
    <x v="2"/>
    <d v="2025-05-12T00:00:00"/>
    <d v="2025-05-22T00:00:00"/>
    <n v="10"/>
    <x v="0"/>
  </r>
  <r>
    <s v="2025-03-15"/>
    <s v="SUP004"/>
    <x v="1"/>
    <x v="1"/>
    <s v="35L"/>
    <n v="10"/>
    <n v="34242"/>
    <n v="12"/>
    <n v="12"/>
    <n v="337489.15"/>
    <x v="3"/>
    <x v="2"/>
    <d v="2025-03-21T00:00:00"/>
    <d v="2025-03-31T00:00:00"/>
    <n v="10"/>
    <x v="0"/>
  </r>
  <r>
    <s v="2025-04-18"/>
    <s v="SUP005"/>
    <x v="4"/>
    <x v="0"/>
    <s v="20L"/>
    <n v="36"/>
    <n v="29689"/>
    <n v="5"/>
    <n v="28"/>
    <n v="1299665.6599999999"/>
    <x v="0"/>
    <x v="1"/>
    <d v="2025-04-22T00:00:00"/>
    <d v="2025-04-28T00:00:00"/>
    <n v="6"/>
    <x v="0"/>
  </r>
  <r>
    <s v="2025-03-09"/>
    <s v="SUP009"/>
    <x v="8"/>
    <x v="3"/>
    <s v="1200mm"/>
    <n v="26"/>
    <n v="36461"/>
    <n v="12"/>
    <n v="12"/>
    <n v="934335"/>
    <x v="3"/>
    <x v="0"/>
    <d v="2025-03-16T00:00:00"/>
    <d v="2025-03-21T00:00:00"/>
    <n v="5"/>
    <x v="0"/>
  </r>
  <r>
    <s v="2025-05-31"/>
    <s v="SUP004"/>
    <x v="1"/>
    <x v="3"/>
    <s v="1200mm"/>
    <n v="36"/>
    <n v="3185"/>
    <n v="10"/>
    <n v="12"/>
    <n v="115577.28"/>
    <x v="1"/>
    <x v="2"/>
    <d v="2025-06-04T00:00:00"/>
    <d v="2025-06-18T00:00:00"/>
    <n v="14"/>
    <x v="0"/>
  </r>
  <r>
    <s v="2025-01-11"/>
    <s v="SUP008"/>
    <x v="7"/>
    <x v="2"/>
    <s v="43 Smart"/>
    <n v="38"/>
    <n v="76341"/>
    <n v="5"/>
    <n v="12"/>
    <n v="3086619.31"/>
    <x v="1"/>
    <x v="3"/>
    <d v="2025-01-16T00:00:00"/>
    <d v="2025-01-23T00:00:00"/>
    <n v="7"/>
    <x v="0"/>
  </r>
  <r>
    <s v="2025-06-03"/>
    <s v="SUP001"/>
    <x v="6"/>
    <x v="4"/>
    <s v="2 Ton"/>
    <n v="16"/>
    <n v="84531"/>
    <n v="10"/>
    <n v="18"/>
    <n v="1436350.75"/>
    <x v="3"/>
    <x v="2"/>
    <d v="2025-06-09T00:00:00"/>
    <d v="2025-06-18T00:00:00"/>
    <n v="9"/>
    <x v="0"/>
  </r>
  <r>
    <s v="2025-04-06"/>
    <s v="SUP001"/>
    <x v="6"/>
    <x v="0"/>
    <s v="28L"/>
    <n v="1"/>
    <n v="59788"/>
    <n v="12"/>
    <n v="12"/>
    <n v="58927.05"/>
    <x v="3"/>
    <x v="3"/>
    <d v="2025-04-15T00:00:00"/>
    <d v="2025-04-29T00:00:00"/>
    <n v="14"/>
    <x v="0"/>
  </r>
  <r>
    <s v="2025-06-22"/>
    <s v="SUP009"/>
    <x v="8"/>
    <x v="0"/>
    <s v="20L"/>
    <n v="17"/>
    <n v="63252"/>
    <n v="5"/>
    <n v="18"/>
    <n v="1205393.3600000001"/>
    <x v="3"/>
    <x v="1"/>
    <d v="2025-07-02T00:00:00"/>
    <d v="2025-07-03T00:00:00"/>
    <n v="1"/>
    <x v="1"/>
  </r>
  <r>
    <s v="2025-05-12"/>
    <s v="SUP004"/>
    <x v="1"/>
    <x v="7"/>
    <s v="500W"/>
    <n v="15"/>
    <n v="10134"/>
    <n v="12"/>
    <n v="28"/>
    <n v="171224.06"/>
    <x v="3"/>
    <x v="1"/>
    <d v="2025-05-19T00:00:00"/>
    <d v="2025-05-28T00:00:00"/>
    <n v="9"/>
    <x v="0"/>
  </r>
  <r>
    <s v="2025-03-19"/>
    <s v="SUP003"/>
    <x v="3"/>
    <x v="7"/>
    <s v="500W"/>
    <n v="32"/>
    <n v="33575"/>
    <n v="5"/>
    <n v="12"/>
    <n v="1143161.6000000001"/>
    <x v="1"/>
    <x v="0"/>
    <d v="2025-03-23T00:00:00"/>
    <d v="2025-03-24T00:00:00"/>
    <n v="1"/>
    <x v="1"/>
  </r>
  <r>
    <s v="2025-02-08"/>
    <s v="SUP004"/>
    <x v="1"/>
    <x v="7"/>
    <s v="500W"/>
    <n v="14"/>
    <n v="15227"/>
    <n v="5"/>
    <n v="18"/>
    <n v="238972.54"/>
    <x v="0"/>
    <x v="0"/>
    <d v="2025-02-15T00:00:00"/>
    <d v="2025-03-01T00:00:00"/>
    <n v="14"/>
    <x v="0"/>
  </r>
  <r>
    <s v="2025-01-29"/>
    <s v="SUP004"/>
    <x v="1"/>
    <x v="4"/>
    <s v="1 Ton Split"/>
    <n v="28"/>
    <n v="24948"/>
    <n v="0"/>
    <n v="18"/>
    <n v="824281.92"/>
    <x v="0"/>
    <x v="1"/>
    <d v="2025-02-06T00:00:00"/>
    <d v="2025-02-08T00:00:00"/>
    <n v="2"/>
    <x v="1"/>
  </r>
  <r>
    <s v="2025-04-09"/>
    <s v="SUP006"/>
    <x v="0"/>
    <x v="0"/>
    <s v="20L"/>
    <n v="9"/>
    <n v="8201"/>
    <n v="12"/>
    <n v="12"/>
    <n v="72746.149999999994"/>
    <x v="3"/>
    <x v="3"/>
    <d v="2025-04-18T00:00:00"/>
    <d v="2025-05-01T00:00:00"/>
    <n v="13"/>
    <x v="0"/>
  </r>
  <r>
    <s v="2025-02-16"/>
    <s v="SUP005"/>
    <x v="4"/>
    <x v="1"/>
    <s v="35L"/>
    <n v="14"/>
    <n v="64234"/>
    <n v="5"/>
    <n v="12"/>
    <n v="956829.66"/>
    <x v="0"/>
    <x v="3"/>
    <d v="2025-02-24T00:00:00"/>
    <d v="2025-03-09T00:00:00"/>
    <n v="13"/>
    <x v="0"/>
  </r>
  <r>
    <s v="2025-04-18"/>
    <s v="SUP003"/>
    <x v="3"/>
    <x v="4"/>
    <s v="2 Ton"/>
    <n v="35"/>
    <n v="36780"/>
    <n v="0"/>
    <n v="12"/>
    <n v="1441776"/>
    <x v="1"/>
    <x v="1"/>
    <d v="2025-04-22T00:00:00"/>
    <d v="2025-04-25T00:00:00"/>
    <n v="3"/>
    <x v="1"/>
  </r>
  <r>
    <s v="2025-06-22"/>
    <s v="SUP002"/>
    <x v="2"/>
    <x v="6"/>
    <s v="190L"/>
    <n v="13"/>
    <n v="19570"/>
    <n v="5"/>
    <n v="18"/>
    <n v="285193.61"/>
    <x v="2"/>
    <x v="1"/>
    <d v="2025-06-29T00:00:00"/>
    <d v="2025-07-02T00:00:00"/>
    <n v="3"/>
    <x v="1"/>
  </r>
  <r>
    <s v="2025-05-28"/>
    <s v="SUP007"/>
    <x v="5"/>
    <x v="2"/>
    <s v="55 4K"/>
    <n v="8"/>
    <n v="55796"/>
    <n v="10"/>
    <n v="18"/>
    <n v="474042.82"/>
    <x v="3"/>
    <x v="3"/>
    <d v="2025-05-31T00:00:00"/>
    <d v="2025-06-04T00:00:00"/>
    <n v="4"/>
    <x v="0"/>
  </r>
  <r>
    <s v="2025-04-26"/>
    <s v="SUP008"/>
    <x v="7"/>
    <x v="3"/>
    <s v="1200mm"/>
    <n v="35"/>
    <n v="3222"/>
    <n v="12"/>
    <n v="12"/>
    <n v="111146.11"/>
    <x v="1"/>
    <x v="1"/>
    <d v="2025-05-02T00:00:00"/>
    <d v="2025-05-12T00:00:00"/>
    <n v="10"/>
    <x v="0"/>
  </r>
  <r>
    <s v="2025-03-26"/>
    <s v="SUP002"/>
    <x v="2"/>
    <x v="5"/>
    <s v="Front Load"/>
    <n v="16"/>
    <n v="13600"/>
    <n v="10"/>
    <n v="12"/>
    <n v="219340.79999999999"/>
    <x v="3"/>
    <x v="1"/>
    <d v="2025-04-03T00:00:00"/>
    <d v="2025-04-10T00:00:00"/>
    <n v="7"/>
    <x v="0"/>
  </r>
  <r>
    <s v="2025-02-18"/>
    <s v="SUP002"/>
    <x v="2"/>
    <x v="6"/>
    <s v="190L"/>
    <n v="34"/>
    <n v="13655"/>
    <n v="0"/>
    <n v="12"/>
    <n v="519982.4"/>
    <x v="1"/>
    <x v="3"/>
    <d v="2025-02-25T00:00:00"/>
    <d v="2025-03-05T00:00:00"/>
    <n v="8"/>
    <x v="0"/>
  </r>
  <r>
    <s v="2025-06-25"/>
    <s v="SUP006"/>
    <x v="0"/>
    <x v="2"/>
    <s v="32 LED"/>
    <n v="18"/>
    <n v="6969"/>
    <n v="10"/>
    <n v="18"/>
    <n v="133219.4"/>
    <x v="2"/>
    <x v="3"/>
    <d v="2025-06-28T00:00:00"/>
    <d v="2025-07-07T00:00:00"/>
    <n v="9"/>
    <x v="0"/>
  </r>
  <r>
    <s v="2025-04-04"/>
    <s v="SUP006"/>
    <x v="0"/>
    <x v="4"/>
    <s v="1 Ton Split"/>
    <n v="28"/>
    <n v="55033"/>
    <n v="0"/>
    <n v="12"/>
    <n v="1725834.88"/>
    <x v="0"/>
    <x v="0"/>
    <d v="2025-04-09T00:00:00"/>
    <d v="2025-04-17T00:00:00"/>
    <n v="8"/>
    <x v="0"/>
  </r>
  <r>
    <s v="2025-06-15"/>
    <s v="SUP008"/>
    <x v="7"/>
    <x v="1"/>
    <s v="35L"/>
    <n v="31"/>
    <n v="17930"/>
    <n v="10"/>
    <n v="28"/>
    <n v="640316.16000000003"/>
    <x v="0"/>
    <x v="1"/>
    <d v="2025-06-25T00:00:00"/>
    <d v="2025-07-03T00:00:00"/>
    <n v="8"/>
    <x v="0"/>
  </r>
  <r>
    <s v="2025-01-31"/>
    <s v="SUP002"/>
    <x v="2"/>
    <x v="2"/>
    <s v="32 LED"/>
    <n v="27"/>
    <n v="76426"/>
    <n v="12"/>
    <n v="12"/>
    <n v="2033787.57"/>
    <x v="0"/>
    <x v="1"/>
    <d v="2025-02-10T00:00:00"/>
    <d v="2025-02-12T00:00:00"/>
    <n v="2"/>
    <x v="1"/>
  </r>
  <r>
    <s v="2025-05-30"/>
    <s v="SUP008"/>
    <x v="7"/>
    <x v="7"/>
    <s v="500W"/>
    <n v="13"/>
    <n v="84082"/>
    <n v="10"/>
    <n v="18"/>
    <n v="1160836.0900000001"/>
    <x v="1"/>
    <x v="3"/>
    <d v="2025-06-04T00:00:00"/>
    <d v="2025-06-12T00:00:00"/>
    <n v="8"/>
    <x v="0"/>
  </r>
  <r>
    <s v="2025-06-24"/>
    <s v="SUP005"/>
    <x v="4"/>
    <x v="4"/>
    <s v="1 Ton Split"/>
    <n v="8"/>
    <n v="36700"/>
    <n v="12"/>
    <n v="12"/>
    <n v="289372.15999999997"/>
    <x v="1"/>
    <x v="3"/>
    <d v="2025-07-01T00:00:00"/>
    <d v="2025-07-13T00:00:00"/>
    <n v="12"/>
    <x v="0"/>
  </r>
  <r>
    <s v="2025-04-14"/>
    <s v="SUP009"/>
    <x v="8"/>
    <x v="5"/>
    <s v="Top Load"/>
    <n v="8"/>
    <n v="1507"/>
    <n v="0"/>
    <n v="18"/>
    <n v="14226.08"/>
    <x v="2"/>
    <x v="3"/>
    <d v="2025-04-17T00:00:00"/>
    <d v="2025-04-22T00:00:00"/>
    <n v="5"/>
    <x v="0"/>
  </r>
  <r>
    <s v="2025-03-11"/>
    <s v="SUP001"/>
    <x v="6"/>
    <x v="1"/>
    <s v="35L"/>
    <n v="13"/>
    <n v="6226"/>
    <n v="0"/>
    <n v="28"/>
    <n v="103600.64"/>
    <x v="1"/>
    <x v="2"/>
    <d v="2025-03-20T00:00:00"/>
    <d v="2025-03-22T00:00:00"/>
    <n v="2"/>
    <x v="1"/>
  </r>
  <r>
    <s v="2025-02-12"/>
    <s v="SUP007"/>
    <x v="5"/>
    <x v="2"/>
    <s v="32 LED"/>
    <n v="32"/>
    <n v="51377"/>
    <n v="12"/>
    <n v="18"/>
    <n v="1707196.06"/>
    <x v="2"/>
    <x v="1"/>
    <d v="2025-02-20T00:00:00"/>
    <d v="2025-03-04T00:00:00"/>
    <n v="12"/>
    <x v="0"/>
  </r>
  <r>
    <s v="2025-05-01"/>
    <s v="SUP006"/>
    <x v="0"/>
    <x v="5"/>
    <s v="Front Load"/>
    <n v="36"/>
    <n v="7105"/>
    <n v="0"/>
    <n v="18"/>
    <n v="301820.40000000002"/>
    <x v="1"/>
    <x v="2"/>
    <d v="2025-05-04T00:00:00"/>
    <d v="2025-05-04T00:00:00"/>
    <n v="0"/>
    <x v="2"/>
  </r>
  <r>
    <s v="2025-01-11"/>
    <s v="SUP007"/>
    <x v="5"/>
    <x v="3"/>
    <s v="1200mm"/>
    <n v="24"/>
    <n v="48908"/>
    <n v="0"/>
    <n v="28"/>
    <n v="1502453.76"/>
    <x v="1"/>
    <x v="0"/>
    <d v="2025-01-15T00:00:00"/>
    <d v="2025-01-16T00:00:00"/>
    <n v="1"/>
    <x v="1"/>
  </r>
  <r>
    <s v="2025-03-26"/>
    <s v="SUP007"/>
    <x v="5"/>
    <x v="5"/>
    <s v="Front Load"/>
    <n v="33"/>
    <n v="50086"/>
    <n v="10"/>
    <n v="12"/>
    <n v="1666060.7"/>
    <x v="0"/>
    <x v="0"/>
    <d v="2025-03-29T00:00:00"/>
    <d v="2025-03-30T00:00:00"/>
    <n v="1"/>
    <x v="1"/>
  </r>
  <r>
    <s v="2025-06-24"/>
    <s v="SUP001"/>
    <x v="6"/>
    <x v="5"/>
    <s v="Front Load"/>
    <n v="18"/>
    <n v="14897"/>
    <n v="5"/>
    <n v="28"/>
    <n v="326065.53999999998"/>
    <x v="2"/>
    <x v="2"/>
    <d v="2025-07-02T00:00:00"/>
    <d v="2025-07-06T00:00:00"/>
    <n v="4"/>
    <x v="0"/>
  </r>
  <r>
    <s v="2025-03-03"/>
    <s v="SUP008"/>
    <x v="7"/>
    <x v="4"/>
    <s v="1 Ton Split"/>
    <n v="4"/>
    <n v="68156"/>
    <n v="10"/>
    <n v="28"/>
    <n v="314062.84999999998"/>
    <x v="2"/>
    <x v="3"/>
    <d v="2025-03-06T00:00:00"/>
    <d v="2025-03-06T00:00:00"/>
    <n v="0"/>
    <x v="2"/>
  </r>
  <r>
    <s v="2025-02-25"/>
    <s v="SUP004"/>
    <x v="1"/>
    <x v="4"/>
    <s v="1.5 Ton Inverter"/>
    <n v="37"/>
    <n v="14772"/>
    <n v="12"/>
    <n v="28"/>
    <n v="615649.68999999994"/>
    <x v="2"/>
    <x v="1"/>
    <d v="2025-03-07T00:00:00"/>
    <d v="2025-03-08T00:00:00"/>
    <n v="1"/>
    <x v="1"/>
  </r>
  <r>
    <s v="2025-02-01"/>
    <s v="SUP006"/>
    <x v="0"/>
    <x v="5"/>
    <s v="Front Load"/>
    <n v="21"/>
    <n v="70017"/>
    <n v="5"/>
    <n v="18"/>
    <n v="1648270.2"/>
    <x v="1"/>
    <x v="2"/>
    <d v="2025-02-04T00:00:00"/>
    <d v="2025-02-07T00:00:00"/>
    <n v="3"/>
    <x v="1"/>
  </r>
  <r>
    <s v="2025-05-19"/>
    <s v="SUP008"/>
    <x v="7"/>
    <x v="2"/>
    <s v="32 LED"/>
    <n v="36"/>
    <n v="70939"/>
    <n v="12"/>
    <n v="12"/>
    <n v="2517029.2200000002"/>
    <x v="0"/>
    <x v="2"/>
    <d v="2025-05-29T00:00:00"/>
    <d v="2025-05-30T00:00:00"/>
    <n v="1"/>
    <x v="1"/>
  </r>
  <r>
    <s v="2025-06-08"/>
    <s v="SUP003"/>
    <x v="3"/>
    <x v="0"/>
    <s v="28L"/>
    <n v="7"/>
    <n v="61599"/>
    <n v="10"/>
    <n v="18"/>
    <n v="457926.97"/>
    <x v="2"/>
    <x v="3"/>
    <d v="2025-06-14T00:00:00"/>
    <d v="2025-06-18T00:00:00"/>
    <n v="4"/>
    <x v="0"/>
  </r>
  <r>
    <s v="2025-04-07"/>
    <s v="SUP008"/>
    <x v="7"/>
    <x v="2"/>
    <s v="32 LED"/>
    <n v="15"/>
    <n v="47707"/>
    <n v="12"/>
    <n v="28"/>
    <n v="806057.47"/>
    <x v="0"/>
    <x v="0"/>
    <d v="2025-04-17T00:00:00"/>
    <d v="2025-04-23T00:00:00"/>
    <n v="6"/>
    <x v="0"/>
  </r>
  <r>
    <s v="2025-03-15"/>
    <s v="SUP007"/>
    <x v="5"/>
    <x v="2"/>
    <s v="55 4K"/>
    <n v="7"/>
    <n v="34496"/>
    <n v="0"/>
    <n v="12"/>
    <n v="270448.64000000001"/>
    <x v="3"/>
    <x v="2"/>
    <d v="2025-03-21T00:00:00"/>
    <d v="2025-03-22T00:00:00"/>
    <n v="1"/>
    <x v="1"/>
  </r>
  <r>
    <s v="2025-02-25"/>
    <s v="SUP002"/>
    <x v="2"/>
    <x v="4"/>
    <s v="2 Ton"/>
    <n v="20"/>
    <n v="43285"/>
    <n v="10"/>
    <n v="12"/>
    <n v="872625.6"/>
    <x v="3"/>
    <x v="3"/>
    <d v="2025-03-05T00:00:00"/>
    <d v="2025-03-19T00:00:00"/>
    <n v="14"/>
    <x v="0"/>
  </r>
  <r>
    <s v="2025-03-14"/>
    <s v="SUP007"/>
    <x v="5"/>
    <x v="0"/>
    <s v="28L"/>
    <n v="33"/>
    <n v="28570"/>
    <n v="12"/>
    <n v="18"/>
    <n v="979013.9"/>
    <x v="2"/>
    <x v="3"/>
    <d v="2025-03-17T00:00:00"/>
    <d v="2025-03-23T00:00:00"/>
    <n v="6"/>
    <x v="0"/>
  </r>
  <r>
    <s v="2025-04-17"/>
    <s v="SUP007"/>
    <x v="5"/>
    <x v="0"/>
    <s v="20L"/>
    <n v="5"/>
    <n v="54795"/>
    <n v="0"/>
    <n v="18"/>
    <n v="323290.5"/>
    <x v="3"/>
    <x v="3"/>
    <d v="2025-04-20T00:00:00"/>
    <d v="2025-04-29T00:00:00"/>
    <n v="9"/>
    <x v="0"/>
  </r>
  <r>
    <s v="2025-04-07"/>
    <s v="SUP006"/>
    <x v="0"/>
    <x v="7"/>
    <s v="500W"/>
    <n v="37"/>
    <n v="61792"/>
    <n v="5"/>
    <n v="28"/>
    <n v="2780145.66"/>
    <x v="3"/>
    <x v="1"/>
    <d v="2025-04-17T00:00:00"/>
    <d v="2025-05-01T00:00:00"/>
    <n v="14"/>
    <x v="0"/>
  </r>
  <r>
    <s v="2025-05-13"/>
    <s v="SUP007"/>
    <x v="5"/>
    <x v="6"/>
    <s v="260L"/>
    <n v="36"/>
    <n v="4661"/>
    <n v="0"/>
    <n v="28"/>
    <n v="214778.88"/>
    <x v="3"/>
    <x v="2"/>
    <d v="2025-05-17T00:00:00"/>
    <d v="2025-05-30T00:00:00"/>
    <n v="13"/>
    <x v="0"/>
  </r>
  <r>
    <s v="2025-04-22"/>
    <s v="SUP001"/>
    <x v="6"/>
    <x v="6"/>
    <s v="260L"/>
    <n v="5"/>
    <n v="47360"/>
    <n v="0"/>
    <n v="18"/>
    <n v="279424"/>
    <x v="2"/>
    <x v="3"/>
    <d v="2025-05-01T00:00:00"/>
    <d v="2025-05-03T00:00:00"/>
    <n v="2"/>
    <x v="1"/>
  </r>
  <r>
    <s v="2025-04-10"/>
    <s v="SUP008"/>
    <x v="7"/>
    <x v="2"/>
    <s v="43 Smart"/>
    <n v="34"/>
    <n v="43525"/>
    <n v="12"/>
    <n v="28"/>
    <n v="1666903.04"/>
    <x v="1"/>
    <x v="2"/>
    <d v="2025-04-14T00:00:00"/>
    <d v="2025-04-23T00:00:00"/>
    <n v="9"/>
    <x v="0"/>
  </r>
  <r>
    <s v="2025-02-22"/>
    <s v="SUP008"/>
    <x v="7"/>
    <x v="0"/>
    <s v="28L"/>
    <n v="19"/>
    <n v="38494"/>
    <n v="10"/>
    <n v="18"/>
    <n v="776731.93"/>
    <x v="3"/>
    <x v="1"/>
    <d v="2025-03-03T00:00:00"/>
    <d v="2025-03-10T00:00:00"/>
    <n v="7"/>
    <x v="0"/>
  </r>
  <r>
    <s v="2025-05-16"/>
    <s v="SUP007"/>
    <x v="5"/>
    <x v="1"/>
    <s v="35L"/>
    <n v="14"/>
    <n v="3013"/>
    <n v="0"/>
    <n v="28"/>
    <n v="53992.959999999999"/>
    <x v="0"/>
    <x v="2"/>
    <d v="2025-05-24T00:00:00"/>
    <d v="2025-05-26T00:00:00"/>
    <n v="2"/>
    <x v="1"/>
  </r>
  <r>
    <s v="2025-03-02"/>
    <s v="SUP006"/>
    <x v="0"/>
    <x v="4"/>
    <s v="2 Ton"/>
    <n v="21"/>
    <n v="4933"/>
    <n v="5"/>
    <n v="18"/>
    <n v="116127.75"/>
    <x v="0"/>
    <x v="1"/>
    <d v="2025-03-06T00:00:00"/>
    <d v="2025-03-06T00:00:00"/>
    <n v="0"/>
    <x v="2"/>
  </r>
  <r>
    <s v="2025-05-25"/>
    <s v="SUP004"/>
    <x v="1"/>
    <x v="5"/>
    <s v="Front Load"/>
    <n v="14"/>
    <n v="39922"/>
    <n v="12"/>
    <n v="12"/>
    <n v="550859.72"/>
    <x v="2"/>
    <x v="3"/>
    <d v="2025-05-30T00:00:00"/>
    <d v="2025-05-30T00:00:00"/>
    <n v="0"/>
    <x v="2"/>
  </r>
  <r>
    <s v="2025-05-27"/>
    <s v="SUP003"/>
    <x v="3"/>
    <x v="7"/>
    <s v="750W"/>
    <n v="23"/>
    <n v="5733"/>
    <n v="0"/>
    <n v="18"/>
    <n v="155593.62"/>
    <x v="0"/>
    <x v="1"/>
    <d v="2025-06-02T00:00:00"/>
    <d v="2025-06-09T00:00:00"/>
    <n v="7"/>
    <x v="0"/>
  </r>
  <r>
    <s v="2025-02-16"/>
    <s v="SUP003"/>
    <x v="3"/>
    <x v="6"/>
    <s v="190L"/>
    <n v="11"/>
    <n v="44352"/>
    <n v="0"/>
    <n v="12"/>
    <n v="546416.64000000001"/>
    <x v="1"/>
    <x v="3"/>
    <d v="2025-02-19T00:00:00"/>
    <d v="2025-02-20T00:00:00"/>
    <n v="1"/>
    <x v="1"/>
  </r>
  <r>
    <s v="2025-01-27"/>
    <s v="SUP008"/>
    <x v="7"/>
    <x v="2"/>
    <s v="43 Smart"/>
    <n v="6"/>
    <n v="14345"/>
    <n v="0"/>
    <n v="12"/>
    <n v="96398.399999999994"/>
    <x v="1"/>
    <x v="0"/>
    <d v="2025-02-03T00:00:00"/>
    <d v="2025-02-03T00:00:00"/>
    <n v="0"/>
    <x v="2"/>
  </r>
  <r>
    <s v="2025-04-12"/>
    <s v="SUP008"/>
    <x v="7"/>
    <x v="6"/>
    <s v="190L"/>
    <n v="2"/>
    <n v="22823"/>
    <n v="5"/>
    <n v="12"/>
    <n v="48567.34"/>
    <x v="1"/>
    <x v="0"/>
    <d v="2025-04-18T00:00:00"/>
    <d v="2025-04-18T00:00:00"/>
    <n v="0"/>
    <x v="2"/>
  </r>
  <r>
    <s v="2025-04-27"/>
    <s v="SUP008"/>
    <x v="7"/>
    <x v="0"/>
    <s v="28L"/>
    <n v="39"/>
    <n v="14140"/>
    <n v="5"/>
    <n v="28"/>
    <n v="670575.35999999999"/>
    <x v="3"/>
    <x v="2"/>
    <d v="2025-04-30T00:00:00"/>
    <d v="2025-05-09T00:00:00"/>
    <n v="9"/>
    <x v="0"/>
  </r>
  <r>
    <s v="2025-01-09"/>
    <s v="SUP006"/>
    <x v="0"/>
    <x v="2"/>
    <s v="43 Smart"/>
    <n v="39"/>
    <n v="54092"/>
    <n v="12"/>
    <n v="28"/>
    <n v="2376239.92"/>
    <x v="0"/>
    <x v="1"/>
    <d v="2025-01-14T00:00:00"/>
    <d v="2025-01-26T00:00:00"/>
    <n v="12"/>
    <x v="0"/>
  </r>
  <r>
    <s v="2025-06-11"/>
    <s v="SUP002"/>
    <x v="2"/>
    <x v="4"/>
    <s v="1.5 Ton Inverter"/>
    <n v="24"/>
    <n v="42417"/>
    <n v="0"/>
    <n v="28"/>
    <n v="1303050.24"/>
    <x v="2"/>
    <x v="1"/>
    <d v="2025-06-17T00:00:00"/>
    <d v="2025-07-01T00:00:00"/>
    <n v="14"/>
    <x v="0"/>
  </r>
  <r>
    <s v="2025-05-16"/>
    <s v="SUP009"/>
    <x v="8"/>
    <x v="2"/>
    <s v="55 4K"/>
    <n v="39"/>
    <n v="73903"/>
    <n v="12"/>
    <n v="18"/>
    <n v="2992894.13"/>
    <x v="2"/>
    <x v="3"/>
    <d v="2025-05-20T00:00:00"/>
    <d v="2025-06-02T00:00:00"/>
    <n v="13"/>
    <x v="0"/>
  </r>
  <r>
    <s v="2025-04-17"/>
    <s v="SUP001"/>
    <x v="6"/>
    <x v="2"/>
    <s v="32 LED"/>
    <n v="32"/>
    <n v="53074"/>
    <n v="5"/>
    <n v="28"/>
    <n v="2065215.49"/>
    <x v="3"/>
    <x v="0"/>
    <d v="2025-04-27T00:00:00"/>
    <d v="2025-04-30T00:00:00"/>
    <n v="3"/>
    <x v="1"/>
  </r>
  <r>
    <s v="2025-05-26"/>
    <s v="SUP003"/>
    <x v="3"/>
    <x v="7"/>
    <s v="500W"/>
    <n v="10"/>
    <n v="6539"/>
    <n v="0"/>
    <n v="28"/>
    <n v="83699.199999999997"/>
    <x v="3"/>
    <x v="0"/>
    <d v="2025-06-03T00:00:00"/>
    <d v="2025-06-14T00:00:00"/>
    <n v="11"/>
    <x v="0"/>
  </r>
  <r>
    <s v="2025-05-02"/>
    <s v="SUP007"/>
    <x v="5"/>
    <x v="6"/>
    <s v="260L"/>
    <n v="3"/>
    <n v="21352"/>
    <n v="12"/>
    <n v="18"/>
    <n v="66515.75"/>
    <x v="0"/>
    <x v="3"/>
    <d v="2025-05-07T00:00:00"/>
    <d v="2025-05-14T00:00:00"/>
    <n v="7"/>
    <x v="0"/>
  </r>
  <r>
    <s v="2025-01-02"/>
    <s v="SUP004"/>
    <x v="1"/>
    <x v="0"/>
    <s v="28L"/>
    <n v="7"/>
    <n v="61948"/>
    <n v="0"/>
    <n v="28"/>
    <n v="555054.07999999996"/>
    <x v="2"/>
    <x v="0"/>
    <d v="2025-01-05T00:00:00"/>
    <d v="2025-01-07T00:00:00"/>
    <n v="2"/>
    <x v="1"/>
  </r>
  <r>
    <s v="2025-05-17"/>
    <s v="SUP008"/>
    <x v="7"/>
    <x v="7"/>
    <s v="750W"/>
    <n v="31"/>
    <n v="65426"/>
    <n v="5"/>
    <n v="18"/>
    <n v="2273618.9300000002"/>
    <x v="1"/>
    <x v="0"/>
    <d v="2025-05-22T00:00:00"/>
    <d v="2025-06-04T00:00:00"/>
    <n v="13"/>
    <x v="0"/>
  </r>
  <r>
    <s v="2025-05-11"/>
    <s v="SUP001"/>
    <x v="6"/>
    <x v="5"/>
    <s v="Top Load"/>
    <n v="31"/>
    <n v="71215"/>
    <n v="10"/>
    <n v="28"/>
    <n v="2543230.08"/>
    <x v="2"/>
    <x v="3"/>
    <d v="2025-05-21T00:00:00"/>
    <d v="2025-05-22T00:00:00"/>
    <n v="1"/>
    <x v="1"/>
  </r>
  <r>
    <s v="2025-05-01"/>
    <s v="SUP007"/>
    <x v="5"/>
    <x v="0"/>
    <s v="20L"/>
    <n v="9"/>
    <n v="16773"/>
    <n v="0"/>
    <n v="12"/>
    <n v="169071.84"/>
    <x v="0"/>
    <x v="1"/>
    <d v="2025-05-05T00:00:00"/>
    <d v="2025-05-09T00:00:00"/>
    <n v="4"/>
    <x v="0"/>
  </r>
  <r>
    <s v="2025-01-03"/>
    <s v="SUP008"/>
    <x v="7"/>
    <x v="3"/>
    <s v="1200mm"/>
    <n v="13"/>
    <n v="1637"/>
    <n v="5"/>
    <n v="18"/>
    <n v="23856"/>
    <x v="2"/>
    <x v="3"/>
    <d v="2025-01-13T00:00:00"/>
    <d v="2025-01-28T00:00:00"/>
    <n v="15"/>
    <x v="0"/>
  </r>
  <r>
    <s v="2025-04-30"/>
    <s v="SUP004"/>
    <x v="1"/>
    <x v="4"/>
    <s v="2 Ton"/>
    <n v="16"/>
    <n v="72734"/>
    <n v="10"/>
    <n v="18"/>
    <n v="1235896.1299999999"/>
    <x v="0"/>
    <x v="3"/>
    <d v="2025-05-03T00:00:00"/>
    <d v="2025-05-13T00:00:00"/>
    <n v="10"/>
    <x v="0"/>
  </r>
  <r>
    <s v="2025-05-21"/>
    <s v="SUP007"/>
    <x v="5"/>
    <x v="6"/>
    <s v="190L"/>
    <n v="30"/>
    <n v="3250"/>
    <n v="0"/>
    <n v="12"/>
    <n v="109200"/>
    <x v="0"/>
    <x v="3"/>
    <d v="2025-05-31T00:00:00"/>
    <d v="2025-06-05T00:00:00"/>
    <n v="5"/>
    <x v="0"/>
  </r>
  <r>
    <s v="2025-04-26"/>
    <s v="SUP003"/>
    <x v="3"/>
    <x v="2"/>
    <s v="55 4K"/>
    <n v="22"/>
    <n v="84908"/>
    <n v="0"/>
    <n v="12"/>
    <n v="2092133.12"/>
    <x v="1"/>
    <x v="2"/>
    <d v="2025-05-01T00:00:00"/>
    <d v="2025-05-07T00:00:00"/>
    <n v="6"/>
    <x v="0"/>
  </r>
  <r>
    <s v="2025-05-07"/>
    <s v="SUP003"/>
    <x v="3"/>
    <x v="0"/>
    <s v="20L"/>
    <n v="17"/>
    <n v="2648"/>
    <n v="10"/>
    <n v="18"/>
    <n v="47806.99"/>
    <x v="3"/>
    <x v="3"/>
    <d v="2025-05-11T00:00:00"/>
    <d v="2025-05-17T00:00:00"/>
    <n v="6"/>
    <x v="0"/>
  </r>
  <r>
    <s v="2025-02-10"/>
    <s v="SUP002"/>
    <x v="2"/>
    <x v="1"/>
    <s v="35L"/>
    <n v="24"/>
    <n v="51618"/>
    <n v="5"/>
    <n v="18"/>
    <n v="1388730.67"/>
    <x v="2"/>
    <x v="2"/>
    <d v="2025-02-16T00:00:00"/>
    <d v="2025-03-03T00:00:00"/>
    <n v="15"/>
    <x v="0"/>
  </r>
  <r>
    <s v="2025-06-01"/>
    <s v="SUP009"/>
    <x v="8"/>
    <x v="6"/>
    <s v="190L"/>
    <n v="25"/>
    <n v="29167"/>
    <n v="0"/>
    <n v="12"/>
    <n v="816676"/>
    <x v="0"/>
    <x v="1"/>
    <d v="2025-06-04T00:00:00"/>
    <d v="2025-06-08T00:00:00"/>
    <n v="4"/>
    <x v="0"/>
  </r>
  <r>
    <s v="2025-03-16"/>
    <s v="SUP007"/>
    <x v="5"/>
    <x v="6"/>
    <s v="260L"/>
    <n v="21"/>
    <n v="18220"/>
    <n v="10"/>
    <n v="12"/>
    <n v="385680.96"/>
    <x v="1"/>
    <x v="3"/>
    <d v="2025-03-26T00:00:00"/>
    <d v="2025-03-29T00:00:00"/>
    <n v="3"/>
    <x v="1"/>
  </r>
  <r>
    <s v="2025-01-14"/>
    <s v="SUP004"/>
    <x v="1"/>
    <x v="0"/>
    <s v="20L"/>
    <n v="32"/>
    <n v="6423"/>
    <n v="5"/>
    <n v="28"/>
    <n v="249931.78"/>
    <x v="3"/>
    <x v="3"/>
    <d v="2025-01-23T00:00:00"/>
    <d v="2025-01-26T00:00:00"/>
    <n v="3"/>
    <x v="1"/>
  </r>
  <r>
    <s v="2025-01-19"/>
    <s v="SUP006"/>
    <x v="0"/>
    <x v="3"/>
    <s v="1200mm"/>
    <n v="8"/>
    <n v="33449"/>
    <n v="0"/>
    <n v="12"/>
    <n v="299703.03999999998"/>
    <x v="3"/>
    <x v="2"/>
    <d v="2025-01-27T00:00:00"/>
    <d v="2025-01-30T00:00:00"/>
    <n v="3"/>
    <x v="1"/>
  </r>
  <r>
    <s v="2025-06-06"/>
    <s v="SUP006"/>
    <x v="0"/>
    <x v="4"/>
    <s v="1 Ton Split"/>
    <n v="30"/>
    <n v="79969"/>
    <n v="10"/>
    <n v="28"/>
    <n v="2763728.64"/>
    <x v="3"/>
    <x v="2"/>
    <d v="2025-06-11T00:00:00"/>
    <d v="2025-06-14T00:00:00"/>
    <n v="3"/>
    <x v="1"/>
  </r>
  <r>
    <s v="2025-01-10"/>
    <s v="SUP007"/>
    <x v="5"/>
    <x v="7"/>
    <s v="750W"/>
    <n v="17"/>
    <n v="81447"/>
    <n v="0"/>
    <n v="28"/>
    <n v="1772286.72"/>
    <x v="0"/>
    <x v="3"/>
    <d v="2025-01-17T00:00:00"/>
    <d v="2025-02-01T00:00:00"/>
    <n v="15"/>
    <x v="0"/>
  </r>
  <r>
    <s v="2025-04-11"/>
    <s v="SUP006"/>
    <x v="0"/>
    <x v="1"/>
    <s v="35L"/>
    <n v="18"/>
    <n v="83578"/>
    <n v="5"/>
    <n v="12"/>
    <n v="1600685.86"/>
    <x v="3"/>
    <x v="1"/>
    <d v="2025-04-14T00:00:00"/>
    <d v="2025-04-26T00:00:00"/>
    <n v="12"/>
    <x v="0"/>
  </r>
  <r>
    <s v="2025-03-25"/>
    <s v="SUP008"/>
    <x v="7"/>
    <x v="1"/>
    <s v="35L"/>
    <n v="32"/>
    <n v="69635"/>
    <n v="12"/>
    <n v="28"/>
    <n v="2509979.65"/>
    <x v="3"/>
    <x v="1"/>
    <d v="2025-04-04T00:00:00"/>
    <d v="2025-04-14T00:00:00"/>
    <n v="10"/>
    <x v="0"/>
  </r>
  <r>
    <s v="2025-05-28"/>
    <s v="SUP003"/>
    <x v="3"/>
    <x v="5"/>
    <s v="Top Load"/>
    <n v="5"/>
    <n v="36377"/>
    <n v="12"/>
    <n v="28"/>
    <n v="204875.26"/>
    <x v="0"/>
    <x v="2"/>
    <d v="2025-06-05T00:00:00"/>
    <d v="2025-06-13T00:00:00"/>
    <n v="8"/>
    <x v="0"/>
  </r>
  <r>
    <s v="2025-02-19"/>
    <s v="SUP005"/>
    <x v="4"/>
    <x v="1"/>
    <s v="35L"/>
    <n v="31"/>
    <n v="54020"/>
    <n v="5"/>
    <n v="18"/>
    <n v="1877249.02"/>
    <x v="2"/>
    <x v="1"/>
    <d v="2025-02-27T00:00:00"/>
    <d v="2025-02-28T00:00:00"/>
    <n v="1"/>
    <x v="1"/>
  </r>
  <r>
    <s v="2025-05-04"/>
    <s v="SUP003"/>
    <x v="3"/>
    <x v="4"/>
    <s v="1 Ton Split"/>
    <n v="17"/>
    <n v="42707"/>
    <n v="10"/>
    <n v="28"/>
    <n v="836373.89"/>
    <x v="1"/>
    <x v="0"/>
    <d v="2025-05-13T00:00:00"/>
    <d v="2025-05-25T00:00:00"/>
    <n v="12"/>
    <x v="0"/>
  </r>
  <r>
    <s v="2025-05-22"/>
    <s v="SUP008"/>
    <x v="7"/>
    <x v="0"/>
    <s v="28L"/>
    <n v="35"/>
    <n v="42412"/>
    <n v="5"/>
    <n v="12"/>
    <n v="1579422.88"/>
    <x v="2"/>
    <x v="0"/>
    <d v="2025-05-28T00:00:00"/>
    <d v="2025-06-07T00:00:00"/>
    <n v="10"/>
    <x v="0"/>
  </r>
  <r>
    <s v="2025-03-07"/>
    <s v="SUP001"/>
    <x v="6"/>
    <x v="3"/>
    <s v="1200mm"/>
    <n v="21"/>
    <n v="58972"/>
    <n v="12"/>
    <n v="28"/>
    <n v="1394947.28"/>
    <x v="0"/>
    <x v="2"/>
    <d v="2025-03-11T00:00:00"/>
    <d v="2025-03-23T00:00:00"/>
    <n v="12"/>
    <x v="0"/>
  </r>
  <r>
    <s v="2025-06-23"/>
    <s v="SUP008"/>
    <x v="7"/>
    <x v="7"/>
    <s v="750W"/>
    <n v="4"/>
    <n v="24513"/>
    <n v="5"/>
    <n v="28"/>
    <n v="119231.23"/>
    <x v="1"/>
    <x v="1"/>
    <d v="2025-07-03T00:00:00"/>
    <d v="2025-07-16T00:00:00"/>
    <n v="13"/>
    <x v="0"/>
  </r>
  <r>
    <s v="2025-06-07"/>
    <s v="SUP006"/>
    <x v="0"/>
    <x v="5"/>
    <s v="Front Load"/>
    <n v="24"/>
    <n v="7668"/>
    <n v="5"/>
    <n v="18"/>
    <n v="206299.87"/>
    <x v="1"/>
    <x v="0"/>
    <d v="2025-06-12T00:00:00"/>
    <d v="2025-06-22T00:00:00"/>
    <n v="10"/>
    <x v="0"/>
  </r>
  <r>
    <s v="2025-01-18"/>
    <s v="SUP009"/>
    <x v="8"/>
    <x v="1"/>
    <s v="35L"/>
    <n v="3"/>
    <n v="40647"/>
    <n v="5"/>
    <n v="18"/>
    <n v="136695.85999999999"/>
    <x v="2"/>
    <x v="0"/>
    <d v="2025-01-28T00:00:00"/>
    <d v="2025-02-03T00:00:00"/>
    <n v="6"/>
    <x v="0"/>
  </r>
  <r>
    <s v="2025-06-01"/>
    <s v="SUP009"/>
    <x v="8"/>
    <x v="4"/>
    <s v="1.5 Ton Inverter"/>
    <n v="17"/>
    <n v="20606"/>
    <n v="10"/>
    <n v="12"/>
    <n v="353104.42"/>
    <x v="1"/>
    <x v="0"/>
    <d v="2025-06-08T00:00:00"/>
    <d v="2025-06-10T00:00:00"/>
    <n v="2"/>
    <x v="1"/>
  </r>
  <r>
    <s v="2025-03-21"/>
    <s v="SUP008"/>
    <x v="7"/>
    <x v="4"/>
    <s v="1.5 Ton Inverter"/>
    <n v="25"/>
    <n v="10339"/>
    <n v="12"/>
    <n v="18"/>
    <n v="268400.44"/>
    <x v="3"/>
    <x v="1"/>
    <d v="2025-03-26T00:00:00"/>
    <d v="2025-04-03T00:00:00"/>
    <n v="8"/>
    <x v="0"/>
  </r>
  <r>
    <s v="2025-03-08"/>
    <s v="SUP006"/>
    <x v="0"/>
    <x v="2"/>
    <s v="43 Smart"/>
    <n v="15"/>
    <n v="66646"/>
    <n v="10"/>
    <n v="12"/>
    <n v="1007687.52"/>
    <x v="1"/>
    <x v="0"/>
    <d v="2025-03-12T00:00:00"/>
    <d v="2025-03-26T00:00:00"/>
    <n v="14"/>
    <x v="0"/>
  </r>
  <r>
    <s v="2025-03-09"/>
    <s v="SUP007"/>
    <x v="5"/>
    <x v="0"/>
    <s v="20L"/>
    <n v="32"/>
    <n v="16771"/>
    <n v="0"/>
    <n v="18"/>
    <n v="633272.96"/>
    <x v="0"/>
    <x v="0"/>
    <d v="2025-03-14T00:00:00"/>
    <d v="2025-03-26T00:00:00"/>
    <n v="12"/>
    <x v="0"/>
  </r>
  <r>
    <s v="2025-01-18"/>
    <s v="SUP006"/>
    <x v="0"/>
    <x v="2"/>
    <s v="32 LED"/>
    <n v="24"/>
    <n v="32224"/>
    <n v="10"/>
    <n v="28"/>
    <n v="890929.15"/>
    <x v="3"/>
    <x v="1"/>
    <d v="2025-01-25T00:00:00"/>
    <d v="2025-02-01T00:00:00"/>
    <n v="7"/>
    <x v="0"/>
  </r>
  <r>
    <s v="2025-02-17"/>
    <s v="SUP007"/>
    <x v="5"/>
    <x v="5"/>
    <s v="Top Load"/>
    <n v="32"/>
    <n v="38397"/>
    <n v="10"/>
    <n v="18"/>
    <n v="1304883.6499999999"/>
    <x v="2"/>
    <x v="3"/>
    <d v="2025-02-26T00:00:00"/>
    <d v="2025-03-10T00:00:00"/>
    <n v="12"/>
    <x v="0"/>
  </r>
  <r>
    <s v="2025-03-10"/>
    <s v="SUP002"/>
    <x v="2"/>
    <x v="4"/>
    <s v="1.5 Ton Inverter"/>
    <n v="11"/>
    <n v="32674"/>
    <n v="10"/>
    <n v="18"/>
    <n v="381697.67"/>
    <x v="3"/>
    <x v="2"/>
    <d v="2025-03-15T00:00:00"/>
    <d v="2025-03-20T00:00:00"/>
    <n v="5"/>
    <x v="0"/>
  </r>
  <r>
    <s v="2025-03-04"/>
    <s v="SUP002"/>
    <x v="2"/>
    <x v="2"/>
    <s v="43 Smart"/>
    <n v="13"/>
    <n v="3000"/>
    <n v="10"/>
    <n v="12"/>
    <n v="39312"/>
    <x v="1"/>
    <x v="1"/>
    <d v="2025-03-07T00:00:00"/>
    <d v="2025-03-12T00:00:00"/>
    <n v="5"/>
    <x v="0"/>
  </r>
  <r>
    <s v="2025-04-17"/>
    <s v="SUP009"/>
    <x v="8"/>
    <x v="0"/>
    <s v="20L"/>
    <n v="10"/>
    <n v="38751"/>
    <n v="12"/>
    <n v="12"/>
    <n v="381929.86"/>
    <x v="1"/>
    <x v="1"/>
    <d v="2025-04-20T00:00:00"/>
    <d v="2025-04-24T00:00:00"/>
    <n v="4"/>
    <x v="0"/>
  </r>
  <r>
    <s v="2025-04-07"/>
    <s v="SUP006"/>
    <x v="0"/>
    <x v="4"/>
    <s v="1.5 Ton Inverter"/>
    <n v="33"/>
    <n v="22975"/>
    <n v="12"/>
    <n v="18"/>
    <n v="787288.92"/>
    <x v="1"/>
    <x v="1"/>
    <d v="2025-04-14T00:00:00"/>
    <d v="2025-04-18T00:00:00"/>
    <n v="4"/>
    <x v="0"/>
  </r>
  <r>
    <s v="2025-01-10"/>
    <s v="SUP001"/>
    <x v="6"/>
    <x v="0"/>
    <s v="28L"/>
    <n v="29"/>
    <n v="60150"/>
    <n v="10"/>
    <n v="18"/>
    <n v="1852499.7"/>
    <x v="0"/>
    <x v="2"/>
    <d v="2025-01-15T00:00:00"/>
    <d v="2025-01-15T00:00:00"/>
    <n v="0"/>
    <x v="2"/>
  </r>
  <r>
    <s v="2025-04-25"/>
    <s v="SUP006"/>
    <x v="0"/>
    <x v="5"/>
    <s v="Top Load"/>
    <n v="25"/>
    <n v="55802"/>
    <n v="0"/>
    <n v="12"/>
    <n v="1562456"/>
    <x v="3"/>
    <x v="3"/>
    <d v="2025-05-02T00:00:00"/>
    <d v="2025-05-06T00:00:00"/>
    <n v="4"/>
    <x v="0"/>
  </r>
  <r>
    <s v="2025-01-27"/>
    <s v="SUP001"/>
    <x v="6"/>
    <x v="5"/>
    <s v="Top Load"/>
    <n v="11"/>
    <n v="19224"/>
    <n v="5"/>
    <n v="12"/>
    <n v="224997.7"/>
    <x v="1"/>
    <x v="2"/>
    <d v="2025-02-05T00:00:00"/>
    <d v="2025-02-10T00:00:00"/>
    <n v="5"/>
    <x v="0"/>
  </r>
  <r>
    <s v="2025-03-03"/>
    <s v="SUP006"/>
    <x v="0"/>
    <x v="2"/>
    <s v="43 Smart"/>
    <n v="29"/>
    <n v="58944"/>
    <n v="10"/>
    <n v="12"/>
    <n v="1723051.01"/>
    <x v="0"/>
    <x v="2"/>
    <d v="2025-03-09T00:00:00"/>
    <d v="2025-03-23T00:00:00"/>
    <n v="14"/>
    <x v="0"/>
  </r>
  <r>
    <s v="2025-04-25"/>
    <s v="SUP003"/>
    <x v="3"/>
    <x v="5"/>
    <s v="Front Load"/>
    <n v="33"/>
    <n v="82385"/>
    <n v="5"/>
    <n v="28"/>
    <n v="3305945.28"/>
    <x v="0"/>
    <x v="3"/>
    <d v="2025-04-28T00:00:00"/>
    <d v="2025-05-09T00:00:00"/>
    <n v="11"/>
    <x v="0"/>
  </r>
  <r>
    <s v="2025-03-29"/>
    <s v="SUP002"/>
    <x v="2"/>
    <x v="1"/>
    <s v="35L"/>
    <n v="18"/>
    <n v="82585"/>
    <n v="5"/>
    <n v="12"/>
    <n v="1581667.92"/>
    <x v="3"/>
    <x v="3"/>
    <d v="2025-04-01T00:00:00"/>
    <d v="2025-04-13T00:00:00"/>
    <n v="12"/>
    <x v="0"/>
  </r>
  <r>
    <s v="2025-02-06"/>
    <s v="SUP004"/>
    <x v="1"/>
    <x v="3"/>
    <s v="1200mm"/>
    <n v="26"/>
    <n v="21836"/>
    <n v="5"/>
    <n v="18"/>
    <n v="636432.06000000006"/>
    <x v="0"/>
    <x v="3"/>
    <d v="2025-02-09T00:00:00"/>
    <d v="2025-02-12T00:00:00"/>
    <n v="3"/>
    <x v="1"/>
  </r>
  <r>
    <s v="2025-04-02"/>
    <s v="SUP006"/>
    <x v="0"/>
    <x v="7"/>
    <s v="750W"/>
    <n v="40"/>
    <n v="70219"/>
    <n v="5"/>
    <n v="28"/>
    <n v="3415452.16"/>
    <x v="0"/>
    <x v="3"/>
    <d v="2025-04-12T00:00:00"/>
    <d v="2025-04-12T00:00:00"/>
    <n v="0"/>
    <x v="2"/>
  </r>
  <r>
    <s v="2025-01-27"/>
    <s v="SUP007"/>
    <x v="5"/>
    <x v="4"/>
    <s v="1 Ton Split"/>
    <n v="4"/>
    <n v="33207"/>
    <n v="12"/>
    <n v="18"/>
    <n v="137928.6"/>
    <x v="2"/>
    <x v="1"/>
    <d v="2025-02-03T00:00:00"/>
    <d v="2025-02-06T00:00:00"/>
    <n v="3"/>
    <x v="1"/>
  </r>
  <r>
    <s v="2025-01-09"/>
    <s v="SUP009"/>
    <x v="8"/>
    <x v="4"/>
    <s v="1.5 Ton Inverter"/>
    <n v="34"/>
    <n v="56241"/>
    <n v="0"/>
    <n v="12"/>
    <n v="2141657.2799999998"/>
    <x v="0"/>
    <x v="3"/>
    <d v="2025-01-17T00:00:00"/>
    <d v="2025-01-20T00:00:00"/>
    <n v="3"/>
    <x v="1"/>
  </r>
  <r>
    <s v="2025-04-30"/>
    <s v="SUP006"/>
    <x v="0"/>
    <x v="2"/>
    <s v="55 4K"/>
    <n v="10"/>
    <n v="77169"/>
    <n v="10"/>
    <n v="18"/>
    <n v="819534.78"/>
    <x v="2"/>
    <x v="3"/>
    <d v="2025-05-10T00:00:00"/>
    <d v="2025-05-11T00:00:00"/>
    <n v="1"/>
    <x v="1"/>
  </r>
  <r>
    <s v="2025-05-25"/>
    <s v="SUP004"/>
    <x v="1"/>
    <x v="6"/>
    <s v="190L"/>
    <n v="34"/>
    <n v="33282"/>
    <n v="10"/>
    <n v="18"/>
    <n v="1201746.46"/>
    <x v="2"/>
    <x v="1"/>
    <d v="2025-05-29T00:00:00"/>
    <d v="2025-06-05T00:00:00"/>
    <n v="7"/>
    <x v="0"/>
  </r>
  <r>
    <s v="2025-02-01"/>
    <s v="SUP001"/>
    <x v="6"/>
    <x v="0"/>
    <s v="20L"/>
    <n v="26"/>
    <n v="73463"/>
    <n v="0"/>
    <n v="28"/>
    <n v="2444848.64"/>
    <x v="0"/>
    <x v="0"/>
    <d v="2025-02-07T00:00:00"/>
    <d v="2025-02-11T00:00:00"/>
    <n v="4"/>
    <x v="0"/>
  </r>
  <r>
    <s v="2025-02-20"/>
    <s v="SUP007"/>
    <x v="5"/>
    <x v="7"/>
    <s v="750W"/>
    <n v="38"/>
    <n v="2822"/>
    <n v="12"/>
    <n v="12"/>
    <n v="105691.8"/>
    <x v="1"/>
    <x v="2"/>
    <d v="2025-02-28T00:00:00"/>
    <d v="2025-03-05T00:00:00"/>
    <n v="5"/>
    <x v="0"/>
  </r>
  <r>
    <s v="2025-06-13"/>
    <s v="SUP009"/>
    <x v="8"/>
    <x v="5"/>
    <s v="Top Load"/>
    <n v="15"/>
    <n v="73701"/>
    <n v="5"/>
    <n v="28"/>
    <n v="1344306.24"/>
    <x v="3"/>
    <x v="1"/>
    <d v="2025-06-22T00:00:00"/>
    <d v="2025-07-03T00:00:00"/>
    <n v="11"/>
    <x v="0"/>
  </r>
  <r>
    <s v="2025-03-23"/>
    <s v="SUP004"/>
    <x v="1"/>
    <x v="0"/>
    <s v="20L"/>
    <n v="5"/>
    <n v="30942"/>
    <n v="5"/>
    <n v="18"/>
    <n v="173429.91"/>
    <x v="1"/>
    <x v="3"/>
    <d v="2025-04-01T00:00:00"/>
    <d v="2025-04-07T00:00:00"/>
    <n v="6"/>
    <x v="0"/>
  </r>
  <r>
    <s v="2025-04-11"/>
    <s v="SUP006"/>
    <x v="0"/>
    <x v="2"/>
    <s v="55 4K"/>
    <n v="10"/>
    <n v="57572"/>
    <n v="10"/>
    <n v="18"/>
    <n v="611414.64"/>
    <x v="1"/>
    <x v="2"/>
    <d v="2025-04-21T00:00:00"/>
    <d v="2025-04-25T00:00:00"/>
    <n v="4"/>
    <x v="0"/>
  </r>
  <r>
    <s v="2025-06-01"/>
    <s v="SUP005"/>
    <x v="4"/>
    <x v="7"/>
    <s v="750W"/>
    <n v="29"/>
    <n v="36703"/>
    <n v="12"/>
    <n v="12"/>
    <n v="1049059.83"/>
    <x v="1"/>
    <x v="0"/>
    <d v="2025-06-11T00:00:00"/>
    <d v="2025-06-23T00:00:00"/>
    <n v="12"/>
    <x v="0"/>
  </r>
  <r>
    <s v="2025-01-02"/>
    <s v="SUP002"/>
    <x v="2"/>
    <x v="5"/>
    <s v="Front Load"/>
    <n v="15"/>
    <n v="19158"/>
    <n v="10"/>
    <n v="12"/>
    <n v="289668.96000000002"/>
    <x v="1"/>
    <x v="2"/>
    <d v="2025-01-05T00:00:00"/>
    <d v="2025-01-09T00:00:00"/>
    <n v="4"/>
    <x v="0"/>
  </r>
  <r>
    <s v="2025-06-14"/>
    <s v="SUP007"/>
    <x v="5"/>
    <x v="5"/>
    <s v="Front Load"/>
    <n v="21"/>
    <n v="62284"/>
    <n v="10"/>
    <n v="18"/>
    <n v="1389057.77"/>
    <x v="1"/>
    <x v="1"/>
    <d v="2025-06-18T00:00:00"/>
    <d v="2025-06-30T00:00:00"/>
    <n v="12"/>
    <x v="0"/>
  </r>
  <r>
    <s v="2025-05-15"/>
    <s v="SUP006"/>
    <x v="0"/>
    <x v="2"/>
    <s v="32 LED"/>
    <n v="30"/>
    <n v="49548"/>
    <n v="10"/>
    <n v="28"/>
    <n v="1712378.8799999999"/>
    <x v="3"/>
    <x v="0"/>
    <d v="2025-05-19T00:00:00"/>
    <d v="2025-05-24T00:00:00"/>
    <n v="5"/>
    <x v="0"/>
  </r>
  <r>
    <s v="2025-05-25"/>
    <s v="SUP007"/>
    <x v="5"/>
    <x v="2"/>
    <s v="55 4K"/>
    <n v="37"/>
    <n v="81031"/>
    <n v="0"/>
    <n v="18"/>
    <n v="3537813.46"/>
    <x v="0"/>
    <x v="0"/>
    <d v="2025-05-29T00:00:00"/>
    <d v="2025-06-04T00:00:00"/>
    <n v="6"/>
    <x v="0"/>
  </r>
  <r>
    <s v="2025-05-31"/>
    <s v="SUP006"/>
    <x v="0"/>
    <x v="2"/>
    <s v="43 Smart"/>
    <n v="33"/>
    <n v="39760"/>
    <n v="10"/>
    <n v="28"/>
    <n v="1511516.1599999999"/>
    <x v="2"/>
    <x v="2"/>
    <d v="2025-06-08T00:00:00"/>
    <d v="2025-06-20T00:00:00"/>
    <n v="12"/>
    <x v="0"/>
  </r>
  <r>
    <s v="2025-01-21"/>
    <s v="SUP002"/>
    <x v="2"/>
    <x v="3"/>
    <s v="1200mm"/>
    <n v="30"/>
    <n v="43436"/>
    <n v="12"/>
    <n v="18"/>
    <n v="1353118.27"/>
    <x v="3"/>
    <x v="1"/>
    <d v="2025-01-24T00:00:00"/>
    <d v="2025-02-07T00:00:00"/>
    <n v="14"/>
    <x v="0"/>
  </r>
  <r>
    <s v="2025-03-04"/>
    <s v="SUP001"/>
    <x v="6"/>
    <x v="5"/>
    <s v="Front Load"/>
    <n v="33"/>
    <n v="65232"/>
    <n v="12"/>
    <n v="12"/>
    <n v="2121657.75"/>
    <x v="0"/>
    <x v="3"/>
    <d v="2025-03-07T00:00:00"/>
    <d v="2025-03-07T00:00:00"/>
    <n v="0"/>
    <x v="2"/>
  </r>
  <r>
    <s v="2025-06-08"/>
    <s v="SUP009"/>
    <x v="8"/>
    <x v="7"/>
    <s v="750W"/>
    <n v="34"/>
    <n v="6960"/>
    <n v="10"/>
    <n v="28"/>
    <n v="272609.28000000003"/>
    <x v="2"/>
    <x v="3"/>
    <d v="2025-06-13T00:00:00"/>
    <d v="2025-06-17T00:00:00"/>
    <n v="4"/>
    <x v="0"/>
  </r>
  <r>
    <s v="2025-03-14"/>
    <s v="SUP006"/>
    <x v="0"/>
    <x v="4"/>
    <s v="1.5 Ton Inverter"/>
    <n v="32"/>
    <n v="43000"/>
    <n v="0"/>
    <n v="12"/>
    <n v="1541120"/>
    <x v="2"/>
    <x v="3"/>
    <d v="2025-03-20T00:00:00"/>
    <d v="2025-04-01T00:00:00"/>
    <n v="12"/>
    <x v="0"/>
  </r>
  <r>
    <s v="2025-04-04"/>
    <s v="SUP008"/>
    <x v="7"/>
    <x v="1"/>
    <s v="35L"/>
    <n v="17"/>
    <n v="48166"/>
    <n v="5"/>
    <n v="12"/>
    <n v="871226.61"/>
    <x v="0"/>
    <x v="3"/>
    <d v="2025-04-13T00:00:00"/>
    <d v="2025-04-23T00:00:00"/>
    <n v="10"/>
    <x v="0"/>
  </r>
  <r>
    <s v="2025-04-14"/>
    <s v="SUP001"/>
    <x v="6"/>
    <x v="7"/>
    <s v="500W"/>
    <n v="7"/>
    <n v="11984"/>
    <n v="10"/>
    <n v="12"/>
    <n v="84559.1"/>
    <x v="0"/>
    <x v="2"/>
    <d v="2025-04-20T00:00:00"/>
    <d v="2025-04-28T00:00:00"/>
    <n v="8"/>
    <x v="0"/>
  </r>
  <r>
    <s v="2025-03-27"/>
    <s v="SUP006"/>
    <x v="0"/>
    <x v="6"/>
    <s v="190L"/>
    <n v="10"/>
    <n v="4159"/>
    <n v="5"/>
    <n v="12"/>
    <n v="44251.76"/>
    <x v="2"/>
    <x v="0"/>
    <d v="2025-04-02T00:00:00"/>
    <d v="2025-04-06T00:00:00"/>
    <n v="4"/>
    <x v="0"/>
  </r>
  <r>
    <s v="2025-04-20"/>
    <s v="SUP008"/>
    <x v="7"/>
    <x v="4"/>
    <s v="2 Ton"/>
    <n v="6"/>
    <n v="80014"/>
    <n v="0"/>
    <n v="18"/>
    <n v="566499.12"/>
    <x v="0"/>
    <x v="3"/>
    <d v="2025-04-30T00:00:00"/>
    <d v="2025-05-09T00:00:00"/>
    <n v="9"/>
    <x v="0"/>
  </r>
  <r>
    <s v="2025-03-12"/>
    <s v="SUP001"/>
    <x v="6"/>
    <x v="6"/>
    <s v="190L"/>
    <n v="5"/>
    <n v="15150"/>
    <n v="0"/>
    <n v="28"/>
    <n v="96960"/>
    <x v="3"/>
    <x v="3"/>
    <d v="2025-03-21T00:00:00"/>
    <d v="2025-03-31T00:00:00"/>
    <n v="10"/>
    <x v="0"/>
  </r>
  <r>
    <s v="2025-02-12"/>
    <s v="SUP009"/>
    <x v="8"/>
    <x v="0"/>
    <s v="28L"/>
    <n v="25"/>
    <n v="38403"/>
    <n v="5"/>
    <n v="28"/>
    <n v="1167451.2"/>
    <x v="2"/>
    <x v="0"/>
    <d v="2025-02-20T00:00:00"/>
    <d v="2025-02-21T00:00:00"/>
    <n v="1"/>
    <x v="1"/>
  </r>
  <r>
    <s v="2025-05-24"/>
    <s v="SUP002"/>
    <x v="2"/>
    <x v="4"/>
    <s v="2 Ton"/>
    <n v="36"/>
    <n v="64242"/>
    <n v="0"/>
    <n v="28"/>
    <n v="2960271.3599999999"/>
    <x v="0"/>
    <x v="1"/>
    <d v="2025-05-28T00:00:00"/>
    <d v="2025-06-03T00:00:00"/>
    <n v="6"/>
    <x v="0"/>
  </r>
  <r>
    <s v="2025-03-11"/>
    <s v="SUP009"/>
    <x v="8"/>
    <x v="6"/>
    <s v="260L"/>
    <n v="13"/>
    <n v="35185"/>
    <n v="0"/>
    <n v="28"/>
    <n v="585478.40000000002"/>
    <x v="2"/>
    <x v="0"/>
    <d v="2025-03-19T00:00:00"/>
    <d v="2025-03-22T00:00:00"/>
    <n v="3"/>
    <x v="1"/>
  </r>
  <r>
    <s v="2025-01-30"/>
    <s v="SUP001"/>
    <x v="6"/>
    <x v="6"/>
    <s v="260L"/>
    <n v="25"/>
    <n v="32728"/>
    <n v="12"/>
    <n v="28"/>
    <n v="921620.47999999998"/>
    <x v="0"/>
    <x v="1"/>
    <d v="2025-02-02T00:00:00"/>
    <d v="2025-02-03T00:00:00"/>
    <n v="1"/>
    <x v="1"/>
  </r>
  <r>
    <s v="2025-02-28"/>
    <s v="SUP008"/>
    <x v="7"/>
    <x v="4"/>
    <s v="1 Ton Split"/>
    <n v="13"/>
    <n v="8636"/>
    <n v="10"/>
    <n v="28"/>
    <n v="129332.74"/>
    <x v="0"/>
    <x v="2"/>
    <d v="2025-03-09T00:00:00"/>
    <d v="2025-03-15T00:00:00"/>
    <n v="6"/>
    <x v="0"/>
  </r>
  <r>
    <s v="2025-05-04"/>
    <s v="SUP008"/>
    <x v="7"/>
    <x v="1"/>
    <s v="35L"/>
    <n v="9"/>
    <n v="6313"/>
    <n v="10"/>
    <n v="12"/>
    <n v="57271.54"/>
    <x v="1"/>
    <x v="3"/>
    <d v="2025-05-14T00:00:00"/>
    <d v="2025-05-16T00:00:00"/>
    <n v="2"/>
    <x v="1"/>
  </r>
  <r>
    <s v="2025-01-25"/>
    <s v="SUP004"/>
    <x v="1"/>
    <x v="5"/>
    <s v="Front Load"/>
    <n v="4"/>
    <n v="30812"/>
    <n v="0"/>
    <n v="18"/>
    <n v="145432.64000000001"/>
    <x v="0"/>
    <x v="1"/>
    <d v="2025-02-04T00:00:00"/>
    <d v="2025-02-06T00:00:00"/>
    <n v="2"/>
    <x v="1"/>
  </r>
  <r>
    <s v="2025-03-22"/>
    <s v="SUP008"/>
    <x v="7"/>
    <x v="1"/>
    <s v="35L"/>
    <n v="15"/>
    <n v="35181"/>
    <n v="5"/>
    <n v="28"/>
    <n v="641701.43999999994"/>
    <x v="2"/>
    <x v="1"/>
    <d v="2025-03-26T00:00:00"/>
    <d v="2025-03-31T00:00:00"/>
    <n v="5"/>
    <x v="0"/>
  </r>
  <r>
    <s v="2025-03-22"/>
    <s v="SUP002"/>
    <x v="2"/>
    <x v="4"/>
    <s v="1.5 Ton Inverter"/>
    <n v="20"/>
    <n v="53096"/>
    <n v="0"/>
    <n v="12"/>
    <n v="1189350.3999999999"/>
    <x v="2"/>
    <x v="1"/>
    <d v="2025-03-29T00:00:00"/>
    <d v="2025-04-05T00:00:00"/>
    <n v="7"/>
    <x v="0"/>
  </r>
  <r>
    <s v="2025-05-14"/>
    <s v="SUP003"/>
    <x v="3"/>
    <x v="6"/>
    <s v="190L"/>
    <n v="10"/>
    <n v="45488"/>
    <n v="12"/>
    <n v="28"/>
    <n v="512376.83"/>
    <x v="2"/>
    <x v="0"/>
    <d v="2025-05-20T00:00:00"/>
    <d v="2025-05-31T00:00:00"/>
    <n v="11"/>
    <x v="0"/>
  </r>
  <r>
    <s v="2025-03-10"/>
    <s v="SUP007"/>
    <x v="5"/>
    <x v="4"/>
    <s v="2 Ton"/>
    <n v="18"/>
    <n v="24943"/>
    <n v="10"/>
    <n v="18"/>
    <n v="476810.39"/>
    <x v="3"/>
    <x v="3"/>
    <d v="2025-03-14T00:00:00"/>
    <d v="2025-03-27T00:00:00"/>
    <n v="13"/>
    <x v="0"/>
  </r>
  <r>
    <s v="2025-04-13"/>
    <s v="SUP001"/>
    <x v="6"/>
    <x v="4"/>
    <s v="1 Ton Split"/>
    <n v="16"/>
    <n v="15869"/>
    <n v="0"/>
    <n v="12"/>
    <n v="284372.47999999998"/>
    <x v="1"/>
    <x v="2"/>
    <d v="2025-04-21T00:00:00"/>
    <d v="2025-05-02T00:00:00"/>
    <n v="11"/>
    <x v="0"/>
  </r>
  <r>
    <s v="2025-01-12"/>
    <s v="SUP009"/>
    <x v="8"/>
    <x v="7"/>
    <s v="750W"/>
    <n v="32"/>
    <n v="47755"/>
    <n v="5"/>
    <n v="18"/>
    <n v="1713067.36"/>
    <x v="3"/>
    <x v="3"/>
    <d v="2025-01-15T00:00:00"/>
    <d v="2025-01-28T00:00:00"/>
    <n v="13"/>
    <x v="0"/>
  </r>
  <r>
    <s v="2025-03-17"/>
    <s v="SUP003"/>
    <x v="3"/>
    <x v="2"/>
    <s v="32 LED"/>
    <n v="15"/>
    <n v="7661"/>
    <n v="5"/>
    <n v="12"/>
    <n v="122269.56"/>
    <x v="1"/>
    <x v="2"/>
    <d v="2025-03-20T00:00:00"/>
    <d v="2025-03-23T00:00:00"/>
    <n v="3"/>
    <x v="1"/>
  </r>
  <r>
    <s v="2025-02-07"/>
    <s v="SUP009"/>
    <x v="8"/>
    <x v="6"/>
    <s v="190L"/>
    <n v="33"/>
    <n v="24265"/>
    <n v="12"/>
    <n v="12"/>
    <n v="789214.27"/>
    <x v="1"/>
    <x v="3"/>
    <d v="2025-02-15T00:00:00"/>
    <d v="2025-02-23T00:00:00"/>
    <n v="8"/>
    <x v="0"/>
  </r>
  <r>
    <s v="2025-02-25"/>
    <s v="SUP008"/>
    <x v="7"/>
    <x v="2"/>
    <s v="32 LED"/>
    <n v="32"/>
    <n v="5238"/>
    <n v="10"/>
    <n v="12"/>
    <n v="168956.93"/>
    <x v="3"/>
    <x v="0"/>
    <d v="2025-03-03T00:00:00"/>
    <d v="2025-03-06T00:00:00"/>
    <n v="3"/>
    <x v="1"/>
  </r>
  <r>
    <s v="2025-02-05"/>
    <s v="SUP009"/>
    <x v="8"/>
    <x v="6"/>
    <s v="260L"/>
    <n v="6"/>
    <n v="23192"/>
    <n v="12"/>
    <n v="18"/>
    <n v="144495.44"/>
    <x v="1"/>
    <x v="1"/>
    <d v="2025-02-14T00:00:00"/>
    <d v="2025-02-16T00:00:00"/>
    <n v="2"/>
    <x v="1"/>
  </r>
  <r>
    <s v="2025-01-21"/>
    <s v="SUP002"/>
    <x v="2"/>
    <x v="6"/>
    <s v="260L"/>
    <n v="37"/>
    <n v="57583"/>
    <n v="0"/>
    <n v="28"/>
    <n v="2727130.88"/>
    <x v="3"/>
    <x v="3"/>
    <d v="2025-01-24T00:00:00"/>
    <d v="2025-01-30T00:00:00"/>
    <n v="6"/>
    <x v="0"/>
  </r>
  <r>
    <s v="2025-02-13"/>
    <s v="SUP001"/>
    <x v="6"/>
    <x v="5"/>
    <s v="Front Load"/>
    <n v="38"/>
    <n v="80271"/>
    <n v="5"/>
    <n v="12"/>
    <n v="3245517.07"/>
    <x v="0"/>
    <x v="0"/>
    <d v="2025-02-16T00:00:00"/>
    <d v="2025-02-20T00:00:00"/>
    <n v="4"/>
    <x v="0"/>
  </r>
  <r>
    <s v="2025-03-05"/>
    <s v="SUP005"/>
    <x v="4"/>
    <x v="5"/>
    <s v="Top Load"/>
    <n v="2"/>
    <n v="40596"/>
    <n v="12"/>
    <n v="28"/>
    <n v="91454.67"/>
    <x v="0"/>
    <x v="2"/>
    <d v="2025-03-10T00:00:00"/>
    <d v="2025-03-21T00:00:00"/>
    <n v="11"/>
    <x v="0"/>
  </r>
  <r>
    <s v="2025-05-28"/>
    <s v="SUP001"/>
    <x v="6"/>
    <x v="5"/>
    <s v="Front Load"/>
    <n v="11"/>
    <n v="57150"/>
    <n v="5"/>
    <n v="18"/>
    <n v="704716.65"/>
    <x v="3"/>
    <x v="1"/>
    <d v="2025-05-31T00:00:00"/>
    <d v="2025-06-05T00:00:00"/>
    <n v="5"/>
    <x v="0"/>
  </r>
  <r>
    <s v="2025-03-14"/>
    <s v="SUP006"/>
    <x v="0"/>
    <x v="4"/>
    <s v="1.5 Ton Inverter"/>
    <n v="17"/>
    <n v="52251"/>
    <n v="10"/>
    <n v="18"/>
    <n v="943339.55"/>
    <x v="0"/>
    <x v="0"/>
    <d v="2025-03-18T00:00:00"/>
    <d v="2025-03-29T00:00:00"/>
    <n v="11"/>
    <x v="0"/>
  </r>
  <r>
    <s v="2025-02-22"/>
    <s v="SUP009"/>
    <x v="8"/>
    <x v="5"/>
    <s v="Top Load"/>
    <n v="26"/>
    <n v="8433"/>
    <n v="0"/>
    <n v="18"/>
    <n v="258724.44"/>
    <x v="0"/>
    <x v="1"/>
    <d v="2025-02-27T00:00:00"/>
    <d v="2025-02-27T00:00:00"/>
    <n v="0"/>
    <x v="2"/>
  </r>
  <r>
    <s v="2025-05-30"/>
    <s v="SUP002"/>
    <x v="2"/>
    <x v="4"/>
    <s v="1.5 Ton Inverter"/>
    <n v="21"/>
    <n v="28585"/>
    <n v="0"/>
    <n v="12"/>
    <n v="672319.2"/>
    <x v="1"/>
    <x v="1"/>
    <d v="2025-06-07T00:00:00"/>
    <d v="2025-06-10T00:00:00"/>
    <n v="3"/>
    <x v="1"/>
  </r>
  <r>
    <s v="2025-06-06"/>
    <s v="SUP001"/>
    <x v="6"/>
    <x v="2"/>
    <s v="32 LED"/>
    <n v="32"/>
    <n v="58907"/>
    <n v="5"/>
    <n v="12"/>
    <n v="2005665.54"/>
    <x v="3"/>
    <x v="0"/>
    <d v="2025-06-10T00:00:00"/>
    <d v="2025-06-18T00:00:00"/>
    <n v="8"/>
    <x v="0"/>
  </r>
  <r>
    <s v="2025-06-18"/>
    <s v="SUP008"/>
    <x v="7"/>
    <x v="7"/>
    <s v="750W"/>
    <n v="3"/>
    <n v="41359"/>
    <n v="12"/>
    <n v="12"/>
    <n v="122290.29"/>
    <x v="0"/>
    <x v="0"/>
    <d v="2025-06-23T00:00:00"/>
    <d v="2025-07-01T00:00:00"/>
    <n v="8"/>
    <x v="0"/>
  </r>
  <r>
    <s v="2025-01-29"/>
    <s v="SUP005"/>
    <x v="4"/>
    <x v="4"/>
    <s v="1.5 Ton Inverter"/>
    <n v="7"/>
    <n v="75490"/>
    <n v="10"/>
    <n v="28"/>
    <n v="608751.35999999999"/>
    <x v="3"/>
    <x v="0"/>
    <d v="2025-02-02T00:00:00"/>
    <d v="2025-02-08T00:00:00"/>
    <n v="6"/>
    <x v="0"/>
  </r>
  <r>
    <s v="2025-05-22"/>
    <s v="SUP003"/>
    <x v="3"/>
    <x v="0"/>
    <s v="28L"/>
    <n v="26"/>
    <n v="4220"/>
    <n v="5"/>
    <n v="28"/>
    <n v="133419.51999999999"/>
    <x v="3"/>
    <x v="3"/>
    <d v="2025-05-29T00:00:00"/>
    <d v="2025-06-01T00:00:00"/>
    <n v="3"/>
    <x v="1"/>
  </r>
  <r>
    <s v="2025-04-05"/>
    <s v="SUP005"/>
    <x v="4"/>
    <x v="3"/>
    <s v="1200mm"/>
    <n v="29"/>
    <n v="82323"/>
    <n v="0"/>
    <n v="18"/>
    <n v="2817093.06"/>
    <x v="1"/>
    <x v="2"/>
    <d v="2025-04-08T00:00:00"/>
    <d v="2025-04-12T00:00:00"/>
    <n v="4"/>
    <x v="0"/>
  </r>
  <r>
    <s v="2025-05-19"/>
    <s v="SUP007"/>
    <x v="5"/>
    <x v="6"/>
    <s v="190L"/>
    <n v="35"/>
    <n v="34499"/>
    <n v="5"/>
    <n v="18"/>
    <n v="1353568.26"/>
    <x v="0"/>
    <x v="3"/>
    <d v="2025-05-25T00:00:00"/>
    <d v="2025-06-06T00:00:00"/>
    <n v="12"/>
    <x v="0"/>
  </r>
  <r>
    <s v="2025-03-09"/>
    <s v="SUP009"/>
    <x v="8"/>
    <x v="5"/>
    <s v="Top Load"/>
    <n v="16"/>
    <n v="34918"/>
    <n v="5"/>
    <n v="28"/>
    <n v="679364.61"/>
    <x v="1"/>
    <x v="0"/>
    <d v="2025-03-13T00:00:00"/>
    <d v="2025-03-20T00:00:00"/>
    <n v="7"/>
    <x v="0"/>
  </r>
  <r>
    <s v="2025-01-18"/>
    <s v="SUP002"/>
    <x v="2"/>
    <x v="4"/>
    <s v="2 Ton"/>
    <n v="10"/>
    <n v="11642"/>
    <n v="12"/>
    <n v="28"/>
    <n v="131135.49"/>
    <x v="1"/>
    <x v="3"/>
    <d v="2025-01-26T00:00:00"/>
    <d v="2025-01-30T00:00:00"/>
    <n v="4"/>
    <x v="0"/>
  </r>
  <r>
    <s v="2025-04-04"/>
    <s v="SUP006"/>
    <x v="0"/>
    <x v="4"/>
    <s v="1 Ton Split"/>
    <n v="19"/>
    <n v="22141"/>
    <n v="10"/>
    <n v="28"/>
    <n v="484622.21"/>
    <x v="3"/>
    <x v="3"/>
    <d v="2025-04-08T00:00:00"/>
    <d v="2025-04-12T00:00:00"/>
    <n v="4"/>
    <x v="0"/>
  </r>
  <r>
    <s v="2025-06-13"/>
    <s v="SUP005"/>
    <x v="4"/>
    <x v="0"/>
    <s v="28L"/>
    <n v="23"/>
    <n v="47844"/>
    <n v="10"/>
    <n v="18"/>
    <n v="1168637.54"/>
    <x v="0"/>
    <x v="2"/>
    <d v="2025-06-18T00:00:00"/>
    <d v="2025-06-23T00:00:00"/>
    <n v="5"/>
    <x v="0"/>
  </r>
  <r>
    <s v="2025-02-16"/>
    <s v="SUP005"/>
    <x v="4"/>
    <x v="5"/>
    <s v="Front Load"/>
    <n v="6"/>
    <n v="60851"/>
    <n v="12"/>
    <n v="28"/>
    <n v="411255.4"/>
    <x v="1"/>
    <x v="0"/>
    <d v="2025-02-22T00:00:00"/>
    <d v="2025-03-06T00:00:00"/>
    <n v="12"/>
    <x v="0"/>
  </r>
  <r>
    <s v="2025-05-18"/>
    <s v="SUP005"/>
    <x v="4"/>
    <x v="0"/>
    <s v="20L"/>
    <n v="36"/>
    <n v="16691"/>
    <n v="5"/>
    <n v="18"/>
    <n v="673582"/>
    <x v="0"/>
    <x v="3"/>
    <d v="2025-05-24T00:00:00"/>
    <d v="2025-06-08T00:00:00"/>
    <n v="15"/>
    <x v="0"/>
  </r>
  <r>
    <s v="2025-01-09"/>
    <s v="SUP003"/>
    <x v="3"/>
    <x v="0"/>
    <s v="28L"/>
    <n v="31"/>
    <n v="20303"/>
    <n v="12"/>
    <n v="12"/>
    <n v="620329.74"/>
    <x v="1"/>
    <x v="0"/>
    <d v="2025-01-19T00:00:00"/>
    <d v="2025-02-03T00:00:00"/>
    <n v="15"/>
    <x v="0"/>
  </r>
  <r>
    <s v="2025-06-30"/>
    <s v="SUP001"/>
    <x v="6"/>
    <x v="6"/>
    <s v="190L"/>
    <n v="32"/>
    <n v="15203"/>
    <n v="12"/>
    <n v="18"/>
    <n v="505177.45"/>
    <x v="3"/>
    <x v="2"/>
    <d v="2025-07-09T00:00:00"/>
    <d v="2025-07-10T00:00:00"/>
    <n v="1"/>
    <x v="1"/>
  </r>
  <r>
    <s v="2025-03-04"/>
    <s v="SUP005"/>
    <x v="4"/>
    <x v="0"/>
    <s v="28L"/>
    <n v="3"/>
    <n v="31408"/>
    <n v="10"/>
    <n v="18"/>
    <n v="100065.89"/>
    <x v="1"/>
    <x v="3"/>
    <d v="2025-03-11T00:00:00"/>
    <d v="2025-03-11T00:00:00"/>
    <n v="0"/>
    <x v="2"/>
  </r>
  <r>
    <s v="2025-02-06"/>
    <s v="SUP002"/>
    <x v="2"/>
    <x v="2"/>
    <s v="32 LED"/>
    <n v="21"/>
    <n v="75343"/>
    <n v="12"/>
    <n v="28"/>
    <n v="1782193.46"/>
    <x v="0"/>
    <x v="1"/>
    <d v="2025-02-14T00:00:00"/>
    <d v="2025-02-23T00:00:00"/>
    <n v="9"/>
    <x v="0"/>
  </r>
  <r>
    <s v="2025-06-22"/>
    <s v="SUP004"/>
    <x v="1"/>
    <x v="5"/>
    <s v="Top Load"/>
    <n v="28"/>
    <n v="13096"/>
    <n v="12"/>
    <n v="18"/>
    <n v="380768.82"/>
    <x v="1"/>
    <x v="1"/>
    <d v="2025-06-27T00:00:00"/>
    <d v="2025-07-06T00:00:00"/>
    <n v="9"/>
    <x v="0"/>
  </r>
  <r>
    <s v="2025-04-17"/>
    <s v="SUP004"/>
    <x v="1"/>
    <x v="3"/>
    <s v="1200mm"/>
    <n v="4"/>
    <n v="50320"/>
    <n v="0"/>
    <n v="12"/>
    <n v="225433.60000000001"/>
    <x v="2"/>
    <x v="1"/>
    <d v="2025-04-26T00:00:00"/>
    <d v="2025-05-06T00:00:00"/>
    <n v="10"/>
    <x v="0"/>
  </r>
  <r>
    <s v="2025-06-22"/>
    <s v="SUP008"/>
    <x v="7"/>
    <x v="0"/>
    <s v="20L"/>
    <n v="37"/>
    <n v="46803"/>
    <n v="10"/>
    <n v="28"/>
    <n v="1994931.07"/>
    <x v="3"/>
    <x v="0"/>
    <d v="2025-06-29T00:00:00"/>
    <d v="2025-07-03T00:00:00"/>
    <n v="4"/>
    <x v="0"/>
  </r>
  <r>
    <s v="2025-04-29"/>
    <s v="SUP001"/>
    <x v="6"/>
    <x v="2"/>
    <s v="43 Smart"/>
    <n v="16"/>
    <n v="21659"/>
    <n v="5"/>
    <n v="18"/>
    <n v="388475.82"/>
    <x v="1"/>
    <x v="1"/>
    <d v="2025-05-06T00:00:00"/>
    <d v="2025-05-10T00:00:00"/>
    <n v="4"/>
    <x v="0"/>
  </r>
  <r>
    <s v="2025-05-15"/>
    <s v="SUP001"/>
    <x v="6"/>
    <x v="0"/>
    <s v="28L"/>
    <n v="3"/>
    <n v="37455"/>
    <n v="12"/>
    <n v="18"/>
    <n v="116679.82"/>
    <x v="2"/>
    <x v="2"/>
    <d v="2025-05-25T00:00:00"/>
    <d v="2025-06-07T00:00:00"/>
    <n v="13"/>
    <x v="0"/>
  </r>
  <r>
    <s v="2025-01-17"/>
    <s v="SUP007"/>
    <x v="5"/>
    <x v="4"/>
    <s v="1 Ton Split"/>
    <n v="3"/>
    <n v="81306"/>
    <n v="10"/>
    <n v="12"/>
    <n v="245869.34"/>
    <x v="0"/>
    <x v="3"/>
    <d v="2025-01-24T00:00:00"/>
    <d v="2025-01-26T00:00:00"/>
    <n v="2"/>
    <x v="1"/>
  </r>
  <r>
    <s v="2025-04-23"/>
    <s v="SUP008"/>
    <x v="7"/>
    <x v="6"/>
    <s v="190L"/>
    <n v="27"/>
    <n v="41491"/>
    <n v="10"/>
    <n v="12"/>
    <n v="1129219.06"/>
    <x v="3"/>
    <x v="2"/>
    <d v="2025-04-28T00:00:00"/>
    <d v="2025-05-13T00:00:00"/>
    <n v="15"/>
    <x v="0"/>
  </r>
  <r>
    <s v="2025-01-11"/>
    <s v="SUP008"/>
    <x v="7"/>
    <x v="3"/>
    <s v="1200mm"/>
    <n v="34"/>
    <n v="38813"/>
    <n v="10"/>
    <n v="12"/>
    <n v="1330199.1399999999"/>
    <x v="2"/>
    <x v="2"/>
    <d v="2025-01-18T00:00:00"/>
    <d v="2025-01-26T00:00:00"/>
    <n v="8"/>
    <x v="0"/>
  </r>
  <r>
    <s v="2025-03-03"/>
    <s v="SUP009"/>
    <x v="8"/>
    <x v="1"/>
    <s v="35L"/>
    <n v="15"/>
    <n v="13495"/>
    <n v="10"/>
    <n v="12"/>
    <n v="204044.4"/>
    <x v="0"/>
    <x v="1"/>
    <d v="2025-03-13T00:00:00"/>
    <d v="2025-03-25T00:00:00"/>
    <n v="12"/>
    <x v="0"/>
  </r>
  <r>
    <s v="2025-06-19"/>
    <s v="SUP002"/>
    <x v="2"/>
    <x v="3"/>
    <s v="1200mm"/>
    <n v="18"/>
    <n v="40194"/>
    <n v="0"/>
    <n v="28"/>
    <n v="926069.76000000001"/>
    <x v="1"/>
    <x v="2"/>
    <d v="2025-06-28T00:00:00"/>
    <d v="2025-06-29T00:00:00"/>
    <n v="1"/>
    <x v="1"/>
  </r>
  <r>
    <s v="2025-01-23"/>
    <s v="SUP009"/>
    <x v="8"/>
    <x v="3"/>
    <s v="1200mm"/>
    <n v="21"/>
    <n v="59377"/>
    <n v="0"/>
    <n v="12"/>
    <n v="1396547.04"/>
    <x v="2"/>
    <x v="1"/>
    <d v="2025-01-30T00:00:00"/>
    <d v="2025-02-13T00:00:00"/>
    <n v="14"/>
    <x v="0"/>
  </r>
  <r>
    <s v="2025-05-15"/>
    <s v="SUP003"/>
    <x v="3"/>
    <x v="6"/>
    <s v="190L"/>
    <n v="22"/>
    <n v="68011"/>
    <n v="12"/>
    <n v="18"/>
    <n v="1553697.69"/>
    <x v="3"/>
    <x v="1"/>
    <d v="2025-05-19T00:00:00"/>
    <d v="2025-05-26T00:00:00"/>
    <n v="7"/>
    <x v="0"/>
  </r>
  <r>
    <s v="2025-02-14"/>
    <s v="SUP003"/>
    <x v="3"/>
    <x v="5"/>
    <s v="Top Load"/>
    <n v="35"/>
    <n v="23124"/>
    <n v="10"/>
    <n v="28"/>
    <n v="932359.68000000005"/>
    <x v="1"/>
    <x v="2"/>
    <d v="2025-02-20T00:00:00"/>
    <d v="2025-03-04T00:00:00"/>
    <n v="12"/>
    <x v="0"/>
  </r>
  <r>
    <s v="2025-02-11"/>
    <s v="SUP009"/>
    <x v="8"/>
    <x v="2"/>
    <s v="43 Smart"/>
    <n v="10"/>
    <n v="13070"/>
    <n v="5"/>
    <n v="28"/>
    <n v="158931.20000000001"/>
    <x v="3"/>
    <x v="3"/>
    <d v="2025-02-14T00:00:00"/>
    <d v="2025-02-25T00:00:00"/>
    <n v="11"/>
    <x v="0"/>
  </r>
  <r>
    <s v="2025-03-23"/>
    <s v="SUP009"/>
    <x v="8"/>
    <x v="2"/>
    <s v="55 4K"/>
    <n v="7"/>
    <n v="60974"/>
    <n v="0"/>
    <n v="28"/>
    <n v="546327.04000000004"/>
    <x v="0"/>
    <x v="1"/>
    <d v="2025-03-31T00:00:00"/>
    <d v="2025-03-31T00:00:00"/>
    <n v="0"/>
    <x v="2"/>
  </r>
  <r>
    <s v="2025-01-19"/>
    <s v="SUP008"/>
    <x v="7"/>
    <x v="5"/>
    <s v="Front Load"/>
    <n v="3"/>
    <n v="3153"/>
    <n v="0"/>
    <n v="12"/>
    <n v="10594.08"/>
    <x v="3"/>
    <x v="0"/>
    <d v="2025-01-26T00:00:00"/>
    <d v="2025-02-07T00:00:00"/>
    <n v="12"/>
    <x v="0"/>
  </r>
  <r>
    <s v="2025-05-11"/>
    <s v="SUP006"/>
    <x v="0"/>
    <x v="3"/>
    <s v="1200mm"/>
    <n v="10"/>
    <n v="82693"/>
    <n v="10"/>
    <n v="28"/>
    <n v="952623.36"/>
    <x v="1"/>
    <x v="1"/>
    <d v="2025-05-19T00:00:00"/>
    <d v="2025-06-02T00:00:00"/>
    <n v="14"/>
    <x v="0"/>
  </r>
  <r>
    <s v="2025-03-03"/>
    <s v="SUP009"/>
    <x v="8"/>
    <x v="2"/>
    <s v="32 LED"/>
    <n v="12"/>
    <n v="77025"/>
    <n v="5"/>
    <n v="28"/>
    <n v="1123948.8"/>
    <x v="1"/>
    <x v="0"/>
    <d v="2025-03-06T00:00:00"/>
    <d v="2025-03-19T00:00:00"/>
    <n v="13"/>
    <x v="0"/>
  </r>
  <r>
    <s v="2025-06-07"/>
    <s v="SUP007"/>
    <x v="5"/>
    <x v="7"/>
    <s v="750W"/>
    <n v="16"/>
    <n v="21563"/>
    <n v="5"/>
    <n v="28"/>
    <n v="419529.73"/>
    <x v="0"/>
    <x v="1"/>
    <d v="2025-06-10T00:00:00"/>
    <d v="2025-06-20T00:00:00"/>
    <n v="10"/>
    <x v="0"/>
  </r>
  <r>
    <s v="2025-05-30"/>
    <s v="SUP002"/>
    <x v="2"/>
    <x v="4"/>
    <s v="1.5 Ton Inverter"/>
    <n v="4"/>
    <n v="28345"/>
    <n v="12"/>
    <n v="18"/>
    <n v="117733.79"/>
    <x v="1"/>
    <x v="1"/>
    <d v="2025-06-08T00:00:00"/>
    <d v="2025-06-16T00:00:00"/>
    <n v="8"/>
    <x v="0"/>
  </r>
  <r>
    <s v="2025-03-23"/>
    <s v="SUP003"/>
    <x v="3"/>
    <x v="1"/>
    <s v="35L"/>
    <n v="23"/>
    <n v="42942"/>
    <n v="0"/>
    <n v="12"/>
    <n v="1106185.92"/>
    <x v="3"/>
    <x v="2"/>
    <d v="2025-03-29T00:00:00"/>
    <d v="2025-04-05T00:00:00"/>
    <n v="7"/>
    <x v="0"/>
  </r>
  <r>
    <s v="2025-04-18"/>
    <s v="SUP009"/>
    <x v="8"/>
    <x v="1"/>
    <s v="35L"/>
    <n v="3"/>
    <n v="82840"/>
    <n v="0"/>
    <n v="18"/>
    <n v="293253.59999999998"/>
    <x v="2"/>
    <x v="3"/>
    <d v="2025-04-24T00:00:00"/>
    <d v="2025-05-08T00:00:00"/>
    <n v="14"/>
    <x v="0"/>
  </r>
  <r>
    <s v="2025-06-28"/>
    <s v="SUP002"/>
    <x v="2"/>
    <x v="5"/>
    <s v="Front Load"/>
    <n v="9"/>
    <n v="43808"/>
    <n v="12"/>
    <n v="12"/>
    <n v="388594.48"/>
    <x v="3"/>
    <x v="0"/>
    <d v="2025-07-03T00:00:00"/>
    <d v="2025-07-15T00:00:00"/>
    <n v="12"/>
    <x v="0"/>
  </r>
  <r>
    <s v="2025-01-07"/>
    <s v="SUP008"/>
    <x v="7"/>
    <x v="7"/>
    <s v="500W"/>
    <n v="3"/>
    <n v="7067"/>
    <n v="0"/>
    <n v="18"/>
    <n v="25017.18"/>
    <x v="1"/>
    <x v="1"/>
    <d v="2025-01-17T00:00:00"/>
    <d v="2025-01-31T00:00:00"/>
    <n v="14"/>
    <x v="0"/>
  </r>
  <r>
    <s v="2025-04-08"/>
    <s v="SUP003"/>
    <x v="3"/>
    <x v="4"/>
    <s v="1.5 Ton Inverter"/>
    <n v="30"/>
    <n v="32191"/>
    <n v="12"/>
    <n v="18"/>
    <n v="1002814.03"/>
    <x v="3"/>
    <x v="3"/>
    <d v="2025-04-12T00:00:00"/>
    <d v="2025-04-12T00:00:00"/>
    <n v="0"/>
    <x v="2"/>
  </r>
  <r>
    <s v="2025-01-21"/>
    <s v="SUP001"/>
    <x v="6"/>
    <x v="7"/>
    <s v="500W"/>
    <n v="21"/>
    <n v="50997"/>
    <n v="12"/>
    <n v="28"/>
    <n v="1206303.44"/>
    <x v="1"/>
    <x v="0"/>
    <d v="2025-01-30T00:00:00"/>
    <d v="2025-02-08T00:00:00"/>
    <n v="9"/>
    <x v="0"/>
  </r>
  <r>
    <s v="2025-02-13"/>
    <s v="SUP006"/>
    <x v="0"/>
    <x v="2"/>
    <s v="55 4K"/>
    <n v="24"/>
    <n v="64991"/>
    <n v="10"/>
    <n v="28"/>
    <n v="1796871.17"/>
    <x v="2"/>
    <x v="3"/>
    <d v="2025-02-20T00:00:00"/>
    <d v="2025-03-01T00:00:00"/>
    <n v="9"/>
    <x v="0"/>
  </r>
  <r>
    <s v="2025-05-11"/>
    <s v="SUP008"/>
    <x v="7"/>
    <x v="6"/>
    <s v="260L"/>
    <n v="14"/>
    <n v="54571"/>
    <n v="5"/>
    <n v="28"/>
    <n v="929016.7"/>
    <x v="2"/>
    <x v="2"/>
    <d v="2025-05-20T00:00:00"/>
    <d v="2025-05-29T00:00:00"/>
    <n v="9"/>
    <x v="0"/>
  </r>
  <r>
    <s v="2025-05-17"/>
    <s v="SUP005"/>
    <x v="4"/>
    <x v="7"/>
    <s v="750W"/>
    <n v="28"/>
    <n v="67085"/>
    <n v="10"/>
    <n v="28"/>
    <n v="2163893.7599999998"/>
    <x v="0"/>
    <x v="3"/>
    <d v="2025-05-20T00:00:00"/>
    <d v="2025-05-27T00:00:00"/>
    <n v="7"/>
    <x v="0"/>
  </r>
  <r>
    <s v="2025-06-27"/>
    <s v="SUP003"/>
    <x v="3"/>
    <x v="6"/>
    <s v="260L"/>
    <n v="11"/>
    <n v="44794"/>
    <n v="5"/>
    <n v="28"/>
    <n v="599164.54"/>
    <x v="0"/>
    <x v="2"/>
    <d v="2025-07-07T00:00:00"/>
    <d v="2025-07-12T00:00:00"/>
    <n v="5"/>
    <x v="0"/>
  </r>
  <r>
    <s v="2025-03-09"/>
    <s v="SUP008"/>
    <x v="7"/>
    <x v="2"/>
    <s v="43 Smart"/>
    <n v="13"/>
    <n v="53378"/>
    <n v="10"/>
    <n v="18"/>
    <n v="736936.67"/>
    <x v="3"/>
    <x v="0"/>
    <d v="2025-03-12T00:00:00"/>
    <d v="2025-03-22T00:00:00"/>
    <n v="10"/>
    <x v="0"/>
  </r>
  <r>
    <s v="2025-02-27"/>
    <s v="SUP001"/>
    <x v="6"/>
    <x v="5"/>
    <s v="Top Load"/>
    <n v="5"/>
    <n v="14435"/>
    <n v="5"/>
    <n v="18"/>
    <n v="80908.179999999993"/>
    <x v="0"/>
    <x v="0"/>
    <d v="2025-03-08T00:00:00"/>
    <d v="2025-03-15T00:00:00"/>
    <n v="7"/>
    <x v="0"/>
  </r>
  <r>
    <s v="2025-04-17"/>
    <s v="SUP006"/>
    <x v="0"/>
    <x v="3"/>
    <s v="1200mm"/>
    <n v="32"/>
    <n v="53135"/>
    <n v="12"/>
    <n v="18"/>
    <n v="1765612.29"/>
    <x v="0"/>
    <x v="2"/>
    <d v="2025-04-22T00:00:00"/>
    <d v="2025-05-05T00:00:00"/>
    <n v="13"/>
    <x v="0"/>
  </r>
  <r>
    <s v="2025-04-24"/>
    <s v="SUP007"/>
    <x v="5"/>
    <x v="7"/>
    <s v="750W"/>
    <n v="3"/>
    <n v="38591"/>
    <n v="10"/>
    <n v="18"/>
    <n v="122950.93"/>
    <x v="2"/>
    <x v="0"/>
    <d v="2025-05-03T00:00:00"/>
    <d v="2025-05-03T00:00:00"/>
    <n v="0"/>
    <x v="2"/>
  </r>
  <r>
    <s v="2025-03-02"/>
    <s v="SUP003"/>
    <x v="3"/>
    <x v="0"/>
    <s v="20L"/>
    <n v="23"/>
    <n v="75264"/>
    <n v="10"/>
    <n v="12"/>
    <n v="1744920.58"/>
    <x v="1"/>
    <x v="2"/>
    <d v="2025-03-12T00:00:00"/>
    <d v="2025-03-22T00:00:00"/>
    <n v="10"/>
    <x v="0"/>
  </r>
  <r>
    <s v="2025-05-24"/>
    <s v="SUP009"/>
    <x v="8"/>
    <x v="2"/>
    <s v="55 4K"/>
    <n v="11"/>
    <n v="57719"/>
    <n v="12"/>
    <n v="28"/>
    <n v="715161.5"/>
    <x v="0"/>
    <x v="1"/>
    <d v="2025-06-02T00:00:00"/>
    <d v="2025-06-14T00:00:00"/>
    <n v="12"/>
    <x v="0"/>
  </r>
  <r>
    <s v="2025-04-19"/>
    <s v="SUP003"/>
    <x v="3"/>
    <x v="5"/>
    <s v="Front Load"/>
    <n v="39"/>
    <n v="44566"/>
    <n v="12"/>
    <n v="18"/>
    <n v="1804816.04"/>
    <x v="3"/>
    <x v="3"/>
    <d v="2025-04-27T00:00:00"/>
    <d v="2025-04-29T00:00:00"/>
    <n v="2"/>
    <x v="1"/>
  </r>
  <r>
    <s v="2025-05-24"/>
    <s v="SUP003"/>
    <x v="3"/>
    <x v="7"/>
    <s v="750W"/>
    <n v="28"/>
    <n v="58418"/>
    <n v="12"/>
    <n v="28"/>
    <n v="1842456.99"/>
    <x v="3"/>
    <x v="3"/>
    <d v="2025-06-02T00:00:00"/>
    <d v="2025-06-11T00:00:00"/>
    <n v="9"/>
    <x v="0"/>
  </r>
  <r>
    <s v="2025-01-12"/>
    <s v="SUP006"/>
    <x v="0"/>
    <x v="0"/>
    <s v="28L"/>
    <n v="12"/>
    <n v="33562"/>
    <n v="5"/>
    <n v="28"/>
    <n v="489736.7"/>
    <x v="1"/>
    <x v="0"/>
    <d v="2025-01-15T00:00:00"/>
    <d v="2025-01-30T00:00:00"/>
    <n v="15"/>
    <x v="0"/>
  </r>
  <r>
    <s v="2025-03-06"/>
    <s v="SUP001"/>
    <x v="6"/>
    <x v="4"/>
    <s v="1 Ton Split"/>
    <n v="20"/>
    <n v="81302"/>
    <n v="10"/>
    <n v="18"/>
    <n v="1726854.48"/>
    <x v="0"/>
    <x v="0"/>
    <d v="2025-03-11T00:00:00"/>
    <d v="2025-03-12T00:00:00"/>
    <n v="1"/>
    <x v="1"/>
  </r>
  <r>
    <s v="2025-02-19"/>
    <s v="SUP003"/>
    <x v="3"/>
    <x v="4"/>
    <s v="1.5 Ton Inverter"/>
    <n v="19"/>
    <n v="72543"/>
    <n v="0"/>
    <n v="28"/>
    <n v="1764245.76"/>
    <x v="1"/>
    <x v="3"/>
    <d v="2025-02-25T00:00:00"/>
    <d v="2025-03-10T00:00:00"/>
    <n v="13"/>
    <x v="0"/>
  </r>
  <r>
    <s v="2025-06-18"/>
    <s v="SUP003"/>
    <x v="3"/>
    <x v="3"/>
    <s v="1200mm"/>
    <n v="17"/>
    <n v="17799"/>
    <n v="5"/>
    <n v="12"/>
    <n v="321948.31"/>
    <x v="1"/>
    <x v="1"/>
    <d v="2025-06-23T00:00:00"/>
    <d v="2025-06-28T00:00:00"/>
    <n v="5"/>
    <x v="0"/>
  </r>
  <r>
    <s v="2025-05-25"/>
    <s v="SUP008"/>
    <x v="7"/>
    <x v="4"/>
    <s v="1 Ton Split"/>
    <n v="40"/>
    <n v="35036"/>
    <n v="10"/>
    <n v="28"/>
    <n v="1614458.8799999999"/>
    <x v="0"/>
    <x v="1"/>
    <d v="2025-05-28T00:00:00"/>
    <d v="2025-06-11T00:00:00"/>
    <n v="14"/>
    <x v="0"/>
  </r>
  <r>
    <s v="2025-05-18"/>
    <s v="SUP004"/>
    <x v="1"/>
    <x v="4"/>
    <s v="2 Ton"/>
    <n v="20"/>
    <n v="68837"/>
    <n v="12"/>
    <n v="12"/>
    <n v="1356914.94"/>
    <x v="1"/>
    <x v="2"/>
    <d v="2025-05-27T00:00:00"/>
    <d v="2025-06-06T00:00:00"/>
    <n v="10"/>
    <x v="0"/>
  </r>
  <r>
    <s v="2025-02-28"/>
    <s v="SUP008"/>
    <x v="7"/>
    <x v="6"/>
    <s v="190L"/>
    <n v="11"/>
    <n v="5752"/>
    <n v="12"/>
    <n v="12"/>
    <n v="62360.88"/>
    <x v="2"/>
    <x v="0"/>
    <d v="2025-03-06T00:00:00"/>
    <d v="2025-03-21T00:00:00"/>
    <n v="15"/>
    <x v="0"/>
  </r>
  <r>
    <s v="2025-06-20"/>
    <s v="SUP009"/>
    <x v="8"/>
    <x v="6"/>
    <s v="260L"/>
    <n v="10"/>
    <n v="80014"/>
    <n v="12"/>
    <n v="28"/>
    <n v="901277.7"/>
    <x v="3"/>
    <x v="1"/>
    <d v="2025-06-24T00:00:00"/>
    <d v="2025-06-27T00:00:00"/>
    <n v="3"/>
    <x v="1"/>
  </r>
  <r>
    <s v="2025-04-02"/>
    <s v="SUP007"/>
    <x v="5"/>
    <x v="0"/>
    <s v="28L"/>
    <n v="28"/>
    <n v="48001"/>
    <n v="10"/>
    <n v="28"/>
    <n v="1548320.26"/>
    <x v="0"/>
    <x v="0"/>
    <d v="2025-04-05T00:00:00"/>
    <d v="2025-04-05T00:00:00"/>
    <n v="0"/>
    <x v="2"/>
  </r>
  <r>
    <s v="2025-06-27"/>
    <s v="SUP006"/>
    <x v="0"/>
    <x v="7"/>
    <s v="750W"/>
    <n v="7"/>
    <n v="36723"/>
    <n v="5"/>
    <n v="28"/>
    <n v="312586.18"/>
    <x v="2"/>
    <x v="3"/>
    <d v="2025-07-07T00:00:00"/>
    <d v="2025-07-20T00:00:00"/>
    <n v="13"/>
    <x v="0"/>
  </r>
  <r>
    <s v="2025-01-07"/>
    <s v="SUP009"/>
    <x v="8"/>
    <x v="2"/>
    <s v="55 4K"/>
    <n v="8"/>
    <n v="28555"/>
    <n v="12"/>
    <n v="12"/>
    <n v="225150.46"/>
    <x v="0"/>
    <x v="1"/>
    <d v="2025-01-10T00:00:00"/>
    <d v="2025-01-10T00:00:00"/>
    <n v="0"/>
    <x v="2"/>
  </r>
  <r>
    <s v="2025-04-06"/>
    <s v="SUP001"/>
    <x v="6"/>
    <x v="4"/>
    <s v="2 Ton"/>
    <n v="24"/>
    <n v="65017"/>
    <n v="10"/>
    <n v="28"/>
    <n v="1797590.02"/>
    <x v="0"/>
    <x v="0"/>
    <d v="2025-04-11T00:00:00"/>
    <d v="2025-04-15T00:00:00"/>
    <n v="4"/>
    <x v="0"/>
  </r>
  <r>
    <s v="2025-03-13"/>
    <s v="SUP004"/>
    <x v="1"/>
    <x v="5"/>
    <s v="Top Load"/>
    <n v="37"/>
    <n v="64791"/>
    <n v="10"/>
    <n v="18"/>
    <n v="2545897.5499999998"/>
    <x v="0"/>
    <x v="1"/>
    <d v="2025-03-18T00:00:00"/>
    <d v="2025-03-18T00:00:00"/>
    <n v="0"/>
    <x v="2"/>
  </r>
  <r>
    <s v="2025-03-09"/>
    <s v="SUP004"/>
    <x v="1"/>
    <x v="2"/>
    <s v="55 4K"/>
    <n v="28"/>
    <n v="79903"/>
    <n v="10"/>
    <n v="18"/>
    <n v="2375995.61"/>
    <x v="0"/>
    <x v="2"/>
    <d v="2025-03-19T00:00:00"/>
    <d v="2025-03-19T00:00:00"/>
    <n v="0"/>
    <x v="2"/>
  </r>
  <r>
    <s v="2025-04-02"/>
    <s v="SUP003"/>
    <x v="3"/>
    <x v="1"/>
    <s v="35L"/>
    <n v="2"/>
    <n v="8958"/>
    <n v="10"/>
    <n v="18"/>
    <n v="19026.79"/>
    <x v="1"/>
    <x v="0"/>
    <d v="2025-04-06T00:00:00"/>
    <d v="2025-04-19T00:00:00"/>
    <n v="13"/>
    <x v="0"/>
  </r>
  <r>
    <s v="2025-05-20"/>
    <s v="SUP003"/>
    <x v="3"/>
    <x v="0"/>
    <s v="20L"/>
    <n v="20"/>
    <n v="13480"/>
    <n v="12"/>
    <n v="12"/>
    <n v="265717.76000000001"/>
    <x v="3"/>
    <x v="0"/>
    <d v="2025-05-25T00:00:00"/>
    <d v="2025-06-02T00:00:00"/>
    <n v="8"/>
    <x v="0"/>
  </r>
  <r>
    <s v="2025-02-25"/>
    <s v="SUP006"/>
    <x v="0"/>
    <x v="2"/>
    <s v="32 LED"/>
    <n v="15"/>
    <n v="32645"/>
    <n v="5"/>
    <n v="18"/>
    <n v="548925.67000000004"/>
    <x v="0"/>
    <x v="2"/>
    <d v="2025-03-04T00:00:00"/>
    <d v="2025-03-09T00:00:00"/>
    <n v="5"/>
    <x v="0"/>
  </r>
  <r>
    <s v="2025-01-02"/>
    <s v="SUP009"/>
    <x v="8"/>
    <x v="6"/>
    <s v="190L"/>
    <n v="24"/>
    <n v="26053"/>
    <n v="0"/>
    <n v="12"/>
    <n v="700304.64"/>
    <x v="1"/>
    <x v="3"/>
    <d v="2025-01-12T00:00:00"/>
    <d v="2025-01-16T00:00:00"/>
    <n v="4"/>
    <x v="0"/>
  </r>
  <r>
    <s v="2025-06-09"/>
    <s v="SUP003"/>
    <x v="3"/>
    <x v="5"/>
    <s v="Top Load"/>
    <n v="28"/>
    <n v="23863"/>
    <n v="10"/>
    <n v="28"/>
    <n v="769724.93"/>
    <x v="2"/>
    <x v="3"/>
    <d v="2025-06-12T00:00:00"/>
    <d v="2025-06-24T00:00:00"/>
    <n v="12"/>
    <x v="0"/>
  </r>
  <r>
    <s v="2025-03-03"/>
    <s v="SUP001"/>
    <x v="6"/>
    <x v="5"/>
    <s v="Top Load"/>
    <n v="19"/>
    <n v="31911"/>
    <n v="12"/>
    <n v="18"/>
    <n v="629591.27"/>
    <x v="2"/>
    <x v="0"/>
    <d v="2025-03-08T00:00:00"/>
    <d v="2025-03-16T00:00:00"/>
    <n v="8"/>
    <x v="0"/>
  </r>
  <r>
    <s v="2025-04-19"/>
    <s v="SUP008"/>
    <x v="7"/>
    <x v="3"/>
    <s v="1200mm"/>
    <n v="25"/>
    <n v="70608"/>
    <n v="12"/>
    <n v="12"/>
    <n v="1739781.1200000001"/>
    <x v="2"/>
    <x v="0"/>
    <d v="2025-04-26T00:00:00"/>
    <d v="2025-05-02T00:00:00"/>
    <n v="6"/>
    <x v="0"/>
  </r>
  <r>
    <s v="2025-01-06"/>
    <s v="SUP008"/>
    <x v="7"/>
    <x v="1"/>
    <s v="35L"/>
    <n v="23"/>
    <n v="35359"/>
    <n v="12"/>
    <n v="18"/>
    <n v="844486.07"/>
    <x v="3"/>
    <x v="1"/>
    <d v="2025-01-10T00:00:00"/>
    <d v="2025-01-24T00:00:00"/>
    <n v="14"/>
    <x v="0"/>
  </r>
  <r>
    <s v="2025-01-28"/>
    <s v="SUP008"/>
    <x v="7"/>
    <x v="5"/>
    <s v="Top Load"/>
    <n v="4"/>
    <n v="4984"/>
    <n v="5"/>
    <n v="28"/>
    <n v="24242.18"/>
    <x v="0"/>
    <x v="2"/>
    <d v="2025-02-07T00:00:00"/>
    <d v="2025-02-15T00:00:00"/>
    <n v="8"/>
    <x v="0"/>
  </r>
  <r>
    <s v="2025-01-11"/>
    <s v="SUP005"/>
    <x v="4"/>
    <x v="5"/>
    <s v="Top Load"/>
    <n v="22"/>
    <n v="30433"/>
    <n v="12"/>
    <n v="18"/>
    <n v="695235.8"/>
    <x v="1"/>
    <x v="1"/>
    <d v="2025-01-20T00:00:00"/>
    <d v="2025-02-01T00:00:00"/>
    <n v="12"/>
    <x v="0"/>
  </r>
  <r>
    <s v="2025-01-20"/>
    <s v="SUP006"/>
    <x v="0"/>
    <x v="2"/>
    <s v="32 LED"/>
    <n v="36"/>
    <n v="56381"/>
    <n v="10"/>
    <n v="28"/>
    <n v="2338232.83"/>
    <x v="2"/>
    <x v="0"/>
    <d v="2025-01-27T00:00:00"/>
    <d v="2025-02-02T00:00:00"/>
    <n v="6"/>
    <x v="0"/>
  </r>
  <r>
    <s v="2025-04-13"/>
    <s v="SUP001"/>
    <x v="6"/>
    <x v="1"/>
    <s v="35L"/>
    <n v="10"/>
    <n v="65411"/>
    <n v="5"/>
    <n v="12"/>
    <n v="695973.04"/>
    <x v="3"/>
    <x v="0"/>
    <d v="2025-04-18T00:00:00"/>
    <d v="2025-04-24T00:00:00"/>
    <n v="6"/>
    <x v="0"/>
  </r>
  <r>
    <s v="2025-06-13"/>
    <s v="SUP008"/>
    <x v="7"/>
    <x v="7"/>
    <s v="750W"/>
    <n v="2"/>
    <n v="55574"/>
    <n v="5"/>
    <n v="18"/>
    <n v="124596.91"/>
    <x v="0"/>
    <x v="3"/>
    <d v="2025-06-17T00:00:00"/>
    <d v="2025-06-30T00:00:00"/>
    <n v="13"/>
    <x v="0"/>
  </r>
  <r>
    <s v="2025-05-30"/>
    <s v="SUP002"/>
    <x v="2"/>
    <x v="1"/>
    <s v="35L"/>
    <n v="5"/>
    <n v="54738"/>
    <n v="10"/>
    <n v="28"/>
    <n v="315290.88"/>
    <x v="2"/>
    <x v="3"/>
    <d v="2025-06-09T00:00:00"/>
    <d v="2025-06-23T00:00:00"/>
    <n v="14"/>
    <x v="0"/>
  </r>
  <r>
    <s v="2025-06-18"/>
    <s v="SUP002"/>
    <x v="2"/>
    <x v="2"/>
    <s v="32 LED"/>
    <n v="33"/>
    <n v="32274"/>
    <n v="5"/>
    <n v="12"/>
    <n v="1133204.69"/>
    <x v="2"/>
    <x v="0"/>
    <d v="2025-06-28T00:00:00"/>
    <d v="2025-07-03T00:00:00"/>
    <n v="5"/>
    <x v="0"/>
  </r>
  <r>
    <s v="2025-04-28"/>
    <s v="SUP008"/>
    <x v="7"/>
    <x v="0"/>
    <s v="28L"/>
    <n v="32"/>
    <n v="77398"/>
    <n v="12"/>
    <n v="12"/>
    <n v="2441071"/>
    <x v="1"/>
    <x v="1"/>
    <d v="2025-05-02T00:00:00"/>
    <d v="2025-05-11T00:00:00"/>
    <n v="9"/>
    <x v="0"/>
  </r>
  <r>
    <s v="2025-06-28"/>
    <s v="SUP004"/>
    <x v="1"/>
    <x v="6"/>
    <s v="190L"/>
    <n v="19"/>
    <n v="64106"/>
    <n v="10"/>
    <n v="28"/>
    <n v="1403152.13"/>
    <x v="1"/>
    <x v="2"/>
    <d v="2025-07-02T00:00:00"/>
    <d v="2025-07-13T00:00:00"/>
    <n v="11"/>
    <x v="0"/>
  </r>
  <r>
    <s v="2025-01-05"/>
    <s v="SUP006"/>
    <x v="0"/>
    <x v="4"/>
    <s v="1 Ton Split"/>
    <n v="26"/>
    <n v="57340"/>
    <n v="5"/>
    <n v="18"/>
    <n v="1671231.64"/>
    <x v="0"/>
    <x v="0"/>
    <d v="2025-01-11T00:00:00"/>
    <d v="2025-01-20T00:00:00"/>
    <n v="9"/>
    <x v="0"/>
  </r>
  <r>
    <s v="2025-02-23"/>
    <s v="SUP005"/>
    <x v="4"/>
    <x v="1"/>
    <s v="35L"/>
    <n v="39"/>
    <n v="4677"/>
    <n v="10"/>
    <n v="28"/>
    <n v="210128.26"/>
    <x v="0"/>
    <x v="2"/>
    <d v="2025-03-02T00:00:00"/>
    <d v="2025-03-16T00:00:00"/>
    <n v="14"/>
    <x v="0"/>
  </r>
  <r>
    <s v="2025-05-13"/>
    <s v="SUP007"/>
    <x v="5"/>
    <x v="0"/>
    <s v="20L"/>
    <n v="4"/>
    <n v="34542"/>
    <n v="0"/>
    <n v="28"/>
    <n v="176855.04000000001"/>
    <x v="0"/>
    <x v="3"/>
    <d v="2025-05-22T00:00:00"/>
    <d v="2025-06-05T00:00:00"/>
    <n v="14"/>
    <x v="0"/>
  </r>
  <r>
    <s v="2025-03-28"/>
    <s v="SUP008"/>
    <x v="7"/>
    <x v="6"/>
    <s v="190L"/>
    <n v="31"/>
    <n v="62595"/>
    <n v="12"/>
    <n v="28"/>
    <n v="2185717.25"/>
    <x v="0"/>
    <x v="1"/>
    <d v="2025-04-02T00:00:00"/>
    <d v="2025-04-13T00:00:00"/>
    <n v="11"/>
    <x v="0"/>
  </r>
  <r>
    <s v="2025-02-14"/>
    <s v="SUP004"/>
    <x v="1"/>
    <x v="4"/>
    <s v="1.5 Ton Inverter"/>
    <n v="20"/>
    <n v="8037"/>
    <n v="12"/>
    <n v="18"/>
    <n v="166912.42000000001"/>
    <x v="2"/>
    <x v="3"/>
    <d v="2025-02-19T00:00:00"/>
    <d v="2025-02-21T00:00:00"/>
    <n v="2"/>
    <x v="1"/>
  </r>
  <r>
    <s v="2025-02-21"/>
    <s v="SUP006"/>
    <x v="0"/>
    <x v="5"/>
    <s v="Top Load"/>
    <n v="19"/>
    <n v="75132"/>
    <n v="10"/>
    <n v="12"/>
    <n v="1438928.06"/>
    <x v="1"/>
    <x v="2"/>
    <d v="2025-02-24T00:00:00"/>
    <d v="2025-03-02T00:00:00"/>
    <n v="6"/>
    <x v="0"/>
  </r>
  <r>
    <s v="2025-06-18"/>
    <s v="SUP001"/>
    <x v="6"/>
    <x v="4"/>
    <s v="1 Ton Split"/>
    <n v="7"/>
    <n v="40922"/>
    <n v="0"/>
    <n v="12"/>
    <n v="320828.48"/>
    <x v="3"/>
    <x v="3"/>
    <d v="2025-06-24T00:00:00"/>
    <d v="2025-06-29T00:00:00"/>
    <n v="5"/>
    <x v="0"/>
  </r>
  <r>
    <s v="2025-03-17"/>
    <s v="SUP004"/>
    <x v="1"/>
    <x v="6"/>
    <s v="260L"/>
    <n v="17"/>
    <n v="30383"/>
    <n v="5"/>
    <n v="18"/>
    <n v="579008.82999999996"/>
    <x v="1"/>
    <x v="0"/>
    <d v="2025-03-21T00:00:00"/>
    <d v="2025-03-25T00:00:00"/>
    <n v="4"/>
    <x v="0"/>
  </r>
  <r>
    <s v="2025-05-10"/>
    <s v="SUP003"/>
    <x v="3"/>
    <x v="4"/>
    <s v="2 Ton"/>
    <n v="26"/>
    <n v="55507"/>
    <n v="10"/>
    <n v="18"/>
    <n v="1532659.28"/>
    <x v="0"/>
    <x v="3"/>
    <d v="2025-05-19T00:00:00"/>
    <d v="2025-05-31T00:00:00"/>
    <n v="12"/>
    <x v="0"/>
  </r>
  <r>
    <s v="2025-06-17"/>
    <s v="SUP001"/>
    <x v="6"/>
    <x v="0"/>
    <s v="20L"/>
    <n v="34"/>
    <n v="14339"/>
    <n v="0"/>
    <n v="12"/>
    <n v="546029.12"/>
    <x v="2"/>
    <x v="0"/>
    <d v="2025-06-26T00:00:00"/>
    <d v="2025-07-01T00:00:00"/>
    <n v="5"/>
    <x v="0"/>
  </r>
  <r>
    <s v="2025-03-21"/>
    <s v="SUP009"/>
    <x v="8"/>
    <x v="5"/>
    <s v="Front Load"/>
    <n v="18"/>
    <n v="78425"/>
    <n v="12"/>
    <n v="28"/>
    <n v="1590082.5600000001"/>
    <x v="3"/>
    <x v="2"/>
    <d v="2025-03-26T00:00:00"/>
    <d v="2025-04-09T00:00:00"/>
    <n v="14"/>
    <x v="0"/>
  </r>
  <r>
    <s v="2025-05-22"/>
    <s v="SUP006"/>
    <x v="0"/>
    <x v="2"/>
    <s v="55 4K"/>
    <n v="17"/>
    <n v="64159"/>
    <n v="12"/>
    <n v="28"/>
    <n v="1228567.8600000001"/>
    <x v="0"/>
    <x v="1"/>
    <d v="2025-05-26T00:00:00"/>
    <d v="2025-06-02T00:00:00"/>
    <n v="7"/>
    <x v="0"/>
  </r>
  <r>
    <s v="2025-06-10"/>
    <s v="SUP007"/>
    <x v="5"/>
    <x v="6"/>
    <s v="260L"/>
    <n v="29"/>
    <n v="10880"/>
    <n v="5"/>
    <n v="28"/>
    <n v="383672.32000000001"/>
    <x v="1"/>
    <x v="1"/>
    <d v="2025-06-16T00:00:00"/>
    <d v="2025-06-19T00:00:00"/>
    <n v="3"/>
    <x v="1"/>
  </r>
  <r>
    <s v="2025-05-20"/>
    <s v="SUP008"/>
    <x v="7"/>
    <x v="7"/>
    <s v="500W"/>
    <n v="34"/>
    <n v="54027"/>
    <n v="12"/>
    <n v="18"/>
    <n v="1907455.65"/>
    <x v="0"/>
    <x v="2"/>
    <d v="2025-05-25T00:00:00"/>
    <d v="2025-06-02T00:00:00"/>
    <n v="8"/>
    <x v="0"/>
  </r>
  <r>
    <s v="2025-06-18"/>
    <s v="SUP001"/>
    <x v="6"/>
    <x v="2"/>
    <s v="32 LED"/>
    <n v="10"/>
    <n v="24899"/>
    <n v="10"/>
    <n v="18"/>
    <n v="264427.38"/>
    <x v="1"/>
    <x v="3"/>
    <d v="2025-06-28T00:00:00"/>
    <d v="2025-06-30T00:00:00"/>
    <n v="2"/>
    <x v="1"/>
  </r>
  <r>
    <s v="2025-01-24"/>
    <s v="SUP009"/>
    <x v="8"/>
    <x v="1"/>
    <s v="35L"/>
    <n v="21"/>
    <n v="48073"/>
    <n v="12"/>
    <n v="28"/>
    <n v="1137137.97"/>
    <x v="3"/>
    <x v="1"/>
    <d v="2025-02-01T00:00:00"/>
    <d v="2025-02-01T00:00:00"/>
    <n v="0"/>
    <x v="2"/>
  </r>
  <r>
    <s v="2025-02-10"/>
    <s v="SUP007"/>
    <x v="5"/>
    <x v="6"/>
    <s v="190L"/>
    <n v="8"/>
    <n v="67872"/>
    <n v="0"/>
    <n v="18"/>
    <n v="640711.68000000005"/>
    <x v="0"/>
    <x v="3"/>
    <d v="2025-02-15T00:00:00"/>
    <d v="2025-02-26T00:00:00"/>
    <n v="11"/>
    <x v="0"/>
  </r>
  <r>
    <s v="2025-05-08"/>
    <s v="SUP002"/>
    <x v="2"/>
    <x v="4"/>
    <s v="1 Ton Split"/>
    <n v="12"/>
    <n v="58510"/>
    <n v="10"/>
    <n v="12"/>
    <n v="707736.96"/>
    <x v="3"/>
    <x v="2"/>
    <d v="2025-05-13T00:00:00"/>
    <d v="2025-05-18T00:00:00"/>
    <n v="5"/>
    <x v="0"/>
  </r>
  <r>
    <s v="2025-04-27"/>
    <s v="SUP007"/>
    <x v="5"/>
    <x v="1"/>
    <s v="35L"/>
    <n v="23"/>
    <n v="17284"/>
    <n v="12"/>
    <n v="12"/>
    <n v="391807.54"/>
    <x v="3"/>
    <x v="2"/>
    <d v="2025-04-30T00:00:00"/>
    <d v="2025-05-15T00:00:00"/>
    <n v="15"/>
    <x v="0"/>
  </r>
  <r>
    <s v="2025-06-30"/>
    <s v="SUP008"/>
    <x v="7"/>
    <x v="7"/>
    <s v="750W"/>
    <n v="11"/>
    <n v="75122"/>
    <n v="0"/>
    <n v="18"/>
    <n v="975083.56"/>
    <x v="2"/>
    <x v="1"/>
    <d v="2025-07-07T00:00:00"/>
    <d v="2025-07-12T00:00:00"/>
    <n v="5"/>
    <x v="0"/>
  </r>
  <r>
    <s v="2025-05-02"/>
    <s v="SUP004"/>
    <x v="1"/>
    <x v="5"/>
    <s v="Top Load"/>
    <n v="24"/>
    <n v="33874"/>
    <n v="12"/>
    <n v="12"/>
    <n v="801269.15"/>
    <x v="3"/>
    <x v="0"/>
    <d v="2025-05-10T00:00:00"/>
    <d v="2025-05-22T00:00:00"/>
    <n v="12"/>
    <x v="0"/>
  </r>
  <r>
    <s v="2025-06-08"/>
    <s v="SUP004"/>
    <x v="1"/>
    <x v="4"/>
    <s v="2 Ton"/>
    <n v="34"/>
    <n v="65400"/>
    <n v="5"/>
    <n v="12"/>
    <n v="2365910.4"/>
    <x v="2"/>
    <x v="2"/>
    <d v="2025-06-16T00:00:00"/>
    <d v="2025-07-01T00:00:00"/>
    <n v="15"/>
    <x v="0"/>
  </r>
  <r>
    <s v="2025-03-26"/>
    <s v="SUP004"/>
    <x v="1"/>
    <x v="5"/>
    <s v="Top Load"/>
    <n v="35"/>
    <n v="74755"/>
    <n v="0"/>
    <n v="12"/>
    <n v="2930396"/>
    <x v="0"/>
    <x v="2"/>
    <d v="2025-04-01T00:00:00"/>
    <d v="2025-04-16T00:00:00"/>
    <n v="15"/>
    <x v="0"/>
  </r>
  <r>
    <s v="2025-02-11"/>
    <s v="SUP005"/>
    <x v="4"/>
    <x v="7"/>
    <s v="750W"/>
    <n v="16"/>
    <n v="16085"/>
    <n v="0"/>
    <n v="18"/>
    <n v="303684.8"/>
    <x v="3"/>
    <x v="2"/>
    <d v="2025-02-15T00:00:00"/>
    <d v="2025-03-02T00:00:00"/>
    <n v="15"/>
    <x v="0"/>
  </r>
  <r>
    <s v="2025-06-07"/>
    <s v="SUP001"/>
    <x v="6"/>
    <x v="4"/>
    <s v="1 Ton Split"/>
    <n v="30"/>
    <n v="61206"/>
    <n v="12"/>
    <n v="18"/>
    <n v="1906689.31"/>
    <x v="0"/>
    <x v="1"/>
    <d v="2025-06-16T00:00:00"/>
    <d v="2025-06-22T00:00:00"/>
    <n v="6"/>
    <x v="0"/>
  </r>
  <r>
    <s v="2025-02-05"/>
    <s v="SUP007"/>
    <x v="5"/>
    <x v="3"/>
    <s v="1200mm"/>
    <n v="11"/>
    <n v="55839"/>
    <n v="10"/>
    <n v="18"/>
    <n v="652311.19999999995"/>
    <x v="2"/>
    <x v="1"/>
    <d v="2025-02-12T00:00:00"/>
    <d v="2025-02-22T00:00:00"/>
    <n v="10"/>
    <x v="0"/>
  </r>
  <r>
    <s v="2025-04-19"/>
    <s v="SUP001"/>
    <x v="6"/>
    <x v="7"/>
    <s v="500W"/>
    <n v="30"/>
    <n v="61388"/>
    <n v="12"/>
    <n v="12"/>
    <n v="1815120.38"/>
    <x v="0"/>
    <x v="0"/>
    <d v="2025-04-24T00:00:00"/>
    <d v="2025-05-07T00:00:00"/>
    <n v="13"/>
    <x v="0"/>
  </r>
  <r>
    <s v="2025-06-30"/>
    <s v="SUP004"/>
    <x v="1"/>
    <x v="0"/>
    <s v="20L"/>
    <n v="23"/>
    <n v="20912"/>
    <n v="5"/>
    <n v="18"/>
    <n v="539174.1"/>
    <x v="3"/>
    <x v="0"/>
    <d v="2025-07-03T00:00:00"/>
    <d v="2025-07-16T00:00:00"/>
    <n v="13"/>
    <x v="0"/>
  </r>
  <r>
    <s v="2025-06-15"/>
    <s v="SUP004"/>
    <x v="1"/>
    <x v="7"/>
    <s v="750W"/>
    <n v="38"/>
    <n v="36314"/>
    <n v="0"/>
    <n v="28"/>
    <n v="1766312.96"/>
    <x v="0"/>
    <x v="3"/>
    <d v="2025-06-22T00:00:00"/>
    <d v="2025-07-02T00:00:00"/>
    <n v="10"/>
    <x v="0"/>
  </r>
  <r>
    <s v="2025-06-12"/>
    <s v="SUP005"/>
    <x v="4"/>
    <x v="7"/>
    <s v="500W"/>
    <n v="17"/>
    <n v="44798"/>
    <n v="12"/>
    <n v="28"/>
    <n v="857827.94"/>
    <x v="2"/>
    <x v="3"/>
    <d v="2025-06-15T00:00:00"/>
    <d v="2025-06-17T00:00:00"/>
    <n v="2"/>
    <x v="1"/>
  </r>
  <r>
    <s v="2025-04-03"/>
    <s v="SUP006"/>
    <x v="0"/>
    <x v="6"/>
    <s v="260L"/>
    <n v="17"/>
    <n v="26367"/>
    <n v="12"/>
    <n v="18"/>
    <n v="465451.38"/>
    <x v="2"/>
    <x v="0"/>
    <d v="2025-04-07T00:00:00"/>
    <d v="2025-04-16T00:00:00"/>
    <n v="9"/>
    <x v="0"/>
  </r>
  <r>
    <s v="2025-06-20"/>
    <s v="SUP007"/>
    <x v="5"/>
    <x v="0"/>
    <s v="20L"/>
    <n v="27"/>
    <n v="34131"/>
    <n v="5"/>
    <n v="18"/>
    <n v="1033042.98"/>
    <x v="0"/>
    <x v="0"/>
    <d v="2025-06-28T00:00:00"/>
    <d v="2025-07-07T00:00:00"/>
    <n v="9"/>
    <x v="0"/>
  </r>
  <r>
    <s v="2025-06-16"/>
    <s v="SUP009"/>
    <x v="8"/>
    <x v="5"/>
    <s v="Front Load"/>
    <n v="15"/>
    <n v="8867"/>
    <n v="0"/>
    <n v="18"/>
    <n v="156945.9"/>
    <x v="3"/>
    <x v="0"/>
    <d v="2025-06-25T00:00:00"/>
    <d v="2025-06-26T00:00:00"/>
    <n v="1"/>
    <x v="1"/>
  </r>
  <r>
    <s v="2025-06-16"/>
    <s v="SUP002"/>
    <x v="2"/>
    <x v="4"/>
    <s v="1.5 Ton Inverter"/>
    <n v="20"/>
    <n v="3436"/>
    <n v="0"/>
    <n v="28"/>
    <n v="87961.600000000006"/>
    <x v="3"/>
    <x v="3"/>
    <d v="2025-06-25T00:00:00"/>
    <d v="2025-07-06T00:00:00"/>
    <n v="11"/>
    <x v="0"/>
  </r>
  <r>
    <s v="2025-05-29"/>
    <s v="SUP005"/>
    <x v="4"/>
    <x v="6"/>
    <s v="190L"/>
    <n v="8"/>
    <n v="66049"/>
    <n v="0"/>
    <n v="12"/>
    <n v="591799.04000000004"/>
    <x v="2"/>
    <x v="1"/>
    <d v="2025-06-05T00:00:00"/>
    <d v="2025-06-15T00:00:00"/>
    <n v="10"/>
    <x v="0"/>
  </r>
  <r>
    <s v="2025-05-05"/>
    <s v="SUP005"/>
    <x v="4"/>
    <x v="2"/>
    <s v="32 LED"/>
    <n v="21"/>
    <n v="78520"/>
    <n v="12"/>
    <n v="12"/>
    <n v="1625175.55"/>
    <x v="3"/>
    <x v="3"/>
    <d v="2025-05-08T00:00:00"/>
    <d v="2025-05-08T00:00:00"/>
    <n v="0"/>
    <x v="2"/>
  </r>
  <r>
    <s v="2025-02-25"/>
    <s v="SUP002"/>
    <x v="2"/>
    <x v="3"/>
    <s v="1200mm"/>
    <n v="6"/>
    <n v="25215"/>
    <n v="12"/>
    <n v="18"/>
    <n v="157099.54"/>
    <x v="1"/>
    <x v="1"/>
    <d v="2025-03-07T00:00:00"/>
    <d v="2025-03-15T00:00:00"/>
    <n v="8"/>
    <x v="0"/>
  </r>
  <r>
    <s v="2025-01-12"/>
    <s v="SUP003"/>
    <x v="3"/>
    <x v="5"/>
    <s v="Front Load"/>
    <n v="33"/>
    <n v="27833"/>
    <n v="10"/>
    <n v="28"/>
    <n v="1058099.33"/>
    <x v="1"/>
    <x v="2"/>
    <d v="2025-01-20T00:00:00"/>
    <d v="2025-01-23T00:00:00"/>
    <n v="3"/>
    <x v="1"/>
  </r>
  <r>
    <s v="2025-01-10"/>
    <s v="SUP006"/>
    <x v="0"/>
    <x v="2"/>
    <s v="32 LED"/>
    <n v="10"/>
    <n v="27003"/>
    <n v="0"/>
    <n v="12"/>
    <n v="302433.59999999998"/>
    <x v="1"/>
    <x v="1"/>
    <d v="2025-01-17T00:00:00"/>
    <d v="2025-01-20T00:00:00"/>
    <n v="3"/>
    <x v="1"/>
  </r>
  <r>
    <s v="2025-02-12"/>
    <s v="SUP008"/>
    <x v="7"/>
    <x v="3"/>
    <s v="1200mm"/>
    <n v="24"/>
    <n v="20833"/>
    <n v="10"/>
    <n v="12"/>
    <n v="503991.94"/>
    <x v="2"/>
    <x v="0"/>
    <d v="2025-02-15T00:00:00"/>
    <d v="2025-02-18T00:00:00"/>
    <n v="3"/>
    <x v="1"/>
  </r>
  <r>
    <s v="2025-05-26"/>
    <s v="SUP001"/>
    <x v="6"/>
    <x v="6"/>
    <s v="190L"/>
    <n v="35"/>
    <n v="22812"/>
    <n v="5"/>
    <n v="18"/>
    <n v="895028.82"/>
    <x v="2"/>
    <x v="3"/>
    <d v="2025-06-01T00:00:00"/>
    <d v="2025-06-08T00:00:00"/>
    <n v="7"/>
    <x v="0"/>
  </r>
  <r>
    <s v="2025-01-02"/>
    <s v="SUP009"/>
    <x v="8"/>
    <x v="0"/>
    <s v="20L"/>
    <n v="29"/>
    <n v="49084"/>
    <n v="10"/>
    <n v="18"/>
    <n v="1511689.03"/>
    <x v="1"/>
    <x v="3"/>
    <d v="2025-01-06T00:00:00"/>
    <d v="2025-01-17T00:00:00"/>
    <n v="11"/>
    <x v="0"/>
  </r>
  <r>
    <s v="2025-04-06"/>
    <s v="SUP004"/>
    <x v="1"/>
    <x v="4"/>
    <s v="2 Ton"/>
    <n v="16"/>
    <n v="8903"/>
    <n v="5"/>
    <n v="12"/>
    <n v="151564.67000000001"/>
    <x v="3"/>
    <x v="3"/>
    <d v="2025-04-15T00:00:00"/>
    <d v="2025-04-16T00:00:00"/>
    <n v="1"/>
    <x v="1"/>
  </r>
  <r>
    <s v="2025-01-22"/>
    <s v="SUP001"/>
    <x v="6"/>
    <x v="2"/>
    <s v="32 LED"/>
    <n v="35"/>
    <n v="55960"/>
    <n v="12"/>
    <n v="12"/>
    <n v="1930396.16"/>
    <x v="2"/>
    <x v="0"/>
    <d v="2025-01-29T00:00:00"/>
    <d v="2025-01-29T00:00:00"/>
    <n v="0"/>
    <x v="2"/>
  </r>
  <r>
    <s v="2025-05-23"/>
    <s v="SUP006"/>
    <x v="0"/>
    <x v="4"/>
    <s v="1.5 Ton Inverter"/>
    <n v="14"/>
    <n v="72163"/>
    <n v="0"/>
    <n v="12"/>
    <n v="1131515.8400000001"/>
    <x v="0"/>
    <x v="2"/>
    <d v="2025-05-29T00:00:00"/>
    <d v="2025-06-12T00:00:00"/>
    <n v="14"/>
    <x v="0"/>
  </r>
  <r>
    <s v="2025-03-15"/>
    <s v="SUP008"/>
    <x v="7"/>
    <x v="6"/>
    <s v="190L"/>
    <n v="10"/>
    <n v="12997"/>
    <n v="0"/>
    <n v="18"/>
    <n v="153364.6"/>
    <x v="1"/>
    <x v="2"/>
    <d v="2025-03-19T00:00:00"/>
    <d v="2025-03-29T00:00:00"/>
    <n v="10"/>
    <x v="0"/>
  </r>
  <r>
    <s v="2025-03-25"/>
    <s v="SUP007"/>
    <x v="5"/>
    <x v="4"/>
    <s v="1.5 Ton Inverter"/>
    <n v="33"/>
    <n v="24019"/>
    <n v="10"/>
    <n v="28"/>
    <n v="913106.3"/>
    <x v="0"/>
    <x v="1"/>
    <d v="2025-04-03T00:00:00"/>
    <d v="2025-04-05T00:00:00"/>
    <n v="2"/>
    <x v="1"/>
  </r>
  <r>
    <s v="2025-04-12"/>
    <s v="SUP004"/>
    <x v="1"/>
    <x v="5"/>
    <s v="Top Load"/>
    <n v="13"/>
    <n v="22812"/>
    <n v="12"/>
    <n v="28"/>
    <n v="334040.68"/>
    <x v="1"/>
    <x v="2"/>
    <d v="2025-04-15T00:00:00"/>
    <d v="2025-04-17T00:00:00"/>
    <n v="2"/>
    <x v="1"/>
  </r>
  <r>
    <s v="2025-05-04"/>
    <s v="SUP002"/>
    <x v="2"/>
    <x v="0"/>
    <s v="28L"/>
    <n v="23"/>
    <n v="5981"/>
    <n v="12"/>
    <n v="28"/>
    <n v="154950.96"/>
    <x v="1"/>
    <x v="3"/>
    <d v="2025-05-07T00:00:00"/>
    <d v="2025-05-10T00:00:00"/>
    <n v="3"/>
    <x v="1"/>
  </r>
  <r>
    <s v="2025-03-15"/>
    <s v="SUP003"/>
    <x v="3"/>
    <x v="0"/>
    <s v="20L"/>
    <n v="32"/>
    <n v="45267"/>
    <n v="0"/>
    <n v="18"/>
    <n v="1709281.92"/>
    <x v="2"/>
    <x v="1"/>
    <d v="2025-03-23T00:00:00"/>
    <d v="2025-04-01T00:00:00"/>
    <n v="9"/>
    <x v="0"/>
  </r>
  <r>
    <s v="2025-01-05"/>
    <s v="SUP003"/>
    <x v="3"/>
    <x v="5"/>
    <s v="Front Load"/>
    <n v="3"/>
    <n v="41256"/>
    <n v="5"/>
    <n v="28"/>
    <n v="150501.89000000001"/>
    <x v="3"/>
    <x v="2"/>
    <d v="2025-01-12T00:00:00"/>
    <d v="2025-01-21T00:00:00"/>
    <n v="9"/>
    <x v="0"/>
  </r>
  <r>
    <s v="2025-03-04"/>
    <s v="SUP008"/>
    <x v="7"/>
    <x v="1"/>
    <s v="35L"/>
    <n v="32"/>
    <n v="28764"/>
    <n v="10"/>
    <n v="12"/>
    <n v="927811.58"/>
    <x v="2"/>
    <x v="1"/>
    <d v="2025-03-13T00:00:00"/>
    <d v="2025-03-15T00:00:00"/>
    <n v="2"/>
    <x v="1"/>
  </r>
  <r>
    <s v="2025-04-04"/>
    <s v="SUP006"/>
    <x v="0"/>
    <x v="0"/>
    <s v="20L"/>
    <n v="19"/>
    <n v="73119"/>
    <n v="10"/>
    <n v="28"/>
    <n v="1600428.67"/>
    <x v="1"/>
    <x v="0"/>
    <d v="2025-04-12T00:00:00"/>
    <d v="2025-04-15T00:00:00"/>
    <n v="3"/>
    <x v="1"/>
  </r>
  <r>
    <s v="2025-06-22"/>
    <s v="SUP006"/>
    <x v="0"/>
    <x v="2"/>
    <s v="32 LED"/>
    <n v="38"/>
    <n v="53431"/>
    <n v="5"/>
    <n v="12"/>
    <n v="2160322.19"/>
    <x v="1"/>
    <x v="2"/>
    <d v="2025-06-30T00:00:00"/>
    <d v="2025-07-15T00:00:00"/>
    <n v="15"/>
    <x v="0"/>
  </r>
  <r>
    <s v="2025-03-25"/>
    <s v="SUP006"/>
    <x v="0"/>
    <x v="6"/>
    <s v="260L"/>
    <n v="34"/>
    <n v="50540"/>
    <n v="5"/>
    <n v="12"/>
    <n v="1828335.04"/>
    <x v="2"/>
    <x v="1"/>
    <d v="2025-04-02T00:00:00"/>
    <d v="2025-04-09T00:00:00"/>
    <n v="7"/>
    <x v="0"/>
  </r>
  <r>
    <s v="2025-04-02"/>
    <s v="SUP002"/>
    <x v="2"/>
    <x v="6"/>
    <s v="260L"/>
    <n v="29"/>
    <n v="27182"/>
    <n v="0"/>
    <n v="28"/>
    <n v="1008995.84"/>
    <x v="1"/>
    <x v="3"/>
    <d v="2025-04-07T00:00:00"/>
    <d v="2025-04-09T00:00:00"/>
    <n v="2"/>
    <x v="1"/>
  </r>
  <r>
    <s v="2025-04-11"/>
    <s v="SUP007"/>
    <x v="5"/>
    <x v="4"/>
    <s v="1 Ton Split"/>
    <n v="22"/>
    <n v="60027"/>
    <n v="12"/>
    <n v="28"/>
    <n v="1487517.08"/>
    <x v="3"/>
    <x v="0"/>
    <d v="2025-04-14T00:00:00"/>
    <d v="2025-04-19T00:00:00"/>
    <n v="5"/>
    <x v="0"/>
  </r>
  <r>
    <s v="2025-05-22"/>
    <s v="SUP008"/>
    <x v="7"/>
    <x v="7"/>
    <s v="500W"/>
    <n v="29"/>
    <n v="49005"/>
    <n v="10"/>
    <n v="12"/>
    <n v="1432514.16"/>
    <x v="2"/>
    <x v="0"/>
    <d v="2025-05-30T00:00:00"/>
    <d v="2025-06-08T00:00:00"/>
    <n v="9"/>
    <x v="0"/>
  </r>
  <r>
    <s v="2025-02-24"/>
    <s v="SUP005"/>
    <x v="4"/>
    <x v="2"/>
    <s v="55 4K"/>
    <n v="32"/>
    <n v="43770"/>
    <n v="12"/>
    <n v="12"/>
    <n v="1380470.78"/>
    <x v="1"/>
    <x v="2"/>
    <d v="2025-02-27T00:00:00"/>
    <d v="2025-03-04T00:00:00"/>
    <n v="5"/>
    <x v="0"/>
  </r>
  <r>
    <s v="2025-04-07"/>
    <s v="SUP005"/>
    <x v="4"/>
    <x v="7"/>
    <s v="750W"/>
    <n v="7"/>
    <n v="17170"/>
    <n v="0"/>
    <n v="18"/>
    <n v="141824.20000000001"/>
    <x v="1"/>
    <x v="2"/>
    <d v="2025-04-11T00:00:00"/>
    <d v="2025-04-12T00:00:00"/>
    <n v="1"/>
    <x v="1"/>
  </r>
  <r>
    <s v="2025-05-29"/>
    <s v="SUP002"/>
    <x v="2"/>
    <x v="2"/>
    <s v="55 4K"/>
    <n v="26"/>
    <n v="75196"/>
    <n v="10"/>
    <n v="28"/>
    <n v="2252270.59"/>
    <x v="0"/>
    <x v="1"/>
    <d v="2025-06-05T00:00:00"/>
    <d v="2025-06-15T00:00:00"/>
    <n v="10"/>
    <x v="0"/>
  </r>
  <r>
    <s v="2025-03-12"/>
    <s v="SUP007"/>
    <x v="5"/>
    <x v="6"/>
    <s v="260L"/>
    <n v="2"/>
    <n v="8147"/>
    <n v="0"/>
    <n v="12"/>
    <n v="18249.28"/>
    <x v="1"/>
    <x v="2"/>
    <d v="2025-03-18T00:00:00"/>
    <d v="2025-03-20T00:00:00"/>
    <n v="2"/>
    <x v="1"/>
  </r>
  <r>
    <s v="2025-04-17"/>
    <s v="SUP006"/>
    <x v="0"/>
    <x v="6"/>
    <s v="260L"/>
    <n v="26"/>
    <n v="39733"/>
    <n v="5"/>
    <n v="12"/>
    <n v="1099173.71"/>
    <x v="1"/>
    <x v="2"/>
    <d v="2025-04-24T00:00:00"/>
    <d v="2025-04-29T00:00:00"/>
    <n v="5"/>
    <x v="0"/>
  </r>
  <r>
    <s v="2025-06-30"/>
    <s v="SUP004"/>
    <x v="1"/>
    <x v="4"/>
    <s v="1 Ton Split"/>
    <n v="15"/>
    <n v="20600"/>
    <n v="5"/>
    <n v="28"/>
    <n v="375744"/>
    <x v="0"/>
    <x v="1"/>
    <d v="2025-07-06T00:00:00"/>
    <d v="2025-07-21T00:00:00"/>
    <n v="15"/>
    <x v="0"/>
  </r>
  <r>
    <s v="2025-05-23"/>
    <s v="SUP004"/>
    <x v="1"/>
    <x v="2"/>
    <s v="32 LED"/>
    <n v="27"/>
    <n v="56480"/>
    <n v="10"/>
    <n v="18"/>
    <n v="1619507.52"/>
    <x v="1"/>
    <x v="2"/>
    <d v="2025-05-29T00:00:00"/>
    <d v="2025-06-04T00:00:00"/>
    <n v="6"/>
    <x v="0"/>
  </r>
  <r>
    <s v="2025-01-27"/>
    <s v="SUP005"/>
    <x v="4"/>
    <x v="0"/>
    <s v="20L"/>
    <n v="12"/>
    <n v="30165"/>
    <n v="5"/>
    <n v="18"/>
    <n v="405779.58"/>
    <x v="3"/>
    <x v="0"/>
    <d v="2025-02-05T00:00:00"/>
    <d v="2025-02-19T00:00:00"/>
    <n v="14"/>
    <x v="0"/>
  </r>
  <r>
    <s v="2025-02-27"/>
    <s v="SUP008"/>
    <x v="7"/>
    <x v="7"/>
    <s v="750W"/>
    <n v="20"/>
    <n v="68478"/>
    <n v="0"/>
    <n v="28"/>
    <n v="1753036.8"/>
    <x v="0"/>
    <x v="1"/>
    <d v="2025-03-07T00:00:00"/>
    <d v="2025-03-10T00:00:00"/>
    <n v="3"/>
    <x v="1"/>
  </r>
  <r>
    <s v="2025-06-12"/>
    <s v="SUP004"/>
    <x v="1"/>
    <x v="5"/>
    <s v="Front Load"/>
    <n v="12"/>
    <n v="48149"/>
    <n v="5"/>
    <n v="28"/>
    <n v="702590.21"/>
    <x v="1"/>
    <x v="2"/>
    <d v="2025-06-21T00:00:00"/>
    <d v="2025-07-01T00:00:00"/>
    <n v="10"/>
    <x v="0"/>
  </r>
  <r>
    <s v="2025-06-30"/>
    <s v="SUP008"/>
    <x v="7"/>
    <x v="1"/>
    <s v="35L"/>
    <n v="15"/>
    <n v="8920"/>
    <n v="0"/>
    <n v="12"/>
    <n v="149856"/>
    <x v="2"/>
    <x v="2"/>
    <d v="2025-07-07T00:00:00"/>
    <d v="2025-07-11T00:00:00"/>
    <n v="4"/>
    <x v="0"/>
  </r>
  <r>
    <s v="2025-03-21"/>
    <s v="SUP002"/>
    <x v="2"/>
    <x v="3"/>
    <s v="1200mm"/>
    <n v="30"/>
    <n v="23429"/>
    <n v="10"/>
    <n v="18"/>
    <n v="746447.94"/>
    <x v="2"/>
    <x v="2"/>
    <d v="2025-03-28T00:00:00"/>
    <d v="2025-04-11T00:00:00"/>
    <n v="14"/>
    <x v="0"/>
  </r>
  <r>
    <s v="2025-06-18"/>
    <s v="SUP006"/>
    <x v="0"/>
    <x v="4"/>
    <s v="1.5 Ton Inverter"/>
    <n v="33"/>
    <n v="25019"/>
    <n v="0"/>
    <n v="28"/>
    <n v="1056802.56"/>
    <x v="0"/>
    <x v="0"/>
    <d v="2025-06-25T00:00:00"/>
    <d v="2025-07-03T00:00:00"/>
    <n v="8"/>
    <x v="0"/>
  </r>
  <r>
    <s v="2025-01-10"/>
    <s v="SUP005"/>
    <x v="4"/>
    <x v="3"/>
    <s v="1200mm"/>
    <n v="3"/>
    <n v="50381"/>
    <n v="5"/>
    <n v="18"/>
    <n v="169431.3"/>
    <x v="0"/>
    <x v="2"/>
    <d v="2025-01-13T00:00:00"/>
    <d v="2025-01-23T00:00:00"/>
    <n v="10"/>
    <x v="0"/>
  </r>
  <r>
    <s v="2025-05-26"/>
    <s v="SUP002"/>
    <x v="2"/>
    <x v="7"/>
    <s v="750W"/>
    <n v="4"/>
    <n v="84043"/>
    <n v="12"/>
    <n v="12"/>
    <n v="331331.12"/>
    <x v="3"/>
    <x v="0"/>
    <d v="2025-06-02T00:00:00"/>
    <d v="2025-06-03T00:00:00"/>
    <n v="1"/>
    <x v="1"/>
  </r>
  <r>
    <s v="2025-04-22"/>
    <s v="SUP008"/>
    <x v="7"/>
    <x v="5"/>
    <s v="Front Load"/>
    <n v="12"/>
    <n v="47933"/>
    <n v="0"/>
    <n v="12"/>
    <n v="644219.52"/>
    <x v="3"/>
    <x v="1"/>
    <d v="2025-05-01T00:00:00"/>
    <d v="2025-05-12T00:00:00"/>
    <n v="11"/>
    <x v="0"/>
  </r>
  <r>
    <s v="2025-02-14"/>
    <s v="SUP009"/>
    <x v="8"/>
    <x v="2"/>
    <s v="43 Smart"/>
    <n v="17"/>
    <n v="64551"/>
    <n v="10"/>
    <n v="18"/>
    <n v="1165403.75"/>
    <x v="2"/>
    <x v="3"/>
    <d v="2025-02-22T00:00:00"/>
    <d v="2025-03-05T00:00:00"/>
    <n v="11"/>
    <x v="0"/>
  </r>
  <r>
    <s v="2025-04-13"/>
    <s v="SUP009"/>
    <x v="8"/>
    <x v="6"/>
    <s v="190L"/>
    <n v="21"/>
    <n v="58622"/>
    <n v="5"/>
    <n v="18"/>
    <n v="1380020.5"/>
    <x v="1"/>
    <x v="1"/>
    <d v="2025-04-22T00:00:00"/>
    <d v="2025-04-26T00:00:00"/>
    <n v="4"/>
    <x v="0"/>
  </r>
  <r>
    <s v="2025-06-09"/>
    <s v="SUP006"/>
    <x v="0"/>
    <x v="4"/>
    <s v="1.5 Ton Inverter"/>
    <n v="9"/>
    <n v="56097"/>
    <n v="0"/>
    <n v="12"/>
    <n v="565457.76"/>
    <x v="3"/>
    <x v="3"/>
    <d v="2025-06-17T00:00:00"/>
    <d v="2025-06-22T00:00:00"/>
    <n v="5"/>
    <x v="0"/>
  </r>
  <r>
    <s v="2025-01-25"/>
    <s v="SUP002"/>
    <x v="2"/>
    <x v="4"/>
    <s v="1 Ton Split"/>
    <n v="30"/>
    <n v="44103"/>
    <n v="10"/>
    <n v="18"/>
    <n v="1405121.58"/>
    <x v="2"/>
    <x v="2"/>
    <d v="2025-02-01T00:00:00"/>
    <d v="2025-02-11T00:00:00"/>
    <n v="10"/>
    <x v="0"/>
  </r>
  <r>
    <s v="2025-04-10"/>
    <s v="SUP003"/>
    <x v="3"/>
    <x v="0"/>
    <s v="28L"/>
    <n v="3"/>
    <n v="47232"/>
    <n v="12"/>
    <n v="28"/>
    <n v="159606.37"/>
    <x v="3"/>
    <x v="3"/>
    <d v="2025-04-19T00:00:00"/>
    <d v="2025-04-21T00:00:00"/>
    <n v="2"/>
    <x v="1"/>
  </r>
  <r>
    <s v="2025-04-15"/>
    <s v="SUP008"/>
    <x v="7"/>
    <x v="1"/>
    <s v="35L"/>
    <n v="21"/>
    <n v="17455"/>
    <n v="10"/>
    <n v="18"/>
    <n v="389281.41"/>
    <x v="0"/>
    <x v="1"/>
    <d v="2025-04-24T00:00:00"/>
    <d v="2025-04-30T00:00:00"/>
    <n v="6"/>
    <x v="0"/>
  </r>
  <r>
    <s v="2025-06-28"/>
    <s v="SUP006"/>
    <x v="0"/>
    <x v="0"/>
    <s v="28L"/>
    <n v="14"/>
    <n v="31545"/>
    <n v="10"/>
    <n v="18"/>
    <n v="469011.06"/>
    <x v="0"/>
    <x v="0"/>
    <d v="2025-07-05T00:00:00"/>
    <d v="2025-07-05T00:00:00"/>
    <n v="0"/>
    <x v="2"/>
  </r>
  <r>
    <s v="2025-05-09"/>
    <s v="SUP001"/>
    <x v="6"/>
    <x v="0"/>
    <s v="20L"/>
    <n v="36"/>
    <n v="4438"/>
    <n v="12"/>
    <n v="28"/>
    <n v="179962.68"/>
    <x v="0"/>
    <x v="2"/>
    <d v="2025-05-17T00:00:00"/>
    <d v="2025-05-29T00:00:00"/>
    <n v="12"/>
    <x v="0"/>
  </r>
  <r>
    <s v="2025-04-19"/>
    <s v="SUP001"/>
    <x v="6"/>
    <x v="4"/>
    <s v="2 Ton"/>
    <n v="21"/>
    <n v="22477"/>
    <n v="12"/>
    <n v="18"/>
    <n v="490142.45"/>
    <x v="3"/>
    <x v="0"/>
    <d v="2025-04-23T00:00:00"/>
    <d v="2025-04-29T00:00:00"/>
    <n v="6"/>
    <x v="0"/>
  </r>
  <r>
    <s v="2025-06-24"/>
    <s v="SUP007"/>
    <x v="5"/>
    <x v="0"/>
    <s v="20L"/>
    <n v="36"/>
    <n v="25254"/>
    <n v="5"/>
    <n v="12"/>
    <n v="967329.22"/>
    <x v="0"/>
    <x v="1"/>
    <d v="2025-07-02T00:00:00"/>
    <d v="2025-07-17T00:00:00"/>
    <n v="15"/>
    <x v="0"/>
  </r>
  <r>
    <s v="2025-05-25"/>
    <s v="SUP006"/>
    <x v="0"/>
    <x v="4"/>
    <s v="1.5 Ton Inverter"/>
    <n v="5"/>
    <n v="39760"/>
    <n v="12"/>
    <n v="28"/>
    <n v="223928.32000000001"/>
    <x v="1"/>
    <x v="3"/>
    <d v="2025-06-02T00:00:00"/>
    <d v="2025-06-02T00:00:00"/>
    <n v="0"/>
    <x v="2"/>
  </r>
  <r>
    <s v="2025-04-08"/>
    <s v="SUP008"/>
    <x v="7"/>
    <x v="2"/>
    <s v="32 LED"/>
    <n v="32"/>
    <n v="70333"/>
    <n v="5"/>
    <n v="18"/>
    <n v="2522985.38"/>
    <x v="3"/>
    <x v="2"/>
    <d v="2025-04-17T00:00:00"/>
    <d v="2025-04-26T00:00:00"/>
    <n v="9"/>
    <x v="0"/>
  </r>
  <r>
    <s v="2025-05-18"/>
    <s v="SUP005"/>
    <x v="4"/>
    <x v="2"/>
    <s v="43 Smart"/>
    <n v="40"/>
    <n v="16291"/>
    <n v="12"/>
    <n v="18"/>
    <n v="676662.98"/>
    <x v="2"/>
    <x v="0"/>
    <d v="2025-05-23T00:00:00"/>
    <d v="2025-06-05T00:00:00"/>
    <n v="13"/>
    <x v="0"/>
  </r>
  <r>
    <s v="2025-05-08"/>
    <s v="SUP003"/>
    <x v="3"/>
    <x v="4"/>
    <s v="2 Ton"/>
    <n v="31"/>
    <n v="13642"/>
    <n v="12"/>
    <n v="28"/>
    <n v="476356.81"/>
    <x v="1"/>
    <x v="3"/>
    <d v="2025-05-17T00:00:00"/>
    <d v="2025-05-20T00:00:00"/>
    <n v="3"/>
    <x v="1"/>
  </r>
  <r>
    <s v="2025-05-29"/>
    <s v="SUP004"/>
    <x v="1"/>
    <x v="5"/>
    <s v="Top Load"/>
    <n v="28"/>
    <n v="44833"/>
    <n v="12"/>
    <n v="28"/>
    <n v="1413996.95"/>
    <x v="1"/>
    <x v="1"/>
    <d v="2025-06-05T00:00:00"/>
    <d v="2025-06-11T00:00:00"/>
    <n v="6"/>
    <x v="0"/>
  </r>
  <r>
    <s v="2025-03-09"/>
    <s v="SUP003"/>
    <x v="3"/>
    <x v="0"/>
    <s v="28L"/>
    <n v="35"/>
    <n v="76378"/>
    <n v="5"/>
    <n v="28"/>
    <n v="3250647.68"/>
    <x v="1"/>
    <x v="1"/>
    <d v="2025-03-15T00:00:00"/>
    <d v="2025-03-17T00:00:00"/>
    <n v="2"/>
    <x v="1"/>
  </r>
  <r>
    <s v="2025-05-12"/>
    <s v="SUP007"/>
    <x v="5"/>
    <x v="4"/>
    <s v="2 Ton"/>
    <n v="22"/>
    <n v="11362"/>
    <n v="5"/>
    <n v="12"/>
    <n v="265961.7"/>
    <x v="1"/>
    <x v="1"/>
    <d v="2025-05-22T00:00:00"/>
    <d v="2025-05-24T00:00:00"/>
    <n v="2"/>
    <x v="1"/>
  </r>
  <r>
    <s v="2025-04-04"/>
    <s v="SUP007"/>
    <x v="5"/>
    <x v="4"/>
    <s v="1 Ton Split"/>
    <n v="20"/>
    <n v="9549"/>
    <n v="5"/>
    <n v="28"/>
    <n v="232231.67999999999"/>
    <x v="1"/>
    <x v="1"/>
    <d v="2025-04-11T00:00:00"/>
    <d v="2025-04-18T00:00:00"/>
    <n v="7"/>
    <x v="0"/>
  </r>
  <r>
    <s v="2025-05-26"/>
    <s v="SUP006"/>
    <x v="0"/>
    <x v="2"/>
    <s v="43 Smart"/>
    <n v="33"/>
    <n v="43818"/>
    <n v="10"/>
    <n v="28"/>
    <n v="1665785.09"/>
    <x v="0"/>
    <x v="2"/>
    <d v="2025-05-29T00:00:00"/>
    <d v="2025-06-13T00:00:00"/>
    <n v="15"/>
    <x v="0"/>
  </r>
  <r>
    <s v="2025-02-18"/>
    <s v="SUP001"/>
    <x v="6"/>
    <x v="3"/>
    <s v="1200mm"/>
    <n v="40"/>
    <n v="24728"/>
    <n v="10"/>
    <n v="12"/>
    <n v="997032.95999999996"/>
    <x v="2"/>
    <x v="2"/>
    <d v="2025-02-25T00:00:00"/>
    <d v="2025-03-11T00:00:00"/>
    <n v="14"/>
    <x v="0"/>
  </r>
  <r>
    <s v="2025-01-06"/>
    <s v="SUP009"/>
    <x v="8"/>
    <x v="3"/>
    <s v="1200mm"/>
    <n v="18"/>
    <n v="68846"/>
    <n v="5"/>
    <n v="28"/>
    <n v="1506901.25"/>
    <x v="2"/>
    <x v="2"/>
    <d v="2025-01-16T00:00:00"/>
    <d v="2025-01-30T00:00:00"/>
    <n v="14"/>
    <x v="0"/>
  </r>
  <r>
    <s v="2025-04-14"/>
    <s v="SUP002"/>
    <x v="2"/>
    <x v="0"/>
    <s v="20L"/>
    <n v="26"/>
    <n v="81172"/>
    <n v="10"/>
    <n v="28"/>
    <n v="2431263.7400000002"/>
    <x v="3"/>
    <x v="1"/>
    <d v="2025-04-23T00:00:00"/>
    <d v="2025-04-29T00:00:00"/>
    <n v="6"/>
    <x v="0"/>
  </r>
  <r>
    <s v="2025-01-13"/>
    <s v="SUP008"/>
    <x v="7"/>
    <x v="4"/>
    <s v="1 Ton Split"/>
    <n v="24"/>
    <n v="50699"/>
    <n v="5"/>
    <n v="28"/>
    <n v="1479599.62"/>
    <x v="3"/>
    <x v="3"/>
    <d v="2025-01-22T00:00:00"/>
    <d v="2025-01-24T00:00:00"/>
    <n v="2"/>
    <x v="1"/>
  </r>
  <r>
    <s v="2025-04-28"/>
    <s v="SUP006"/>
    <x v="0"/>
    <x v="6"/>
    <s v="260L"/>
    <n v="27"/>
    <n v="12386"/>
    <n v="0"/>
    <n v="18"/>
    <n v="394617.96"/>
    <x v="2"/>
    <x v="3"/>
    <d v="2025-05-01T00:00:00"/>
    <d v="2025-05-10T00:00:00"/>
    <n v="9"/>
    <x v="0"/>
  </r>
  <r>
    <s v="2025-05-07"/>
    <s v="SUP004"/>
    <x v="1"/>
    <x v="4"/>
    <s v="2 Ton"/>
    <n v="12"/>
    <n v="23694"/>
    <n v="10"/>
    <n v="12"/>
    <n v="286602.62"/>
    <x v="3"/>
    <x v="2"/>
    <d v="2025-05-14T00:00:00"/>
    <d v="2025-05-16T00:00:00"/>
    <n v="2"/>
    <x v="1"/>
  </r>
  <r>
    <s v="2025-06-22"/>
    <s v="SUP005"/>
    <x v="4"/>
    <x v="4"/>
    <s v="2 Ton"/>
    <n v="15"/>
    <n v="57417"/>
    <n v="12"/>
    <n v="18"/>
    <n v="894327.19"/>
    <x v="1"/>
    <x v="0"/>
    <d v="2025-07-01T00:00:00"/>
    <d v="2025-07-03T00:00:00"/>
    <n v="2"/>
    <x v="1"/>
  </r>
  <r>
    <s v="2025-06-30"/>
    <s v="SUP005"/>
    <x v="4"/>
    <x v="4"/>
    <s v="1 Ton Split"/>
    <n v="17"/>
    <n v="9524"/>
    <n v="5"/>
    <n v="18"/>
    <n v="181498.87"/>
    <x v="3"/>
    <x v="1"/>
    <d v="2025-07-06T00:00:00"/>
    <d v="2025-07-14T00:00:00"/>
    <n v="8"/>
    <x v="0"/>
  </r>
  <r>
    <s v="2025-04-19"/>
    <s v="SUP001"/>
    <x v="6"/>
    <x v="1"/>
    <s v="35L"/>
    <n v="6"/>
    <n v="3186"/>
    <n v="0"/>
    <n v="12"/>
    <n v="21409.919999999998"/>
    <x v="0"/>
    <x v="0"/>
    <d v="2025-04-22T00:00:00"/>
    <d v="2025-05-05T00:00:00"/>
    <n v="13"/>
    <x v="0"/>
  </r>
  <r>
    <s v="2025-05-28"/>
    <s v="SUP003"/>
    <x v="3"/>
    <x v="6"/>
    <s v="260L"/>
    <n v="3"/>
    <n v="62242"/>
    <n v="5"/>
    <n v="12"/>
    <n v="198676.46"/>
    <x v="1"/>
    <x v="1"/>
    <d v="2025-06-05T00:00:00"/>
    <d v="2025-06-18T00:00:00"/>
    <n v="13"/>
    <x v="0"/>
  </r>
  <r>
    <s v="2025-05-11"/>
    <s v="SUP001"/>
    <x v="6"/>
    <x v="0"/>
    <s v="28L"/>
    <n v="31"/>
    <n v="3265"/>
    <n v="10"/>
    <n v="18"/>
    <n v="107490.33"/>
    <x v="1"/>
    <x v="3"/>
    <d v="2025-05-17T00:00:00"/>
    <d v="2025-05-20T00:00:00"/>
    <n v="3"/>
    <x v="1"/>
  </r>
  <r>
    <s v="2025-05-19"/>
    <s v="SUP004"/>
    <x v="1"/>
    <x v="6"/>
    <s v="260L"/>
    <n v="19"/>
    <n v="6165"/>
    <n v="10"/>
    <n v="12"/>
    <n v="118072.08"/>
    <x v="0"/>
    <x v="1"/>
    <d v="2025-05-26T00:00:00"/>
    <d v="2025-06-01T00:00:00"/>
    <n v="6"/>
    <x v="0"/>
  </r>
  <r>
    <s v="2025-01-17"/>
    <s v="SUP003"/>
    <x v="3"/>
    <x v="0"/>
    <s v="28L"/>
    <n v="28"/>
    <n v="77817"/>
    <n v="5"/>
    <n v="12"/>
    <n v="2318324.06"/>
    <x v="3"/>
    <x v="1"/>
    <d v="2025-01-25T00:00:00"/>
    <d v="2025-02-02T00:00:00"/>
    <n v="8"/>
    <x v="0"/>
  </r>
  <r>
    <s v="2025-05-02"/>
    <s v="SUP003"/>
    <x v="3"/>
    <x v="6"/>
    <s v="190L"/>
    <n v="34"/>
    <n v="47074"/>
    <n v="5"/>
    <n v="12"/>
    <n v="1702949.02"/>
    <x v="0"/>
    <x v="1"/>
    <d v="2025-05-11T00:00:00"/>
    <d v="2025-05-14T00:00:00"/>
    <n v="3"/>
    <x v="1"/>
  </r>
  <r>
    <s v="2025-06-13"/>
    <s v="SUP007"/>
    <x v="5"/>
    <x v="6"/>
    <s v="260L"/>
    <n v="16"/>
    <n v="22704"/>
    <n v="12"/>
    <n v="28"/>
    <n v="409180.57"/>
    <x v="3"/>
    <x v="0"/>
    <d v="2025-06-16T00:00:00"/>
    <d v="2025-06-30T00:00:00"/>
    <n v="14"/>
    <x v="0"/>
  </r>
  <r>
    <s v="2025-02-18"/>
    <s v="SUP009"/>
    <x v="8"/>
    <x v="0"/>
    <s v="20L"/>
    <n v="5"/>
    <n v="19880"/>
    <n v="10"/>
    <n v="12"/>
    <n v="100195.2"/>
    <x v="2"/>
    <x v="0"/>
    <d v="2025-02-26T00:00:00"/>
    <d v="2025-03-10T00:00:00"/>
    <n v="12"/>
    <x v="0"/>
  </r>
  <r>
    <s v="2025-02-18"/>
    <s v="SUP004"/>
    <x v="1"/>
    <x v="0"/>
    <s v="28L"/>
    <n v="12"/>
    <n v="14408"/>
    <n v="0"/>
    <n v="28"/>
    <n v="221306.88"/>
    <x v="3"/>
    <x v="0"/>
    <d v="2025-02-28T00:00:00"/>
    <d v="2025-03-03T00:00:00"/>
    <n v="3"/>
    <x v="1"/>
  </r>
  <r>
    <s v="2025-06-30"/>
    <s v="SUP009"/>
    <x v="8"/>
    <x v="4"/>
    <s v="1 Ton Split"/>
    <n v="1"/>
    <n v="23607"/>
    <n v="12"/>
    <n v="28"/>
    <n v="26590.92"/>
    <x v="0"/>
    <x v="3"/>
    <d v="2025-07-10T00:00:00"/>
    <d v="2025-07-14T00:00:00"/>
    <n v="4"/>
    <x v="0"/>
  </r>
  <r>
    <s v="2025-05-27"/>
    <s v="SUP009"/>
    <x v="8"/>
    <x v="2"/>
    <s v="43 Smart"/>
    <n v="27"/>
    <n v="78198"/>
    <n v="5"/>
    <n v="18"/>
    <n v="2366818.87"/>
    <x v="3"/>
    <x v="2"/>
    <d v="2025-06-03T00:00:00"/>
    <d v="2025-06-15T00:00:00"/>
    <n v="12"/>
    <x v="0"/>
  </r>
  <r>
    <s v="2025-04-27"/>
    <s v="SUP003"/>
    <x v="3"/>
    <x v="2"/>
    <s v="43 Smart"/>
    <n v="5"/>
    <n v="11542"/>
    <n v="10"/>
    <n v="18"/>
    <n v="61288.02"/>
    <x v="1"/>
    <x v="3"/>
    <d v="2025-05-06T00:00:00"/>
    <d v="2025-05-15T00:00:00"/>
    <n v="9"/>
    <x v="0"/>
  </r>
  <r>
    <s v="2025-06-12"/>
    <s v="SUP008"/>
    <x v="7"/>
    <x v="0"/>
    <s v="20L"/>
    <n v="16"/>
    <n v="84537"/>
    <n v="5"/>
    <n v="28"/>
    <n v="1644751.87"/>
    <x v="3"/>
    <x v="1"/>
    <d v="2025-06-16T00:00:00"/>
    <d v="2025-06-21T00:00:00"/>
    <n v="5"/>
    <x v="0"/>
  </r>
  <r>
    <s v="2025-03-22"/>
    <s v="SUP002"/>
    <x v="2"/>
    <x v="3"/>
    <s v="1200mm"/>
    <n v="32"/>
    <n v="19780"/>
    <n v="10"/>
    <n v="18"/>
    <n v="672203.52"/>
    <x v="3"/>
    <x v="0"/>
    <d v="2025-03-27T00:00:00"/>
    <d v="2025-03-27T00:00:00"/>
    <n v="0"/>
    <x v="2"/>
  </r>
  <r>
    <s v="2025-05-11"/>
    <s v="SUP005"/>
    <x v="4"/>
    <x v="4"/>
    <s v="2 Ton"/>
    <n v="7"/>
    <n v="7418"/>
    <n v="12"/>
    <n v="12"/>
    <n v="51178.27"/>
    <x v="2"/>
    <x v="3"/>
    <d v="2025-05-16T00:00:00"/>
    <d v="2025-05-24T00:00:00"/>
    <n v="8"/>
    <x v="0"/>
  </r>
  <r>
    <s v="2025-01-12"/>
    <s v="SUP006"/>
    <x v="0"/>
    <x v="6"/>
    <s v="260L"/>
    <n v="5"/>
    <n v="37092"/>
    <n v="5"/>
    <n v="28"/>
    <n v="225519.35999999999"/>
    <x v="1"/>
    <x v="3"/>
    <d v="2025-01-20T00:00:00"/>
    <d v="2025-01-24T00:00:00"/>
    <n v="4"/>
    <x v="0"/>
  </r>
  <r>
    <s v="2025-05-09"/>
    <s v="SUP005"/>
    <x v="4"/>
    <x v="4"/>
    <s v="1 Ton Split"/>
    <n v="39"/>
    <n v="9044"/>
    <n v="5"/>
    <n v="18"/>
    <n v="395394.64"/>
    <x v="1"/>
    <x v="3"/>
    <d v="2025-05-17T00:00:00"/>
    <d v="2025-05-17T00:00:00"/>
    <n v="0"/>
    <x v="2"/>
  </r>
  <r>
    <s v="2025-02-14"/>
    <s v="SUP009"/>
    <x v="8"/>
    <x v="7"/>
    <s v="750W"/>
    <n v="30"/>
    <n v="55678"/>
    <n v="5"/>
    <n v="12"/>
    <n v="1777241.76"/>
    <x v="0"/>
    <x v="3"/>
    <d v="2025-02-19T00:00:00"/>
    <d v="2025-03-02T00:00:00"/>
    <n v="11"/>
    <x v="0"/>
  </r>
  <r>
    <s v="2025-06-10"/>
    <s v="SUP006"/>
    <x v="0"/>
    <x v="7"/>
    <s v="750W"/>
    <n v="23"/>
    <n v="84694"/>
    <n v="10"/>
    <n v="12"/>
    <n v="1963545.7"/>
    <x v="3"/>
    <x v="2"/>
    <d v="2025-06-20T00:00:00"/>
    <d v="2025-07-04T00:00:00"/>
    <n v="14"/>
    <x v="0"/>
  </r>
  <r>
    <s v="2025-05-07"/>
    <s v="SUP004"/>
    <x v="1"/>
    <x v="7"/>
    <s v="750W"/>
    <n v="23"/>
    <n v="26478"/>
    <n v="5"/>
    <n v="18"/>
    <n v="682682.27"/>
    <x v="3"/>
    <x v="3"/>
    <d v="2025-05-11T00:00:00"/>
    <d v="2025-05-26T00:00:00"/>
    <n v="15"/>
    <x v="0"/>
  </r>
  <r>
    <s v="2025-04-21"/>
    <s v="SUP005"/>
    <x v="4"/>
    <x v="2"/>
    <s v="55 4K"/>
    <n v="34"/>
    <n v="68010"/>
    <n v="10"/>
    <n v="12"/>
    <n v="2330838.7200000002"/>
    <x v="2"/>
    <x v="3"/>
    <d v="2025-04-30T00:00:00"/>
    <d v="2025-05-15T00:00:00"/>
    <n v="15"/>
    <x v="0"/>
  </r>
  <r>
    <s v="2025-06-28"/>
    <s v="SUP007"/>
    <x v="5"/>
    <x v="0"/>
    <s v="20L"/>
    <n v="22"/>
    <n v="29999"/>
    <n v="0"/>
    <n v="18"/>
    <n v="778774.04"/>
    <x v="0"/>
    <x v="3"/>
    <d v="2025-07-05T00:00:00"/>
    <d v="2025-07-17T00:00:00"/>
    <n v="12"/>
    <x v="0"/>
  </r>
  <r>
    <s v="2025-06-07"/>
    <s v="SUP008"/>
    <x v="7"/>
    <x v="0"/>
    <s v="28L"/>
    <n v="37"/>
    <n v="75622"/>
    <n v="5"/>
    <n v="18"/>
    <n v="3136573.69"/>
    <x v="3"/>
    <x v="2"/>
    <d v="2025-06-11T00:00:00"/>
    <d v="2025-06-26T00:00:00"/>
    <n v="15"/>
    <x v="0"/>
  </r>
  <r>
    <s v="2025-05-28"/>
    <s v="SUP005"/>
    <x v="4"/>
    <x v="0"/>
    <s v="20L"/>
    <n v="32"/>
    <n v="44325"/>
    <n v="12"/>
    <n v="18"/>
    <n v="1472866.56"/>
    <x v="2"/>
    <x v="0"/>
    <d v="2025-06-07T00:00:00"/>
    <d v="2025-06-18T00:00:00"/>
    <n v="11"/>
    <x v="0"/>
  </r>
  <r>
    <s v="2025-01-16"/>
    <s v="SUP006"/>
    <x v="0"/>
    <x v="0"/>
    <s v="28L"/>
    <n v="20"/>
    <n v="64887"/>
    <n v="12"/>
    <n v="28"/>
    <n v="1461774.34"/>
    <x v="1"/>
    <x v="2"/>
    <d v="2025-01-24T00:00:00"/>
    <d v="2025-02-08T00:00:00"/>
    <n v="15"/>
    <x v="0"/>
  </r>
</pivotCacheRecords>
</file>

<file path=xl/pivotCache/pivotCacheRecords3.xml><?xml version="1.0" encoding="utf-8"?>
<pivotCacheRecords xmlns="http://schemas.openxmlformats.org/spreadsheetml/2006/main" xmlns:r="http://schemas.openxmlformats.org/officeDocument/2006/relationships" count="112">
  <r>
    <s v="2025-01-24"/>
    <s v="South India Appliances"/>
    <x v="0"/>
    <s v="500W"/>
    <n v="36"/>
    <n v="22121"/>
    <n v="5"/>
    <n v="18"/>
    <n v="892715.08"/>
    <x v="0"/>
    <s v="RTGS"/>
    <n v="678305"/>
  </r>
  <r>
    <s v="2025-01-14"/>
    <s v="South India Appliances"/>
    <x v="1"/>
    <s v="35L"/>
    <n v="8"/>
    <n v="44459"/>
    <n v="5"/>
    <n v="28"/>
    <n v="432497.15"/>
    <x v="1"/>
    <s v="NEFT"/>
    <n v="175255"/>
  </r>
  <r>
    <s v="2025-06-04"/>
    <s v="South India Appliances"/>
    <x v="2"/>
    <s v="43 Smart"/>
    <n v="12"/>
    <n v="62014"/>
    <n v="0"/>
    <n v="18"/>
    <n v="878118.24"/>
    <x v="2"/>
    <s v="Cheque"/>
    <n v="932689"/>
  </r>
  <r>
    <s v="2025-05-18"/>
    <s v="South India Appliances"/>
    <x v="2"/>
    <s v="55 4K"/>
    <n v="26"/>
    <n v="75052"/>
    <n v="0"/>
    <n v="18"/>
    <n v="2302595.36"/>
    <x v="0"/>
    <s v="Credit"/>
    <n v="932689"/>
  </r>
  <r>
    <s v="2025-03-12"/>
    <s v="South India Appliances"/>
    <x v="1"/>
    <s v="35L"/>
    <n v="5"/>
    <n v="18968"/>
    <n v="5"/>
    <n v="12"/>
    <n v="100909.75999999999"/>
    <x v="0"/>
    <s v="NEFT"/>
    <n v="175255"/>
  </r>
  <r>
    <s v="2025-02-06"/>
    <s v="South India Appliances"/>
    <x v="3"/>
    <s v="Top Load"/>
    <n v="29"/>
    <n v="60870"/>
    <n v="10"/>
    <n v="12"/>
    <n v="1779351.84"/>
    <x v="3"/>
    <s v="NEFT"/>
    <n v="356491"/>
  </r>
  <r>
    <s v="2025-04-10"/>
    <s v="South India Appliances"/>
    <x v="4"/>
    <s v="20L"/>
    <n v="7"/>
    <n v="33377"/>
    <n v="0"/>
    <n v="18"/>
    <n v="275694.02"/>
    <x v="3"/>
    <s v="RTGS"/>
    <n v="667863"/>
  </r>
  <r>
    <s v="2025-06-23"/>
    <s v="South India Appliances"/>
    <x v="1"/>
    <s v="35L"/>
    <n v="3"/>
    <n v="58699"/>
    <n v="12"/>
    <n v="18"/>
    <n v="182859.12"/>
    <x v="3"/>
    <s v="Credit"/>
    <n v="175255"/>
  </r>
  <r>
    <s v="2025-02-25"/>
    <s v="South India Appliances"/>
    <x v="0"/>
    <s v="500W"/>
    <n v="26"/>
    <n v="44852"/>
    <n v="5"/>
    <n v="12"/>
    <n v="1240785.73"/>
    <x v="0"/>
    <s v="RTGS"/>
    <n v="678305"/>
  </r>
  <r>
    <s v="2025-02-01"/>
    <s v="South India Appliances"/>
    <x v="5"/>
    <s v="190L"/>
    <n v="28"/>
    <n v="51788"/>
    <n v="5"/>
    <n v="12"/>
    <n v="1542868.1"/>
    <x v="2"/>
    <s v="Credit"/>
    <n v="435185"/>
  </r>
  <r>
    <s v="2025-04-19"/>
    <s v="South India Appliances"/>
    <x v="6"/>
    <s v="1200mm"/>
    <n v="17"/>
    <n v="7715"/>
    <n v="5"/>
    <n v="18"/>
    <n v="147024.76"/>
    <x v="1"/>
    <s v="RTGS"/>
    <n v="252741"/>
  </r>
  <r>
    <s v="2025-03-20"/>
    <s v="South India Appliances"/>
    <x v="4"/>
    <s v="20L"/>
    <n v="26"/>
    <n v="56644"/>
    <n v="10"/>
    <n v="28"/>
    <n v="1696601.09"/>
    <x v="3"/>
    <s v="NEFT"/>
    <n v="667863"/>
  </r>
  <r>
    <s v="2025-01-28"/>
    <s v="South India Appliances"/>
    <x v="7"/>
    <s v="1 Ton Split"/>
    <n v="4"/>
    <n v="58413"/>
    <n v="0"/>
    <n v="12"/>
    <n v="261690.23999999999"/>
    <x v="3"/>
    <s v="RTGS"/>
    <n v="1182995"/>
  </r>
  <r>
    <s v="2025-05-07"/>
    <s v="South India Appliances"/>
    <x v="4"/>
    <s v="20L"/>
    <n v="2"/>
    <n v="66487"/>
    <n v="0"/>
    <n v="18"/>
    <n v="156909.32"/>
    <x v="0"/>
    <s v="Credit"/>
    <n v="667863"/>
  </r>
  <r>
    <s v="2025-01-09"/>
    <s v="South India Appliances"/>
    <x v="4"/>
    <s v="28L"/>
    <n v="8"/>
    <n v="39860"/>
    <n v="12"/>
    <n v="18"/>
    <n v="331124.99"/>
    <x v="2"/>
    <s v="Credit"/>
    <n v="667863"/>
  </r>
  <r>
    <s v="2025-05-21"/>
    <s v="South India Appliances"/>
    <x v="2"/>
    <s v="43 Smart"/>
    <n v="6"/>
    <n v="26235"/>
    <n v="0"/>
    <n v="28"/>
    <n v="201484.79999999999"/>
    <x v="2"/>
    <s v="Credit"/>
    <n v="932689"/>
  </r>
  <r>
    <s v="2025-01-22"/>
    <s v="South India Appliances"/>
    <x v="0"/>
    <s v="750W"/>
    <n v="8"/>
    <n v="50853"/>
    <n v="12"/>
    <n v="12"/>
    <n v="400965.73"/>
    <x v="0"/>
    <s v="RTGS"/>
    <n v="678305"/>
  </r>
  <r>
    <s v="2025-01-14"/>
    <s v="South India Appliances"/>
    <x v="7"/>
    <s v="1.5 Ton Inverter"/>
    <n v="16"/>
    <n v="29760"/>
    <n v="10"/>
    <n v="12"/>
    <n v="479969.28000000003"/>
    <x v="1"/>
    <s v="RTGS"/>
    <n v="1182995"/>
  </r>
  <r>
    <s v="2025-06-19"/>
    <s v="South India Appliances"/>
    <x v="0"/>
    <s v="500W"/>
    <n v="3"/>
    <n v="25850"/>
    <n v="12"/>
    <n v="18"/>
    <n v="80527.92"/>
    <x v="3"/>
    <s v="NEFT"/>
    <n v="678305"/>
  </r>
  <r>
    <s v="2025-02-15"/>
    <s v="South India Appliances"/>
    <x v="4"/>
    <s v="28L"/>
    <n v="35"/>
    <n v="24674"/>
    <n v="12"/>
    <n v="28"/>
    <n v="972747.78"/>
    <x v="1"/>
    <s v="RTGS"/>
    <n v="667863"/>
  </r>
  <r>
    <s v="2025-06-26"/>
    <s v="South India Appliances"/>
    <x v="0"/>
    <s v="500W"/>
    <n v="4"/>
    <n v="47511"/>
    <n v="5"/>
    <n v="28"/>
    <n v="231093.5"/>
    <x v="3"/>
    <s v="RTGS"/>
    <n v="678305"/>
  </r>
  <r>
    <s v="2025-01-31"/>
    <s v="South India Appliances"/>
    <x v="2"/>
    <s v="55 4K"/>
    <n v="17"/>
    <n v="44884"/>
    <n v="10"/>
    <n v="12"/>
    <n v="769132.22"/>
    <x v="0"/>
    <s v="RTGS"/>
    <n v="932689"/>
  </r>
  <r>
    <s v="2025-03-18"/>
    <s v="South India Appliances"/>
    <x v="4"/>
    <s v="28L"/>
    <n v="17"/>
    <n v="40533"/>
    <n v="5"/>
    <n v="12"/>
    <n v="733160.9"/>
    <x v="0"/>
    <s v="Cheque"/>
    <n v="667863"/>
  </r>
  <r>
    <s v="2025-04-02"/>
    <s v="South India Appliances"/>
    <x v="4"/>
    <s v="28L"/>
    <n v="3"/>
    <n v="2148"/>
    <n v="0"/>
    <n v="28"/>
    <n v="8248.32"/>
    <x v="3"/>
    <s v="Credit"/>
    <n v="667863"/>
  </r>
  <r>
    <s v="2025-03-23"/>
    <s v="South India Appliances"/>
    <x v="7"/>
    <s v="1.5 Ton Inverter"/>
    <n v="27"/>
    <n v="75982"/>
    <n v="0"/>
    <n v="18"/>
    <n v="2420786.52"/>
    <x v="0"/>
    <s v="Cheque"/>
    <n v="1182995"/>
  </r>
  <r>
    <s v="2025-03-04"/>
    <s v="South India Appliances"/>
    <x v="0"/>
    <s v="500W"/>
    <n v="6"/>
    <n v="39218"/>
    <n v="12"/>
    <n v="12"/>
    <n v="231919.56"/>
    <x v="2"/>
    <s v="NEFT"/>
    <n v="678305"/>
  </r>
  <r>
    <s v="2025-06-14"/>
    <s v="South India Appliances"/>
    <x v="4"/>
    <s v="28L"/>
    <n v="33"/>
    <n v="53887"/>
    <n v="0"/>
    <n v="28"/>
    <n v="2276186.88"/>
    <x v="1"/>
    <s v="Credit"/>
    <n v="667863"/>
  </r>
  <r>
    <s v="2025-06-05"/>
    <s v="South India Appliances"/>
    <x v="3"/>
    <s v="Top Load"/>
    <n v="19"/>
    <n v="42643"/>
    <n v="12"/>
    <n v="28"/>
    <n v="912628.43"/>
    <x v="0"/>
    <s v="RTGS"/>
    <n v="356491"/>
  </r>
  <r>
    <s v="2025-06-08"/>
    <s v="South India Appliances"/>
    <x v="4"/>
    <s v="20L"/>
    <n v="28"/>
    <n v="3894"/>
    <n v="5"/>
    <n v="18"/>
    <n v="122224.87"/>
    <x v="3"/>
    <s v="NEFT"/>
    <n v="667863"/>
  </r>
  <r>
    <s v="2025-06-19"/>
    <s v="South India Appliances"/>
    <x v="5"/>
    <s v="190L"/>
    <n v="6"/>
    <n v="33109"/>
    <n v="12"/>
    <n v="18"/>
    <n v="206282.31"/>
    <x v="0"/>
    <s v="Credit"/>
    <n v="435185"/>
  </r>
  <r>
    <s v="2025-03-24"/>
    <s v="South India Appliances"/>
    <x v="2"/>
    <s v="32 LED"/>
    <n v="36"/>
    <n v="21589"/>
    <n v="5"/>
    <n v="28"/>
    <n v="945080.06"/>
    <x v="2"/>
    <s v="Credit"/>
    <n v="932689"/>
  </r>
  <r>
    <s v="2025-02-04"/>
    <s v="South India Appliances"/>
    <x v="6"/>
    <s v="1200mm"/>
    <n v="10"/>
    <n v="82569"/>
    <n v="10"/>
    <n v="28"/>
    <n v="951194.88"/>
    <x v="0"/>
    <s v="NEFT"/>
    <n v="252741"/>
  </r>
  <r>
    <s v="2025-05-19"/>
    <s v="South India Appliances"/>
    <x v="0"/>
    <s v="500W"/>
    <n v="31"/>
    <n v="49343"/>
    <n v="5"/>
    <n v="28"/>
    <n v="1860033.73"/>
    <x v="2"/>
    <s v="Credit"/>
    <n v="678305"/>
  </r>
  <r>
    <s v="2025-04-21"/>
    <s v="South India Appliances"/>
    <x v="7"/>
    <s v="2 Ton"/>
    <n v="20"/>
    <n v="30037"/>
    <n v="0"/>
    <n v="12"/>
    <n v="672828.8"/>
    <x v="3"/>
    <s v="NEFT"/>
    <n v="1182995"/>
  </r>
  <r>
    <s v="2025-06-01"/>
    <s v="South India Appliances"/>
    <x v="7"/>
    <s v="1 Ton Split"/>
    <n v="25"/>
    <n v="46032"/>
    <n v="10"/>
    <n v="28"/>
    <n v="1325721.6000000001"/>
    <x v="1"/>
    <s v="Cheque"/>
    <n v="1182995"/>
  </r>
  <r>
    <s v="2025-05-14"/>
    <s v="South India Appliances"/>
    <x v="3"/>
    <s v="Top Load"/>
    <n v="7"/>
    <n v="51765"/>
    <n v="12"/>
    <n v="12"/>
    <n v="357137.09"/>
    <x v="3"/>
    <s v="Cheque"/>
    <n v="356491"/>
  </r>
  <r>
    <s v="2025-02-11"/>
    <s v="South India Appliances"/>
    <x v="3"/>
    <s v="Front Load"/>
    <n v="6"/>
    <n v="69675"/>
    <n v="5"/>
    <n v="12"/>
    <n v="444805.2"/>
    <x v="1"/>
    <s v="Cheque"/>
    <n v="356491"/>
  </r>
  <r>
    <s v="2025-05-25"/>
    <s v="South India Appliances"/>
    <x v="2"/>
    <s v="32 LED"/>
    <n v="22"/>
    <n v="12249"/>
    <n v="10"/>
    <n v="12"/>
    <n v="271633.82"/>
    <x v="0"/>
    <s v="Cheque"/>
    <n v="932689"/>
  </r>
  <r>
    <s v="2025-03-09"/>
    <s v="South India Appliances"/>
    <x v="2"/>
    <s v="43 Smart"/>
    <n v="18"/>
    <n v="56290"/>
    <n v="12"/>
    <n v="28"/>
    <n v="1141291.01"/>
    <x v="2"/>
    <s v="RTGS"/>
    <n v="932689"/>
  </r>
  <r>
    <s v="2025-06-21"/>
    <s v="South India Appliances"/>
    <x v="2"/>
    <s v="55 4K"/>
    <n v="11"/>
    <n v="42950"/>
    <n v="12"/>
    <n v="28"/>
    <n v="532167.68000000005"/>
    <x v="1"/>
    <s v="RTGS"/>
    <n v="932689"/>
  </r>
  <r>
    <s v="2025-05-12"/>
    <s v="South India Appliances"/>
    <x v="5"/>
    <s v="190L"/>
    <n v="6"/>
    <n v="69435"/>
    <n v="5"/>
    <n v="18"/>
    <n v="467019.81"/>
    <x v="0"/>
    <s v="RTGS"/>
    <n v="435185"/>
  </r>
  <r>
    <s v="2025-03-14"/>
    <s v="South India Appliances"/>
    <x v="2"/>
    <s v="55 4K"/>
    <n v="23"/>
    <n v="51663"/>
    <n v="10"/>
    <n v="18"/>
    <n v="1261920.44"/>
    <x v="1"/>
    <s v="NEFT"/>
    <n v="932689"/>
  </r>
  <r>
    <s v="2025-06-16"/>
    <s v="South India Appliances"/>
    <x v="7"/>
    <s v="2 Ton"/>
    <n v="11"/>
    <n v="36348"/>
    <n v="5"/>
    <n v="18"/>
    <n v="448207.19"/>
    <x v="2"/>
    <s v="Cheque"/>
    <n v="1182995"/>
  </r>
  <r>
    <s v="2025-01-21"/>
    <s v="South India Appliances"/>
    <x v="0"/>
    <s v="500W"/>
    <n v="27"/>
    <n v="61710"/>
    <n v="5"/>
    <n v="18"/>
    <n v="1867776.57"/>
    <x v="3"/>
    <s v="Cheque"/>
    <n v="678305"/>
  </r>
  <r>
    <s v="2025-03-28"/>
    <s v="South India Appliances"/>
    <x v="2"/>
    <s v="32 LED"/>
    <n v="25"/>
    <n v="4341"/>
    <n v="12"/>
    <n v="18"/>
    <n v="112692.36"/>
    <x v="0"/>
    <s v="NEFT"/>
    <n v="932689"/>
  </r>
  <r>
    <s v="2025-05-26"/>
    <s v="South India Appliances"/>
    <x v="3"/>
    <s v="Top Load"/>
    <n v="9"/>
    <n v="7767"/>
    <n v="5"/>
    <n v="18"/>
    <n v="78361.259999999995"/>
    <x v="2"/>
    <s v="RTGS"/>
    <n v="356491"/>
  </r>
  <r>
    <s v="2025-02-02"/>
    <s v="South India Appliances"/>
    <x v="7"/>
    <s v="1.5 Ton Inverter"/>
    <n v="29"/>
    <n v="78268"/>
    <n v="10"/>
    <n v="18"/>
    <n v="2410497.86"/>
    <x v="1"/>
    <s v="Credit"/>
    <n v="1182995"/>
  </r>
  <r>
    <s v="2025-05-28"/>
    <s v="South India Appliances"/>
    <x v="4"/>
    <s v="28L"/>
    <n v="28"/>
    <n v="77454"/>
    <n v="0"/>
    <n v="28"/>
    <n v="2775951.3599999999"/>
    <x v="1"/>
    <s v="RTGS"/>
    <n v="667863"/>
  </r>
  <r>
    <s v="2025-03-08"/>
    <s v="South India Appliances"/>
    <x v="7"/>
    <s v="1.5 Ton Inverter"/>
    <n v="18"/>
    <n v="62309"/>
    <n v="0"/>
    <n v="28"/>
    <n v="1435599.36"/>
    <x v="3"/>
    <s v="Cheque"/>
    <n v="1182995"/>
  </r>
  <r>
    <s v="2025-01-16"/>
    <s v="South India Appliances"/>
    <x v="5"/>
    <s v="260L"/>
    <n v="30"/>
    <n v="55633"/>
    <n v="10"/>
    <n v="18"/>
    <n v="1772467.38"/>
    <x v="3"/>
    <s v="NEFT"/>
    <n v="435185"/>
  </r>
  <r>
    <s v="2025-01-27"/>
    <s v="South India Appliances"/>
    <x v="0"/>
    <s v="750W"/>
    <n v="23"/>
    <n v="76671"/>
    <n v="0"/>
    <n v="12"/>
    <n v="1975044.96"/>
    <x v="2"/>
    <s v="NEFT"/>
    <n v="678305"/>
  </r>
  <r>
    <s v="2025-02-27"/>
    <s v="South India Appliances"/>
    <x v="7"/>
    <s v="2 Ton"/>
    <n v="17"/>
    <n v="54665"/>
    <n v="0"/>
    <n v="28"/>
    <n v="1189510.3999999999"/>
    <x v="1"/>
    <s v="NEFT"/>
    <n v="1182995"/>
  </r>
  <r>
    <s v="2025-01-27"/>
    <s v="South India Appliances"/>
    <x v="0"/>
    <s v="750W"/>
    <n v="27"/>
    <n v="18148"/>
    <n v="12"/>
    <n v="12"/>
    <n v="482940.06"/>
    <x v="2"/>
    <s v="RTGS"/>
    <n v="678305"/>
  </r>
  <r>
    <s v="2025-01-26"/>
    <s v="South India Appliances"/>
    <x v="4"/>
    <s v="28L"/>
    <n v="5"/>
    <n v="16146"/>
    <n v="12"/>
    <n v="28"/>
    <n v="90934.27"/>
    <x v="2"/>
    <s v="RTGS"/>
    <n v="667863"/>
  </r>
  <r>
    <s v="2025-04-29"/>
    <s v="South India Appliances"/>
    <x v="7"/>
    <s v="1 Ton Split"/>
    <n v="19"/>
    <n v="80190"/>
    <n v="10"/>
    <n v="28"/>
    <n v="1755198.72"/>
    <x v="2"/>
    <s v="Cheque"/>
    <n v="1182995"/>
  </r>
  <r>
    <s v="2025-02-25"/>
    <s v="South India Appliances"/>
    <x v="0"/>
    <s v="750W"/>
    <n v="29"/>
    <n v="5690"/>
    <n v="0"/>
    <n v="28"/>
    <n v="211212.79999999999"/>
    <x v="3"/>
    <s v="Cheque"/>
    <n v="678305"/>
  </r>
  <r>
    <s v="2025-03-09"/>
    <s v="South India Appliances"/>
    <x v="2"/>
    <s v="43 Smart"/>
    <n v="29"/>
    <n v="30939"/>
    <n v="5"/>
    <n v="18"/>
    <n v="1005795.95"/>
    <x v="2"/>
    <s v="NEFT"/>
    <n v="932689"/>
  </r>
  <r>
    <s v="2025-02-08"/>
    <s v="South India Appliances"/>
    <x v="6"/>
    <s v="1200mm"/>
    <n v="39"/>
    <n v="1306"/>
    <n v="5"/>
    <n v="28"/>
    <n v="61935.74"/>
    <x v="1"/>
    <s v="NEFT"/>
    <n v="252741"/>
  </r>
  <r>
    <s v="2025-05-19"/>
    <s v="South India Appliances"/>
    <x v="5"/>
    <s v="260L"/>
    <n v="24"/>
    <n v="8874"/>
    <n v="12"/>
    <n v="12"/>
    <n v="209909.15"/>
    <x v="1"/>
    <s v="Cheque"/>
    <n v="435185"/>
  </r>
  <r>
    <s v="2025-02-12"/>
    <s v="South India Appliances"/>
    <x v="3"/>
    <s v="Top Load"/>
    <n v="32"/>
    <n v="47125"/>
    <n v="0"/>
    <n v="12"/>
    <n v="1688960"/>
    <x v="3"/>
    <s v="RTGS"/>
    <n v="356491"/>
  </r>
  <r>
    <s v="2025-01-09"/>
    <s v="South India Appliances"/>
    <x v="1"/>
    <s v="35L"/>
    <n v="13"/>
    <n v="53129"/>
    <n v="0"/>
    <n v="18"/>
    <n v="814998.86"/>
    <x v="3"/>
    <s v="NEFT"/>
    <n v="175255"/>
  </r>
  <r>
    <s v="2025-01-20"/>
    <s v="South India Appliances"/>
    <x v="2"/>
    <s v="32 LED"/>
    <n v="37"/>
    <n v="15514"/>
    <n v="10"/>
    <n v="18"/>
    <n v="609607.12"/>
    <x v="1"/>
    <s v="Credit"/>
    <n v="932689"/>
  </r>
  <r>
    <s v="2025-01-02"/>
    <s v="South India Appliances"/>
    <x v="7"/>
    <s v="1.5 Ton Inverter"/>
    <n v="9"/>
    <n v="10150"/>
    <n v="12"/>
    <n v="18"/>
    <n v="94857.84"/>
    <x v="0"/>
    <s v="Cheque"/>
    <n v="1182995"/>
  </r>
  <r>
    <s v="2025-02-02"/>
    <s v="South India Appliances"/>
    <x v="7"/>
    <s v="1.5 Ton Inverter"/>
    <n v="23"/>
    <n v="33160"/>
    <n v="5"/>
    <n v="12"/>
    <n v="811491.52"/>
    <x v="2"/>
    <s v="RTGS"/>
    <n v="1182995"/>
  </r>
  <r>
    <s v="2025-06-23"/>
    <s v="South India Appliances"/>
    <x v="5"/>
    <s v="260L"/>
    <n v="16"/>
    <n v="20229"/>
    <n v="0"/>
    <n v="28"/>
    <n v="414289.91999999998"/>
    <x v="3"/>
    <s v="RTGS"/>
    <n v="435185"/>
  </r>
  <r>
    <s v="2025-06-08"/>
    <s v="South India Appliances"/>
    <x v="3"/>
    <s v="Top Load"/>
    <n v="33"/>
    <n v="56994"/>
    <n v="10"/>
    <n v="12"/>
    <n v="1895848.42"/>
    <x v="2"/>
    <s v="RTGS"/>
    <n v="356491"/>
  </r>
  <r>
    <s v="2025-01-05"/>
    <s v="South India Appliances"/>
    <x v="5"/>
    <s v="190L"/>
    <n v="40"/>
    <n v="77515"/>
    <n v="10"/>
    <n v="12"/>
    <n v="3125404.8"/>
    <x v="3"/>
    <s v="Cheque"/>
    <n v="435185"/>
  </r>
  <r>
    <s v="2025-01-10"/>
    <s v="South India Appliances"/>
    <x v="7"/>
    <s v="1.5 Ton Inverter"/>
    <n v="15"/>
    <n v="3235"/>
    <n v="0"/>
    <n v="12"/>
    <n v="54348"/>
    <x v="3"/>
    <s v="RTGS"/>
    <n v="1182995"/>
  </r>
  <r>
    <s v="2025-03-04"/>
    <s v="South India Appliances"/>
    <x v="7"/>
    <s v="1 Ton Split"/>
    <n v="6"/>
    <n v="23952"/>
    <n v="5"/>
    <n v="18"/>
    <n v="161101.15"/>
    <x v="1"/>
    <s v="RTGS"/>
    <n v="1182995"/>
  </r>
  <r>
    <s v="2025-04-05"/>
    <s v="South India Appliances"/>
    <x v="0"/>
    <s v="750W"/>
    <n v="10"/>
    <n v="6035"/>
    <n v="10"/>
    <n v="12"/>
    <n v="60832.800000000003"/>
    <x v="1"/>
    <s v="Credit"/>
    <n v="678305"/>
  </r>
  <r>
    <s v="2025-04-26"/>
    <s v="South India Appliances"/>
    <x v="2"/>
    <s v="55 4K"/>
    <n v="17"/>
    <n v="68808"/>
    <n v="10"/>
    <n v="28"/>
    <n v="1347535.87"/>
    <x v="2"/>
    <s v="RTGS"/>
    <n v="932689"/>
  </r>
  <r>
    <s v="2025-01-18"/>
    <s v="South India Appliances"/>
    <x v="2"/>
    <s v="43 Smart"/>
    <n v="9"/>
    <n v="84854"/>
    <n v="0"/>
    <n v="28"/>
    <n v="977518.07999999996"/>
    <x v="1"/>
    <s v="Cheque"/>
    <n v="932689"/>
  </r>
  <r>
    <s v="2025-03-29"/>
    <s v="South India Appliances"/>
    <x v="2"/>
    <s v="32 LED"/>
    <n v="2"/>
    <n v="44724"/>
    <n v="10"/>
    <n v="12"/>
    <n v="90163.58"/>
    <x v="0"/>
    <s v="Cheque"/>
    <n v="932689"/>
  </r>
  <r>
    <s v="2025-01-13"/>
    <s v="South India Appliances"/>
    <x v="7"/>
    <s v="2 Ton"/>
    <n v="4"/>
    <n v="31278"/>
    <n v="0"/>
    <n v="18"/>
    <n v="147632.16"/>
    <x v="3"/>
    <s v="RTGS"/>
    <n v="1182995"/>
  </r>
  <r>
    <s v="2025-04-08"/>
    <s v="South India Appliances"/>
    <x v="5"/>
    <s v="190L"/>
    <n v="4"/>
    <n v="9782"/>
    <n v="12"/>
    <n v="12"/>
    <n v="38564.559999999998"/>
    <x v="3"/>
    <s v="RTGS"/>
    <n v="435185"/>
  </r>
  <r>
    <s v="2025-02-23"/>
    <s v="South India Appliances"/>
    <x v="7"/>
    <s v="1.5 Ton Inverter"/>
    <n v="40"/>
    <n v="23259"/>
    <n v="12"/>
    <n v="18"/>
    <n v="966085.82"/>
    <x v="0"/>
    <s v="RTGS"/>
    <n v="1182995"/>
  </r>
  <r>
    <s v="2025-05-13"/>
    <s v="South India Appliances"/>
    <x v="2"/>
    <s v="32 LED"/>
    <n v="22"/>
    <n v="3406"/>
    <n v="0"/>
    <n v="18"/>
    <n v="88419.76"/>
    <x v="1"/>
    <s v="RTGS"/>
    <n v="932689"/>
  </r>
  <r>
    <s v="2025-06-26"/>
    <s v="South India Appliances"/>
    <x v="0"/>
    <s v="500W"/>
    <n v="21"/>
    <n v="83767"/>
    <n v="10"/>
    <n v="28"/>
    <n v="2026491.26"/>
    <x v="3"/>
    <s v="RTGS"/>
    <n v="678305"/>
  </r>
  <r>
    <s v="2025-03-02"/>
    <s v="South India Appliances"/>
    <x v="7"/>
    <s v="1.5 Ton Inverter"/>
    <n v="16"/>
    <n v="69483"/>
    <n v="12"/>
    <n v="18"/>
    <n v="1154418.3600000001"/>
    <x v="3"/>
    <s v="Credit"/>
    <n v="1182995"/>
  </r>
  <r>
    <s v="2025-01-12"/>
    <s v="South India Appliances"/>
    <x v="4"/>
    <s v="28L"/>
    <n v="32"/>
    <n v="61053"/>
    <n v="5"/>
    <n v="28"/>
    <n v="2375694.34"/>
    <x v="2"/>
    <s v="RTGS"/>
    <n v="667863"/>
  </r>
  <r>
    <s v="2025-05-30"/>
    <s v="South India Appliances"/>
    <x v="2"/>
    <s v="55 4K"/>
    <n v="36"/>
    <n v="20072"/>
    <n v="12"/>
    <n v="18"/>
    <n v="750339.53"/>
    <x v="1"/>
    <s v="Cheque"/>
    <n v="932689"/>
  </r>
  <r>
    <s v="2025-04-27"/>
    <s v="South India Appliances"/>
    <x v="7"/>
    <s v="2 Ton"/>
    <n v="5"/>
    <n v="37458"/>
    <n v="10"/>
    <n v="12"/>
    <n v="188788.32"/>
    <x v="0"/>
    <s v="NEFT"/>
    <n v="1182995"/>
  </r>
  <r>
    <s v="2025-06-27"/>
    <s v="South India Appliances"/>
    <x v="5"/>
    <s v="190L"/>
    <n v="27"/>
    <n v="83932"/>
    <n v="5"/>
    <n v="12"/>
    <n v="2411198.5"/>
    <x v="0"/>
    <s v="Credit"/>
    <n v="435185"/>
  </r>
  <r>
    <s v="2025-01-10"/>
    <s v="South India Appliances"/>
    <x v="5"/>
    <s v="260L"/>
    <n v="15"/>
    <n v="24888"/>
    <n v="12"/>
    <n v="18"/>
    <n v="387655.49"/>
    <x v="3"/>
    <s v="Cheque"/>
    <n v="435185"/>
  </r>
  <r>
    <s v="2025-05-14"/>
    <s v="South India Appliances"/>
    <x v="2"/>
    <s v="43 Smart"/>
    <n v="39"/>
    <n v="28275"/>
    <n v="5"/>
    <n v="28"/>
    <n v="1340913.6000000001"/>
    <x v="3"/>
    <s v="NEFT"/>
    <n v="932689"/>
  </r>
  <r>
    <s v="2025-02-08"/>
    <s v="South India Appliances"/>
    <x v="4"/>
    <s v="28L"/>
    <n v="7"/>
    <n v="22523"/>
    <n v="5"/>
    <n v="28"/>
    <n v="191715.78"/>
    <x v="2"/>
    <s v="Cheque"/>
    <n v="667863"/>
  </r>
  <r>
    <s v="2025-06-04"/>
    <s v="South India Appliances"/>
    <x v="6"/>
    <s v="1200mm"/>
    <n v="21"/>
    <n v="66620"/>
    <n v="10"/>
    <n v="18"/>
    <n v="1485759.24"/>
    <x v="0"/>
    <s v="NEFT"/>
    <n v="252741"/>
  </r>
  <r>
    <s v="2025-04-28"/>
    <s v="South India Appliances"/>
    <x v="0"/>
    <s v="500W"/>
    <n v="16"/>
    <n v="82609"/>
    <n v="12"/>
    <n v="18"/>
    <n v="1372498.97"/>
    <x v="2"/>
    <s v="NEFT"/>
    <n v="678305"/>
  </r>
  <r>
    <s v="2025-06-02"/>
    <s v="South India Appliances"/>
    <x v="6"/>
    <s v="1200mm"/>
    <n v="16"/>
    <n v="81345"/>
    <n v="12"/>
    <n v="18"/>
    <n v="1351498.37"/>
    <x v="2"/>
    <s v="Credit"/>
    <n v="252741"/>
  </r>
  <r>
    <s v="2025-04-25"/>
    <s v="South India Appliances"/>
    <x v="4"/>
    <s v="28L"/>
    <n v="28"/>
    <n v="68361"/>
    <n v="12"/>
    <n v="28"/>
    <n v="2156051.25"/>
    <x v="2"/>
    <s v="Credit"/>
    <n v="667863"/>
  </r>
  <r>
    <s v="2025-01-09"/>
    <s v="South India Appliances"/>
    <x v="0"/>
    <s v="750W"/>
    <n v="24"/>
    <n v="23598"/>
    <n v="10"/>
    <n v="18"/>
    <n v="601465.81999999995"/>
    <x v="1"/>
    <s v="Cheque"/>
    <n v="678305"/>
  </r>
  <r>
    <s v="2025-05-07"/>
    <s v="South India Appliances"/>
    <x v="7"/>
    <s v="1 Ton Split"/>
    <n v="15"/>
    <n v="9698"/>
    <n v="12"/>
    <n v="28"/>
    <n v="163857.41"/>
    <x v="1"/>
    <s v="RTGS"/>
    <n v="1182995"/>
  </r>
  <r>
    <s v="2025-04-30"/>
    <s v="South India Appliances"/>
    <x v="7"/>
    <s v="2 Ton"/>
    <n v="37"/>
    <n v="7405"/>
    <n v="10"/>
    <n v="18"/>
    <n v="290972.07"/>
    <x v="1"/>
    <s v="Cheque"/>
    <n v="1182995"/>
  </r>
  <r>
    <s v="2025-03-07"/>
    <s v="South India Appliances"/>
    <x v="3"/>
    <s v="Top Load"/>
    <n v="11"/>
    <n v="19652"/>
    <n v="10"/>
    <n v="28"/>
    <n v="249030.14"/>
    <x v="0"/>
    <s v="NEFT"/>
    <n v="356491"/>
  </r>
  <r>
    <s v="2025-06-11"/>
    <s v="South India Appliances"/>
    <x v="2"/>
    <s v="43 Smart"/>
    <n v="22"/>
    <n v="82235"/>
    <n v="12"/>
    <n v="28"/>
    <n v="2037849.09"/>
    <x v="0"/>
    <s v="Cheque"/>
    <n v="932689"/>
  </r>
  <r>
    <s v="2025-01-31"/>
    <s v="South India Appliances"/>
    <x v="7"/>
    <s v="1 Ton Split"/>
    <n v="34"/>
    <n v="75959"/>
    <n v="0"/>
    <n v="28"/>
    <n v="3305735.68"/>
    <x v="2"/>
    <s v="NEFT"/>
    <n v="1182995"/>
  </r>
  <r>
    <s v="2025-02-25"/>
    <s v="South India Appliances"/>
    <x v="7"/>
    <s v="1.5 Ton Inverter"/>
    <n v="35"/>
    <n v="80507"/>
    <n v="10"/>
    <n v="28"/>
    <n v="3246042.24"/>
    <x v="0"/>
    <s v="RTGS"/>
    <n v="1182995"/>
  </r>
  <r>
    <s v="2025-04-12"/>
    <s v="South India Appliances"/>
    <x v="6"/>
    <s v="1200mm"/>
    <n v="13"/>
    <n v="13186"/>
    <n v="10"/>
    <n v="28"/>
    <n v="197473.54"/>
    <x v="3"/>
    <s v="RTGS"/>
    <n v="252741"/>
  </r>
  <r>
    <s v="2025-01-26"/>
    <s v="South India Appliances"/>
    <x v="2"/>
    <s v="55 4K"/>
    <n v="14"/>
    <n v="5971"/>
    <n v="12"/>
    <n v="18"/>
    <n v="86804.01"/>
    <x v="3"/>
    <s v="Cheque"/>
    <n v="932689"/>
  </r>
  <r>
    <s v="2025-01-28"/>
    <s v="South India Appliances"/>
    <x v="7"/>
    <s v="1 Ton Split"/>
    <n v="8"/>
    <n v="23093"/>
    <n v="12"/>
    <n v="12"/>
    <n v="182083.69"/>
    <x v="1"/>
    <s v="Credit"/>
    <n v="1182995"/>
  </r>
  <r>
    <s v="2025-06-17"/>
    <s v="South India Appliances"/>
    <x v="7"/>
    <s v="2 Ton"/>
    <n v="18"/>
    <n v="36775"/>
    <n v="10"/>
    <n v="28"/>
    <n v="762566.4"/>
    <x v="0"/>
    <s v="NEFT"/>
    <n v="1182995"/>
  </r>
  <r>
    <s v="2025-04-02"/>
    <s v="South India Appliances"/>
    <x v="7"/>
    <s v="2 Ton"/>
    <n v="29"/>
    <n v="79667"/>
    <n v="12"/>
    <n v="18"/>
    <n v="2399060.17"/>
    <x v="1"/>
    <s v="Cheque"/>
    <n v="1182995"/>
  </r>
  <r>
    <s v="2025-06-11"/>
    <s v="South India Appliances"/>
    <x v="2"/>
    <s v="43 Smart"/>
    <n v="2"/>
    <n v="32696"/>
    <n v="0"/>
    <n v="12"/>
    <n v="73239.039999999994"/>
    <x v="2"/>
    <s v="Credit"/>
    <n v="932689"/>
  </r>
  <r>
    <s v="2025-04-04"/>
    <s v="South India Appliances"/>
    <x v="2"/>
    <s v="43 Smart"/>
    <n v="14"/>
    <n v="19519"/>
    <n v="12"/>
    <n v="12"/>
    <n v="269330.96999999997"/>
    <x v="2"/>
    <s v="Credit"/>
    <n v="932689"/>
  </r>
  <r>
    <s v="2025-01-18"/>
    <s v="South India Appliances"/>
    <x v="2"/>
    <s v="55 4K"/>
    <n v="39"/>
    <n v="15593"/>
    <n v="0"/>
    <n v="18"/>
    <n v="717589.86"/>
    <x v="2"/>
    <s v="RTGS"/>
    <n v="932689"/>
  </r>
  <r>
    <s v="2025-05-16"/>
    <s v="South India Appliances"/>
    <x v="7"/>
    <s v="1.5 Ton Inverter"/>
    <n v="30"/>
    <n v="66960"/>
    <n v="0"/>
    <n v="18"/>
    <n v="2370384"/>
    <x v="0"/>
    <s v="RTGS"/>
    <n v="1182995"/>
  </r>
  <r>
    <s v="2025-01-23"/>
    <s v="South India Appliances"/>
    <x v="2"/>
    <s v="32 LED"/>
    <n v="7"/>
    <n v="71365"/>
    <n v="10"/>
    <n v="28"/>
    <n v="575487.36"/>
    <x v="2"/>
    <s v="Credit"/>
    <n v="932689"/>
  </r>
  <r>
    <s v="2025-06-18"/>
    <s v="South India Appliances"/>
    <x v="4"/>
    <s v="20L"/>
    <n v="30"/>
    <n v="75129"/>
    <n v="0"/>
    <n v="18"/>
    <n v="2659566.6"/>
    <x v="2"/>
    <s v="RTGS"/>
    <n v="667863"/>
  </r>
  <r>
    <s v="2025-04-07"/>
    <s v="South India Appliances"/>
    <x v="4"/>
    <s v="20L"/>
    <n v="11"/>
    <n v="25693"/>
    <n v="0"/>
    <n v="18"/>
    <n v="333495.14"/>
    <x v="3"/>
    <s v="NEFT"/>
    <n v="667863"/>
  </r>
  <r>
    <s v="2025-05-10"/>
    <s v="South India Appliances"/>
    <x v="7"/>
    <s v="2 Ton"/>
    <n v="18"/>
    <n v="18952"/>
    <n v="0"/>
    <n v="28"/>
    <n v="436654.08000000002"/>
    <x v="2"/>
    <s v="RTGS"/>
    <n v="1182995"/>
  </r>
  <r>
    <s v="2025-02-26"/>
    <s v="South India Appliances"/>
    <x v="0"/>
    <s v="500W"/>
    <n v="26"/>
    <n v="40329"/>
    <n v="5"/>
    <n v="18"/>
    <n v="1175429.03"/>
    <x v="1"/>
    <s v="Credit"/>
    <n v="678305"/>
  </r>
  <r>
    <s v="2025-04-17"/>
    <s v="South India Appliances"/>
    <x v="2"/>
    <s v="43 Smart"/>
    <n v="14"/>
    <n v="11451"/>
    <n v="5"/>
    <n v="28"/>
    <n v="194941.82"/>
    <x v="0"/>
    <s v="RTGS"/>
    <n v="9326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7"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R27:S32" firstHeaderRow="1" firstDataRow="1" firstDataCol="1"/>
  <pivotFields count="16">
    <pivotField showAll="0"/>
    <pivotField showAll="0"/>
    <pivotField showAll="0">
      <items count="10">
        <item x="6"/>
        <item x="2"/>
        <item x="3"/>
        <item x="4"/>
        <item x="0"/>
        <item x="5"/>
        <item x="7"/>
        <item x="1"/>
        <item x="8"/>
        <item t="default"/>
      </items>
    </pivotField>
    <pivotField showAll="0"/>
    <pivotField showAll="0"/>
    <pivotField showAll="0"/>
    <pivotField showAll="0"/>
    <pivotField showAll="0"/>
    <pivotField showAll="0"/>
    <pivotField dataField="1" showAll="0"/>
    <pivotField showAll="0">
      <items count="5">
        <item x="2"/>
        <item x="1"/>
        <item x="3"/>
        <item x="0"/>
        <item t="default"/>
      </items>
    </pivotField>
    <pivotField axis="axisRow" showAll="0">
      <items count="5">
        <item x="3"/>
        <item x="1"/>
        <item x="2"/>
        <item x="0"/>
        <item t="default"/>
      </items>
    </pivotField>
    <pivotField numFmtId="164" showAll="0"/>
    <pivotField numFmtId="164" showAll="0"/>
    <pivotField showAll="0"/>
    <pivotField showAll="0"/>
  </pivotFields>
  <rowFields count="1">
    <field x="11"/>
  </rowFields>
  <rowItems count="5">
    <i>
      <x/>
    </i>
    <i>
      <x v="1"/>
    </i>
    <i>
      <x v="2"/>
    </i>
    <i>
      <x v="3"/>
    </i>
    <i t="grand">
      <x/>
    </i>
  </rowItems>
  <colItems count="1">
    <i/>
  </colItems>
  <dataFields count="1">
    <dataField name="Sum of Total_Amount" fld="9" baseField="0" baseItem="0"/>
  </dataFields>
  <chartFormats count="2">
    <chartFormat chart="0" format="2"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R14:S18" firstHeaderRow="1" firstDataRow="1" firstDataCol="1"/>
  <pivotFields count="16">
    <pivotField showAll="0"/>
    <pivotField showAll="0"/>
    <pivotField showAll="0">
      <items count="10">
        <item x="6"/>
        <item x="2"/>
        <item x="3"/>
        <item x="4"/>
        <item x="0"/>
        <item x="5"/>
        <item x="7"/>
        <item x="1"/>
        <item x="8"/>
        <item t="default"/>
      </items>
    </pivotField>
    <pivotField showAll="0">
      <items count="9">
        <item x="4"/>
        <item x="1"/>
        <item x="3"/>
        <item x="0"/>
        <item x="7"/>
        <item x="6"/>
        <item x="2"/>
        <item x="5"/>
        <item t="default"/>
      </items>
    </pivotField>
    <pivotField showAll="0"/>
    <pivotField showAll="0"/>
    <pivotField showAll="0"/>
    <pivotField showAll="0"/>
    <pivotField showAll="0"/>
    <pivotField showAll="0"/>
    <pivotField showAll="0"/>
    <pivotField showAll="0"/>
    <pivotField numFmtId="164" showAll="0"/>
    <pivotField numFmtId="164" showAll="0"/>
    <pivotField dataField="1" showAll="0"/>
    <pivotField axis="axisRow" showAll="0">
      <items count="4">
        <item x="0"/>
        <item x="2"/>
        <item x="1"/>
        <item t="default"/>
      </items>
    </pivotField>
  </pivotFields>
  <rowFields count="1">
    <field x="15"/>
  </rowFields>
  <rowItems count="4">
    <i>
      <x/>
    </i>
    <i>
      <x v="1"/>
    </i>
    <i>
      <x v="2"/>
    </i>
    <i t="grand">
      <x/>
    </i>
  </rowItems>
  <colItems count="1">
    <i/>
  </colItems>
  <dataFields count="1">
    <dataField name="Sum of Delay_date" fld="14"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R35:S45" firstHeaderRow="1" firstDataRow="1" firstDataCol="1"/>
  <pivotFields count="16">
    <pivotField showAll="0"/>
    <pivotField showAll="0"/>
    <pivotField axis="axisRow" showAll="0">
      <items count="10">
        <item x="6"/>
        <item x="2"/>
        <item x="3"/>
        <item x="4"/>
        <item x="0"/>
        <item x="5"/>
        <item x="7"/>
        <item x="1"/>
        <item x="8"/>
        <item t="default"/>
      </items>
    </pivotField>
    <pivotField showAll="0"/>
    <pivotField showAll="0"/>
    <pivotField showAll="0"/>
    <pivotField showAll="0"/>
    <pivotField showAll="0"/>
    <pivotField showAll="0"/>
    <pivotField dataField="1" showAll="0"/>
    <pivotField showAll="0"/>
    <pivotField showAll="0"/>
    <pivotField numFmtId="164" showAll="0"/>
    <pivotField numFmtId="164" showAll="0"/>
    <pivotField showAll="0"/>
    <pivotField showAll="0"/>
  </pivotFields>
  <rowFields count="1">
    <field x="2"/>
  </rowFields>
  <rowItems count="10">
    <i>
      <x/>
    </i>
    <i>
      <x v="1"/>
    </i>
    <i>
      <x v="2"/>
    </i>
    <i>
      <x v="3"/>
    </i>
    <i>
      <x v="4"/>
    </i>
    <i>
      <x v="5"/>
    </i>
    <i>
      <x v="6"/>
    </i>
    <i>
      <x v="7"/>
    </i>
    <i>
      <x v="8"/>
    </i>
    <i t="grand">
      <x/>
    </i>
  </rowItems>
  <colItems count="1">
    <i/>
  </colItems>
  <dataFields count="1">
    <dataField name="Sum of Total_Amount" fld="9"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R20:S25" firstHeaderRow="1" firstDataRow="1" firstDataCol="1"/>
  <pivotFields count="16">
    <pivotField showAll="0"/>
    <pivotField showAll="0"/>
    <pivotField showAll="0">
      <items count="10">
        <item x="6"/>
        <item x="2"/>
        <item x="3"/>
        <item x="4"/>
        <item x="0"/>
        <item x="5"/>
        <item x="7"/>
        <item x="1"/>
        <item x="8"/>
        <item t="default"/>
      </items>
    </pivotField>
    <pivotField showAll="0"/>
    <pivotField showAll="0"/>
    <pivotField showAll="0"/>
    <pivotField showAll="0"/>
    <pivotField showAll="0"/>
    <pivotField showAll="0"/>
    <pivotField dataField="1" showAll="0"/>
    <pivotField axis="axisRow" showAll="0">
      <items count="5">
        <item x="2"/>
        <item x="1"/>
        <item x="3"/>
        <item x="0"/>
        <item t="default"/>
      </items>
    </pivotField>
    <pivotField showAll="0"/>
    <pivotField numFmtId="164" showAll="0"/>
    <pivotField numFmtId="164" showAll="0"/>
    <pivotField showAll="0"/>
    <pivotField showAll="0"/>
  </pivotFields>
  <rowFields count="1">
    <field x="10"/>
  </rowFields>
  <rowItems count="5">
    <i>
      <x/>
    </i>
    <i>
      <x v="1"/>
    </i>
    <i>
      <x v="2"/>
    </i>
    <i>
      <x v="3"/>
    </i>
    <i t="grand">
      <x/>
    </i>
  </rowItems>
  <colItems count="1">
    <i/>
  </colItems>
  <dataFields count="1">
    <dataField name="Sum of Total_Amount" fld="9" baseField="0" baseItem="0"/>
  </dataFields>
  <chartFormats count="5">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0" count="1" selected="0">
            <x v="0"/>
          </reference>
        </references>
      </pivotArea>
    </chartFormat>
    <chartFormat chart="0" format="4">
      <pivotArea type="data" outline="0" fieldPosition="0">
        <references count="2">
          <reference field="4294967294" count="1" selected="0">
            <x v="0"/>
          </reference>
          <reference field="10" count="1" selected="0">
            <x v="1"/>
          </reference>
        </references>
      </pivotArea>
    </chartFormat>
    <chartFormat chart="0" format="5">
      <pivotArea type="data" outline="0" fieldPosition="0">
        <references count="2">
          <reference field="4294967294" count="1" selected="0">
            <x v="0"/>
          </reference>
          <reference field="10" count="1" selected="0">
            <x v="2"/>
          </reference>
        </references>
      </pivotArea>
    </chartFormat>
    <chartFormat chart="0" format="6">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R3:S12" firstHeaderRow="1" firstDataRow="1" firstDataCol="1"/>
  <pivotFields count="16">
    <pivotField showAll="0"/>
    <pivotField showAll="0"/>
    <pivotField showAll="0">
      <items count="10">
        <item x="6"/>
        <item x="2"/>
        <item x="3"/>
        <item x="4"/>
        <item x="0"/>
        <item x="5"/>
        <item x="7"/>
        <item x="1"/>
        <item x="8"/>
        <item t="default"/>
      </items>
    </pivotField>
    <pivotField axis="axisRow" showAll="0">
      <items count="9">
        <item x="4"/>
        <item x="1"/>
        <item x="3"/>
        <item x="0"/>
        <item x="7"/>
        <item x="6"/>
        <item x="2"/>
        <item x="5"/>
        <item t="default"/>
      </items>
    </pivotField>
    <pivotField showAll="0"/>
    <pivotField showAll="0"/>
    <pivotField showAll="0"/>
    <pivotField showAll="0"/>
    <pivotField showAll="0"/>
    <pivotField dataField="1" showAll="0"/>
    <pivotField showAll="0"/>
    <pivotField showAll="0"/>
    <pivotField numFmtId="164" showAll="0"/>
    <pivotField numFmtId="164" showAll="0"/>
    <pivotField showAll="0"/>
    <pivotField showAll="0"/>
  </pivotFields>
  <rowFields count="1">
    <field x="3"/>
  </rowFields>
  <rowItems count="9">
    <i>
      <x/>
    </i>
    <i>
      <x v="1"/>
    </i>
    <i>
      <x v="2"/>
    </i>
    <i>
      <x v="3"/>
    </i>
    <i>
      <x v="4"/>
    </i>
    <i>
      <x v="5"/>
    </i>
    <i>
      <x v="6"/>
    </i>
    <i>
      <x v="7"/>
    </i>
    <i t="grand">
      <x/>
    </i>
  </rowItems>
  <colItems count="1">
    <i/>
  </colItems>
  <dataFields count="1">
    <dataField name="Sum of Total_Amount" fld="9"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35:B140" firstHeaderRow="1" firstDataRow="1" firstDataCol="1"/>
  <pivotFields count="11">
    <pivotField showAll="0"/>
    <pivotField showAll="0"/>
    <pivotField showAll="0"/>
    <pivotField showAll="0"/>
    <pivotField showAll="0"/>
    <pivotField showAll="0"/>
    <pivotField showAll="0"/>
    <pivotField showAll="0"/>
    <pivotField dataField="1" showAll="0"/>
    <pivotField showAll="0"/>
    <pivotField axis="axisRow" showAll="0">
      <items count="5">
        <item x="1"/>
        <item x="3"/>
        <item x="2"/>
        <item x="0"/>
        <item t="default"/>
      </items>
    </pivotField>
  </pivotFields>
  <rowFields count="1">
    <field x="10"/>
  </rowFields>
  <rowItems count="5">
    <i>
      <x/>
    </i>
    <i>
      <x v="1"/>
    </i>
    <i>
      <x v="2"/>
    </i>
    <i>
      <x v="3"/>
    </i>
    <i t="grand">
      <x/>
    </i>
  </rowItems>
  <colItems count="1">
    <i/>
  </colItems>
  <dataFields count="1">
    <dataField name="Sum of Total_Amount" fld="8"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J117:K122" firstHeaderRow="1" firstDataRow="1" firstDataCol="1"/>
  <pivotFields count="11">
    <pivotField showAll="0"/>
    <pivotField showAll="0"/>
    <pivotField showAll="0"/>
    <pivotField showAll="0"/>
    <pivotField showAll="0"/>
    <pivotField showAll="0"/>
    <pivotField showAll="0"/>
    <pivotField showAll="0"/>
    <pivotField dataField="1" showAll="0"/>
    <pivotField axis="axisRow" showAll="0">
      <items count="5">
        <item x="1"/>
        <item x="2"/>
        <item x="3"/>
        <item x="0"/>
        <item t="default"/>
      </items>
    </pivotField>
    <pivotField showAll="0">
      <items count="5">
        <item x="1"/>
        <item x="3"/>
        <item x="2"/>
        <item x="0"/>
        <item t="default"/>
      </items>
    </pivotField>
  </pivotFields>
  <rowFields count="1">
    <field x="9"/>
  </rowFields>
  <rowItems count="5">
    <i>
      <x/>
    </i>
    <i>
      <x v="1"/>
    </i>
    <i>
      <x v="2"/>
    </i>
    <i>
      <x v="3"/>
    </i>
    <i t="grand">
      <x/>
    </i>
  </rowItems>
  <colItems count="1">
    <i/>
  </colItems>
  <dataFields count="1">
    <dataField name="Sum of Total_Amount" fld="8" baseField="0" baseItem="0"/>
  </dataFields>
  <chartFormats count="5">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 chart="0" format="4">
      <pivotArea type="data" outline="0" fieldPosition="0">
        <references count="2">
          <reference field="4294967294" count="1" selected="0">
            <x v="0"/>
          </reference>
          <reference field="9" count="1" selected="0">
            <x v="2"/>
          </reference>
        </references>
      </pivotArea>
    </chartFormat>
    <chartFormat chart="0" format="5">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17:B126" firstHeaderRow="1" firstDataRow="1" firstDataCol="1"/>
  <pivotFields count="11">
    <pivotField showAll="0"/>
    <pivotField showAll="0"/>
    <pivotField axis="axisRow" showAll="0">
      <items count="9">
        <item x="0"/>
        <item x="6"/>
        <item x="5"/>
        <item x="7"/>
        <item x="1"/>
        <item x="3"/>
        <item x="2"/>
        <item x="4"/>
        <item t="default"/>
      </items>
    </pivotField>
    <pivotField showAll="0"/>
    <pivotField showAll="0"/>
    <pivotField showAll="0"/>
    <pivotField showAll="0"/>
    <pivotField showAll="0"/>
    <pivotField dataField="1" showAll="0"/>
    <pivotField showAll="0"/>
    <pivotField showAll="0"/>
  </pivotFields>
  <rowFields count="1">
    <field x="2"/>
  </rowFields>
  <rowItems count="9">
    <i>
      <x/>
    </i>
    <i>
      <x v="1"/>
    </i>
    <i>
      <x v="2"/>
    </i>
    <i>
      <x v="3"/>
    </i>
    <i>
      <x v="4"/>
    </i>
    <i>
      <x v="5"/>
    </i>
    <i>
      <x v="6"/>
    </i>
    <i>
      <x v="7"/>
    </i>
    <i t="grand">
      <x/>
    </i>
  </rowItems>
  <colItems count="1">
    <i/>
  </colItems>
  <dataFields count="1">
    <dataField name="Sum of Total_Amount" fld="8"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N3:O12" firstHeaderRow="1" firstDataRow="1" firstDataCol="1"/>
  <pivotFields count="12">
    <pivotField showAll="0"/>
    <pivotField showAll="0"/>
    <pivotField axis="axisRow" showAll="0" sortType="descending">
      <items count="9">
        <item x="7"/>
        <item x="1"/>
        <item x="6"/>
        <item x="4"/>
        <item x="0"/>
        <item x="5"/>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5">
        <item x="1"/>
        <item x="0"/>
        <item x="2"/>
        <item x="3"/>
        <item t="default"/>
      </items>
    </pivotField>
    <pivotField showAll="0"/>
    <pivotField showAll="0"/>
  </pivotFields>
  <rowFields count="1">
    <field x="2"/>
  </rowFields>
  <rowItems count="9">
    <i>
      <x/>
    </i>
    <i>
      <x v="6"/>
    </i>
    <i>
      <x v="3"/>
    </i>
    <i>
      <x v="4"/>
    </i>
    <i>
      <x v="5"/>
    </i>
    <i>
      <x v="7"/>
    </i>
    <i>
      <x v="2"/>
    </i>
    <i>
      <x v="1"/>
    </i>
    <i t="grand">
      <x/>
    </i>
  </rowItems>
  <colItems count="1">
    <i/>
  </colItems>
  <dataFields count="1">
    <dataField name="Sum of Total_Amount" fld="8" baseField="0" baseItem="0" numFmtId="44"/>
  </dataFields>
  <formats count="10">
    <format dxfId="121">
      <pivotArea outline="0" collapsedLevelsAreSubtotals="1" fieldPosition="0"/>
    </format>
    <format dxfId="120">
      <pivotArea dataOnly="0" labelOnly="1" outline="0" axis="axisValues" fieldPosition="0"/>
    </format>
    <format dxfId="119">
      <pivotArea dataOnly="0" labelOnly="1" outline="0" axis="axisValues" fieldPosition="0"/>
    </format>
    <format dxfId="114">
      <pivotArea collapsedLevelsAreSubtotals="1" fieldPosition="0">
        <references count="1">
          <reference field="2" count="0"/>
        </references>
      </pivotArea>
    </format>
    <format dxfId="113">
      <pivotArea collapsedLevelsAreSubtotals="1" fieldPosition="0">
        <references count="1">
          <reference field="2" count="0"/>
        </references>
      </pivotArea>
    </format>
    <format dxfId="112">
      <pivotArea collapsedLevelsAreSubtotals="1" fieldPosition="0">
        <references count="1">
          <reference field="2" count="0"/>
        </references>
      </pivotArea>
    </format>
    <format dxfId="111">
      <pivotArea collapsedLevelsAreSubtotals="1" fieldPosition="0">
        <references count="1">
          <reference field="2" count="0"/>
        </references>
      </pivotArea>
    </format>
    <format dxfId="110">
      <pivotArea collapsedLevelsAreSubtotals="1" fieldPosition="0">
        <references count="1">
          <reference field="2" count="0"/>
        </references>
      </pivotArea>
    </format>
    <format dxfId="109">
      <pivotArea collapsedLevelsAreSubtotals="1" fieldPosition="0">
        <references count="1">
          <reference field="2" count="0"/>
        </references>
      </pivotArea>
    </format>
    <format dxfId="108">
      <pivotArea collapsedLevelsAreSubtotals="1" fieldPosition="0">
        <references count="1">
          <reference field="2" count="0"/>
        </references>
      </pivotArea>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R5:S10" firstHeaderRow="1" firstDataRow="1" firstDataCol="1"/>
  <pivotFields count="12">
    <pivotField showAll="0"/>
    <pivotField showAll="0"/>
    <pivotField showAll="0" sortType="descending">
      <items count="9">
        <item x="7"/>
        <item x="1"/>
        <item x="6"/>
        <item x="4"/>
        <item x="0"/>
        <item x="5"/>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s>
  <rowFields count="1">
    <field x="9"/>
  </rowFields>
  <rowItems count="5">
    <i>
      <x v="2"/>
    </i>
    <i>
      <x v="1"/>
    </i>
    <i>
      <x v="3"/>
    </i>
    <i>
      <x/>
    </i>
    <i t="grand">
      <x/>
    </i>
  </rowItems>
  <colItems count="1">
    <i/>
  </colItems>
  <dataFields count="1">
    <dataField name="Sum of Total_Amount" fld="8" baseField="0" baseItem="0" numFmtId="44"/>
  </dataFields>
  <formats count="3">
    <format dxfId="124">
      <pivotArea outline="0" collapsedLevelsAreSubtotals="1" fieldPosition="0"/>
    </format>
    <format dxfId="123">
      <pivotArea dataOnly="0" labelOnly="1" outline="0" axis="axisValues" fieldPosition="0"/>
    </format>
    <format dxfId="122">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Name" sourceName="Product_Name">
  <pivotTables>
    <pivotTable tabId="2" name="PivotTable1"/>
  </pivotTables>
  <data>
    <tabular pivotCacheId="1">
      <items count="8">
        <i x="0" s="1"/>
        <i x="6" s="1"/>
        <i x="5" s="1"/>
        <i x="7" s="1"/>
        <i x="1"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Warehouse" sourceName="Warehouse">
  <pivotTables>
    <pivotTable tabId="13" name="PivotTable11"/>
    <pivotTable tabId="13" name="PivotTable8"/>
  </pivotTables>
  <data>
    <tabular pivotCacheId="2">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upplier" sourceName="Supplier">
  <pivotTables>
    <pivotTable tabId="1" name="PivotTable4"/>
    <pivotTable tabId="1" name="PivotTable5"/>
    <pivotTable tabId="1" name="PivotTable6"/>
    <pivotTable tabId="1" name="PivotTable2"/>
    <pivotTable tabId="1" name="PivotTable7"/>
  </pivotTables>
  <data>
    <tabular pivotCacheId="3">
      <items count="9">
        <i x="6" s="1"/>
        <i x="2" s="1"/>
        <i x="3" s="1"/>
        <i x="4" s="1"/>
        <i x="0" s="1"/>
        <i x="5" s="1"/>
        <i x="7" s="1"/>
        <i x="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upplier" cache="Slicer_Supplier" caption="Supplier"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_Name" cache="Slicer_Product_Name" caption="Product_Name"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Warehouse" cache="Slicer_Warehouse" caption="Warehouse" rowHeight="234950"/>
</slicers>
</file>

<file path=xl/tables/table1.xml><?xml version="1.0" encoding="utf-8"?>
<table xmlns="http://schemas.openxmlformats.org/spreadsheetml/2006/main" id="1" name="Table1" displayName="Table1" ref="A1:P1001" totalsRowShown="0" headerRowDxfId="136">
  <autoFilter ref="A1:P1001"/>
  <tableColumns count="16">
    <tableColumn id="1" name="Purchase_Date"/>
    <tableColumn id="2" name="Supplier_Id" dataDxfId="135"/>
    <tableColumn id="3" name="Supplier"/>
    <tableColumn id="4" name="Product_Name"/>
    <tableColumn id="5" name="Model"/>
    <tableColumn id="6" name="Quantity"/>
    <tableColumn id="7" name="Unit_Price"/>
    <tableColumn id="8" name="Discount_%"/>
    <tableColumn id="9" name="GST_%"/>
    <tableColumn id="10" name="Total_Amount"/>
    <tableColumn id="11" name="Warehouse"/>
    <tableColumn id="12" name="Payment_Mode"/>
    <tableColumn id="13" name="Expect_delivery_date" dataDxfId="134"/>
    <tableColumn id="14" name="Recived_date" dataDxfId="133"/>
    <tableColumn id="15" name="Delay_date" dataDxfId="132"/>
    <tableColumn id="16" name="Delivery Status" dataDxfId="131">
      <calculatedColumnFormula>IF(O2="","Pending",IF(O2=0,"Delivered",IF(O2&lt;=3,"On Delivery","Delayed")))</calculatedColumnFormula>
    </tableColumn>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A1:L113" totalsRowShown="0">
  <autoFilter ref="A1:L113"/>
  <tableColumns count="12">
    <tableColumn id="1" name="Purchase_Date"/>
    <tableColumn id="2" name="Supplier"/>
    <tableColumn id="3" name="Product_Name"/>
    <tableColumn id="4" name="Model"/>
    <tableColumn id="5" name="Qty"/>
    <tableColumn id="6" name="Unit_Price"/>
    <tableColumn id="7" name="Discount_%"/>
    <tableColumn id="8" name="GST_%"/>
    <tableColumn id="9" name="Total_Amount"/>
    <tableColumn id="10" name="Warehouse"/>
    <tableColumn id="11" name="Payment_Mode"/>
    <tableColumn id="12" name="Total_Revenue" dataDxfId="130">
      <calculatedColumnFormula>SUMIF(C:C,C2,F:F)</calculatedColumnFormula>
    </tableColumn>
  </tableColumns>
  <tableStyleInfo name="TableStyleMedium9" showFirstColumn="0" showLastColumn="0" showRowStripes="1" showColumnStripes="0"/>
</table>
</file>

<file path=xl/tables/table3.xml><?xml version="1.0" encoding="utf-8"?>
<table xmlns="http://schemas.openxmlformats.org/spreadsheetml/2006/main" id="3" name="Table3" displayName="Table3" ref="A1:L113" totalsRowShown="0">
  <tableColumns count="12">
    <tableColumn id="1" name="Purchase_Date"/>
    <tableColumn id="2" name="Supplier"/>
    <tableColumn id="3" name="Product_Name"/>
    <tableColumn id="4" name="Model"/>
    <tableColumn id="5" name="Qty"/>
    <tableColumn id="6" name="Unit_Price"/>
    <tableColumn id="7" name="Discount_%"/>
    <tableColumn id="8" name="GST_%"/>
    <tableColumn id="9" name="Total_Amount"/>
    <tableColumn id="10" name="Warehouse"/>
    <tableColumn id="11" name="Payment_Mode"/>
    <tableColumn id="12" name="Total_Revenue" dataDxfId="129">
      <calculatedColumnFormula>SUMIF(C:C,C2,F:F)</calculatedColumnFormula>
    </tableColumn>
  </tableColumns>
  <tableStyleInfo name="TableStyleMedium9" showFirstColumn="0" showLastColumn="0" showRowStripes="1" showColumnStripes="0"/>
</table>
</file>

<file path=xl/tables/table4.xml><?xml version="1.0" encoding="utf-8"?>
<table xmlns="http://schemas.openxmlformats.org/spreadsheetml/2006/main" id="4" name="Table4" displayName="Table4" ref="A1:L113" totalsRowShown="0">
  <autoFilter ref="A1:L113"/>
  <tableColumns count="12">
    <tableColumn id="1" name="Purchase_Date"/>
    <tableColumn id="2" name="Supplier"/>
    <tableColumn id="3" name="Product_Name"/>
    <tableColumn id="4" name="Model"/>
    <tableColumn id="5" name="Qty"/>
    <tableColumn id="6" name="Unit_Price"/>
    <tableColumn id="7" name="Discount_%"/>
    <tableColumn id="8" name="GST_%"/>
    <tableColumn id="9" name="Total_Amount"/>
    <tableColumn id="10" name="Warehouse"/>
    <tableColumn id="11" name="Payment_Mode"/>
    <tableColumn id="12" name="total_Revenue" dataDxfId="128">
      <calculatedColumnFormula>SUMIF(C:C,C2,F:F)</calculatedColumnFormula>
    </tableColumn>
  </tableColumns>
  <tableStyleInfo name="TableStyleMedium9" showFirstColumn="0" showLastColumn="0" showRowStripes="1" showColumnStripes="0"/>
</table>
</file>

<file path=xl/tables/table5.xml><?xml version="1.0" encoding="utf-8"?>
<table xmlns="http://schemas.openxmlformats.org/spreadsheetml/2006/main" id="5" name="Table5" displayName="Table5" ref="A1:L113" totalsRowShown="0">
  <autoFilter ref="A1:L113"/>
  <tableColumns count="12">
    <tableColumn id="1" name="Purchase_Date"/>
    <tableColumn id="2" name="Supplier"/>
    <tableColumn id="3" name="Product_Name"/>
    <tableColumn id="4" name="Model"/>
    <tableColumn id="5" name="Qty"/>
    <tableColumn id="6" name="Unit_Price"/>
    <tableColumn id="7" name="Discount_%"/>
    <tableColumn id="8" name="GST_%"/>
    <tableColumn id="9" name="Total_Amount"/>
    <tableColumn id="10" name="Warehouse"/>
    <tableColumn id="11" name="Payment_Mode"/>
    <tableColumn id="12" name="Total_Revenue" dataDxfId="127">
      <calculatedColumnFormula>SUMIF(C:C,C2,F:F)</calculatedColumnFormula>
    </tableColumn>
  </tableColumns>
  <tableStyleInfo name="TableStyleMedium9" showFirstColumn="0" showLastColumn="0" showRowStripes="1" showColumnStripes="0"/>
</table>
</file>

<file path=xl/tables/table6.xml><?xml version="1.0" encoding="utf-8"?>
<table xmlns="http://schemas.openxmlformats.org/spreadsheetml/2006/main" id="6" name="Table5" displayName="Table5_1" ref="A1:L113" totalsRowShown="0">
  <autoFilter ref="A1:L113"/>
  <tableColumns count="12">
    <tableColumn id="1" name="Purchase_Date"/>
    <tableColumn id="2" name="Supplier"/>
    <tableColumn id="3" name="Product_Name"/>
    <tableColumn id="4" name="Model"/>
    <tableColumn id="5" name="Qty"/>
    <tableColumn id="6" name="Unit_Price"/>
    <tableColumn id="7" name="Discount_%"/>
    <tableColumn id="8" name="GST_%"/>
    <tableColumn id="9" name="Total_Amount"/>
    <tableColumn id="10" name="Warehouse"/>
    <tableColumn id="11" name="Payment_Mode"/>
    <tableColumn id="12" name="Total_Revenue" dataDxfId="126">
      <calculatedColumnFormula>SUMIF(C:C,C2,F:F)</calculatedColumnFormula>
    </tableColumn>
  </tableColumns>
  <tableStyleInfo name="TableStyleMedium9" showFirstColumn="0" showLastColumn="0" showRowStripes="1" showColumnStripes="0"/>
</table>
</file>

<file path=xl/tables/table7.xml><?xml version="1.0" encoding="utf-8"?>
<table xmlns="http://schemas.openxmlformats.org/spreadsheetml/2006/main" id="10" name="Table5" displayName="Table5_5" ref="A1:L113" totalsRowShown="0">
  <autoFilter ref="A1:L113"/>
  <tableColumns count="12">
    <tableColumn id="1" name="Purchase_Date"/>
    <tableColumn id="2" name="Supplier"/>
    <tableColumn id="3" name="Product_Name"/>
    <tableColumn id="4" name="Model"/>
    <tableColumn id="5" name="Qty"/>
    <tableColumn id="6" name="Unit_Price"/>
    <tableColumn id="7" name="Discount_%"/>
    <tableColumn id="8" name="GST_%"/>
    <tableColumn id="9" name="Total_Amount"/>
    <tableColumn id="10" name="Warehouse"/>
    <tableColumn id="11" name="Payment_Mode"/>
    <tableColumn id="12" name="Total_Revenue" dataDxfId="125">
      <calculatedColumnFormula>SUMIF(C:C,C2,F:F)</calculatedColumnFormula>
    </tableColumn>
  </tableColumns>
  <tableStyleInfo name="TableStyleMedium9" showFirstColumn="0" showLastColumn="0" showRowStripes="1" showColumnStripes="0"/>
</table>
</file>

<file path=xl/tables/table8.xml><?xml version="1.0" encoding="utf-8"?>
<table xmlns="http://schemas.openxmlformats.org/spreadsheetml/2006/main" id="11" name="Table5_512" displayName="Table5_512" ref="A1:L113" totalsRowShown="0">
  <autoFilter ref="A1:L113"/>
  <tableColumns count="12">
    <tableColumn id="1" name="Purchase_Date"/>
    <tableColumn id="2" name="Supplier"/>
    <tableColumn id="3" name="Product_Name"/>
    <tableColumn id="4" name="Model"/>
    <tableColumn id="5" name="Qty"/>
    <tableColumn id="6" name="Unit_Price"/>
    <tableColumn id="7" name="Discount_%"/>
    <tableColumn id="8" name="GST_%"/>
    <tableColumn id="9" name="Total_Amount" dataCellStyle="Normal"/>
    <tableColumn id="10" name="Warehouse"/>
    <tableColumn id="11" name="Payment_Mode"/>
    <tableColumn id="12" name="Total_Revenue" dataDxfId="115">
      <calculatedColumnFormula>SUMIF(C:C,C2,F:F)</calculatedColumnFormula>
    </tableColumn>
  </tableColumns>
  <tableStyleInfo name="TableStyleMedium9" showFirstColumn="0" showLastColumn="0" showRowStripes="1" showColumnStripes="0"/>
</table>
</file>

<file path=xl/tables/table9.xml><?xml version="1.0" encoding="utf-8"?>
<table xmlns="http://schemas.openxmlformats.org/spreadsheetml/2006/main" id="7" name="Table5" displayName="Table5_2" ref="A1:L113" totalsRowShown="0">
  <autoFilter ref="A1:L113"/>
  <tableColumns count="12">
    <tableColumn id="1" name="Purchase_Date"/>
    <tableColumn id="2" name="Supplier"/>
    <tableColumn id="3" name="Product_Name"/>
    <tableColumn id="4" name="Model"/>
    <tableColumn id="5" name="Qty"/>
    <tableColumn id="6" name="Unit_Price"/>
    <tableColumn id="7" name="Discount_%"/>
    <tableColumn id="8" name="GST_%"/>
    <tableColumn id="9" name="Total_Amount"/>
    <tableColumn id="10" name="Warehouse"/>
    <tableColumn id="11" name="Payment_Mode"/>
    <tableColumn id="12" name="Total_Revenue" dataDxfId="118">
      <calculatedColumnFormula>SUMIF(C:C,C2,F:F)</calculatedColumnFormula>
    </tableColumn>
  </tableColumns>
  <tableStyleInfo name="TableStyleMedium9" showFirstColumn="0" showLastColumn="0" showRowStripes="1" showColumnStripes="0"/>
</table>
</file>

<file path=xl/tables/table10.xml><?xml version="1.0" encoding="utf-8"?>
<table xmlns="http://schemas.openxmlformats.org/spreadsheetml/2006/main" id="8" name="Table5" displayName="Table5_3" ref="A1:L113" totalsRowShown="0">
  <autoFilter ref="A1:L113"/>
  <tableColumns count="12">
    <tableColumn id="1" name="Purchase_Date"/>
    <tableColumn id="2" name="Supplier"/>
    <tableColumn id="3" name="Product_Name"/>
    <tableColumn id="4" name="Model"/>
    <tableColumn id="5" name="Qty"/>
    <tableColumn id="6" name="Unit_Price"/>
    <tableColumn id="7" name="Discount_%"/>
    <tableColumn id="8" name="GST_%"/>
    <tableColumn id="9" name="Total_Amount"/>
    <tableColumn id="10" name="Warehouse"/>
    <tableColumn id="11" name="Payment_Mode"/>
    <tableColumn id="12" name="Total_Revenue" dataDxfId="117">
      <calculatedColumnFormula>SUMIF(C:C,C2,F:F)</calculatedColumnFormula>
    </tableColumn>
  </tableColumns>
  <tableStyleInfo name="TableStyleMedium9" showFirstColumn="0" showLastColumn="0" showRowStripes="1" showColumnStripes="0"/>
</table>
</file>

<file path=xl/tables/table11.xml><?xml version="1.0" encoding="utf-8"?>
<table xmlns="http://schemas.openxmlformats.org/spreadsheetml/2006/main" id="9" name="Table5" displayName="Table5_4" ref="A1:L113" totalsRowShown="0">
  <autoFilter ref="A1:L113"/>
  <tableColumns count="12">
    <tableColumn id="1" name="Purchase_Date"/>
    <tableColumn id="2" name="Supplier"/>
    <tableColumn id="3" name="Product_Name"/>
    <tableColumn id="4" name="Model"/>
    <tableColumn id="5" name="Qty"/>
    <tableColumn id="6" name="Unit_Price"/>
    <tableColumn id="7" name="Discount_%"/>
    <tableColumn id="8" name="GST_%"/>
    <tableColumn id="9" name="Total_Amount"/>
    <tableColumn id="10" name="Warehouse"/>
    <tableColumn id="11" name="Payment_Mode"/>
    <tableColumn id="12" name="Total_Revenue" dataDxfId="116">
      <calculatedColumnFormula>SUMIF(C:C,C2,F:F)</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2.xml"/><Relationship Id="rId5" Type="http://schemas.openxmlformats.org/officeDocument/2006/relationships/table" Target="../tables/table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microsoft.com/office/2007/relationships/slicer" Target="../slicers/slicer3.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S1001"/>
  <sheetViews>
    <sheetView tabSelected="1" topLeftCell="O1" zoomScale="70" workbookViewId="0">
      <selection activeCell="X35" sqref="X35"/>
    </sheetView>
  </sheetViews>
  <sheetFormatPr defaultRowHeight="14.4" x14ac:dyDescent="0.3"/>
  <cols>
    <col min="1" max="1" width="17.33203125" bestFit="1" customWidth="1"/>
    <col min="2" max="2" width="13.77734375" bestFit="1" customWidth="1"/>
    <col min="3" max="3" width="28.44140625" bestFit="1" customWidth="1"/>
    <col min="4" max="4" width="17.21875" bestFit="1" customWidth="1"/>
    <col min="5" max="5" width="14.109375" bestFit="1" customWidth="1"/>
    <col min="6" max="6" width="11.44140625" bestFit="1" customWidth="1"/>
    <col min="7" max="7" width="12.88671875" bestFit="1" customWidth="1"/>
    <col min="8" max="8" width="14.21875" bestFit="1" customWidth="1"/>
    <col min="9" max="9" width="9.5546875" bestFit="1" customWidth="1"/>
    <col min="10" max="10" width="16.77734375" bestFit="1" customWidth="1"/>
    <col min="11" max="11" width="13.88671875" bestFit="1" customWidth="1"/>
    <col min="12" max="12" width="18.109375" bestFit="1" customWidth="1"/>
    <col min="13" max="13" width="23.33203125" bestFit="1" customWidth="1"/>
    <col min="14" max="14" width="15.77734375" bestFit="1" customWidth="1"/>
    <col min="15" max="15" width="13.77734375" bestFit="1" customWidth="1"/>
    <col min="16" max="16" width="17.21875" bestFit="1" customWidth="1"/>
    <col min="18" max="18" width="13.88671875" customWidth="1"/>
    <col min="19" max="19" width="20.21875" customWidth="1"/>
    <col min="21" max="21" width="13.88671875" bestFit="1" customWidth="1"/>
    <col min="22" max="22" width="20.21875" bestFit="1" customWidth="1"/>
    <col min="32" max="32" width="13.88671875" customWidth="1"/>
    <col min="33" max="33" width="17.44140625" customWidth="1"/>
  </cols>
  <sheetData>
    <row r="1" spans="1:19" ht="22.8" customHeight="1" x14ac:dyDescent="0.3">
      <c r="A1" s="1" t="s">
        <v>0</v>
      </c>
      <c r="B1" s="5" t="s">
        <v>237</v>
      </c>
      <c r="C1" s="5" t="s">
        <v>1</v>
      </c>
      <c r="D1" s="5" t="s">
        <v>2</v>
      </c>
      <c r="E1" s="5" t="s">
        <v>3</v>
      </c>
      <c r="F1" s="5" t="s">
        <v>233</v>
      </c>
      <c r="G1" s="5" t="s">
        <v>5</v>
      </c>
      <c r="H1" s="5" t="s">
        <v>6</v>
      </c>
      <c r="I1" s="5" t="s">
        <v>7</v>
      </c>
      <c r="J1" s="5" t="s">
        <v>8</v>
      </c>
      <c r="K1" s="5" t="s">
        <v>9</v>
      </c>
      <c r="L1" s="5" t="s">
        <v>10</v>
      </c>
      <c r="M1" s="9" t="s">
        <v>247</v>
      </c>
      <c r="N1" s="9" t="s">
        <v>248</v>
      </c>
      <c r="O1" s="9" t="s">
        <v>249</v>
      </c>
      <c r="P1" s="5" t="s">
        <v>250</v>
      </c>
    </row>
    <row r="2" spans="1:19" x14ac:dyDescent="0.3">
      <c r="A2" t="s">
        <v>11</v>
      </c>
      <c r="B2" s="6" t="s">
        <v>242</v>
      </c>
      <c r="C2" t="s">
        <v>12</v>
      </c>
      <c r="D2" t="s">
        <v>13</v>
      </c>
      <c r="E2" t="s">
        <v>14</v>
      </c>
      <c r="F2">
        <v>18</v>
      </c>
      <c r="G2">
        <v>17139</v>
      </c>
      <c r="H2">
        <v>12</v>
      </c>
      <c r="I2">
        <v>12</v>
      </c>
      <c r="J2">
        <v>304059.57</v>
      </c>
      <c r="K2" t="s">
        <v>15</v>
      </c>
      <c r="L2" t="s">
        <v>16</v>
      </c>
      <c r="M2" s="7">
        <v>45680</v>
      </c>
      <c r="N2" s="7">
        <v>45690</v>
      </c>
      <c r="O2" s="8">
        <v>10</v>
      </c>
      <c r="P2" t="str">
        <f>IF(O2="","Pending",IF(O2=0,"Delivered",IF(O2&lt;=3,"On Delivery","Delayed")))</f>
        <v>Delayed</v>
      </c>
    </row>
    <row r="3" spans="1:19" x14ac:dyDescent="0.3">
      <c r="A3" t="s">
        <v>17</v>
      </c>
      <c r="B3" s="6" t="s">
        <v>245</v>
      </c>
      <c r="C3" t="s">
        <v>18</v>
      </c>
      <c r="D3" t="s">
        <v>19</v>
      </c>
      <c r="E3" t="s">
        <v>20</v>
      </c>
      <c r="F3">
        <v>37</v>
      </c>
      <c r="G3">
        <v>13727</v>
      </c>
      <c r="H3">
        <v>5</v>
      </c>
      <c r="I3">
        <v>12</v>
      </c>
      <c r="J3">
        <v>540404.54</v>
      </c>
      <c r="K3" t="s">
        <v>21</v>
      </c>
      <c r="L3" t="s">
        <v>16</v>
      </c>
      <c r="M3" s="7">
        <v>45818</v>
      </c>
      <c r="N3" s="7">
        <v>45825</v>
      </c>
      <c r="O3" s="8">
        <v>7</v>
      </c>
      <c r="P3" t="str">
        <f>IF(O3="","Pending",IF(O3=0,"Delivered",IF(O3&lt;=3,"On Delivery","Delayed")))</f>
        <v>Delayed</v>
      </c>
      <c r="R3" s="2" t="s">
        <v>234</v>
      </c>
      <c r="S3" t="s">
        <v>236</v>
      </c>
    </row>
    <row r="4" spans="1:19" x14ac:dyDescent="0.3">
      <c r="A4" t="s">
        <v>22</v>
      </c>
      <c r="B4" s="6" t="s">
        <v>239</v>
      </c>
      <c r="C4" t="s">
        <v>23</v>
      </c>
      <c r="D4" t="s">
        <v>24</v>
      </c>
      <c r="E4" t="s">
        <v>25</v>
      </c>
      <c r="F4">
        <v>26</v>
      </c>
      <c r="G4">
        <v>57540</v>
      </c>
      <c r="H4">
        <v>5</v>
      </c>
      <c r="I4">
        <v>12</v>
      </c>
      <c r="J4">
        <v>1591786.56</v>
      </c>
      <c r="K4" t="s">
        <v>21</v>
      </c>
      <c r="L4" t="s">
        <v>26</v>
      </c>
      <c r="M4" s="7">
        <v>45766</v>
      </c>
      <c r="N4" s="7">
        <v>45781</v>
      </c>
      <c r="O4" s="8">
        <v>15</v>
      </c>
      <c r="P4" t="str">
        <f t="shared" ref="P4:P65" si="0">IF(O4="","Pending",IF(O4=0,"Delivered",IF(O4&lt;=3,"On Delivery","Delayed")))</f>
        <v>Delayed</v>
      </c>
      <c r="R4" s="3" t="s">
        <v>35</v>
      </c>
      <c r="S4" s="4">
        <v>180819060.18999988</v>
      </c>
    </row>
    <row r="5" spans="1:19" x14ac:dyDescent="0.3">
      <c r="A5" t="s">
        <v>27</v>
      </c>
      <c r="B5" s="6" t="s">
        <v>240</v>
      </c>
      <c r="C5" t="s">
        <v>28</v>
      </c>
      <c r="D5" t="s">
        <v>29</v>
      </c>
      <c r="E5" t="s">
        <v>30</v>
      </c>
      <c r="F5">
        <v>38</v>
      </c>
      <c r="G5">
        <v>19168</v>
      </c>
      <c r="H5">
        <v>10</v>
      </c>
      <c r="I5">
        <v>18</v>
      </c>
      <c r="J5">
        <v>773543.81</v>
      </c>
      <c r="K5" t="s">
        <v>15</v>
      </c>
      <c r="L5" t="s">
        <v>16</v>
      </c>
      <c r="M5" s="7">
        <v>45806</v>
      </c>
      <c r="N5" s="7">
        <v>45813</v>
      </c>
      <c r="O5" s="8">
        <v>7</v>
      </c>
      <c r="P5" t="str">
        <f t="shared" si="0"/>
        <v>Delayed</v>
      </c>
      <c r="R5" s="3" t="s">
        <v>19</v>
      </c>
      <c r="S5" s="4">
        <v>59353268.379999995</v>
      </c>
    </row>
    <row r="6" spans="1:19" x14ac:dyDescent="0.3">
      <c r="A6" t="s">
        <v>31</v>
      </c>
      <c r="B6" s="6" t="s">
        <v>240</v>
      </c>
      <c r="C6" t="s">
        <v>28</v>
      </c>
      <c r="D6" t="s">
        <v>13</v>
      </c>
      <c r="E6" t="s">
        <v>32</v>
      </c>
      <c r="F6">
        <v>35</v>
      </c>
      <c r="G6">
        <v>53467</v>
      </c>
      <c r="H6">
        <v>0</v>
      </c>
      <c r="I6">
        <v>18</v>
      </c>
      <c r="J6">
        <v>2208187.1</v>
      </c>
      <c r="K6" t="s">
        <v>21</v>
      </c>
      <c r="L6" t="s">
        <v>33</v>
      </c>
      <c r="M6" s="7">
        <v>45816</v>
      </c>
      <c r="N6" s="7">
        <v>45818</v>
      </c>
      <c r="O6" s="8">
        <v>2</v>
      </c>
      <c r="P6" t="str">
        <f t="shared" si="0"/>
        <v>On Delivery</v>
      </c>
      <c r="R6" s="3" t="s">
        <v>29</v>
      </c>
      <c r="S6" s="4">
        <v>60651622.280000001</v>
      </c>
    </row>
    <row r="7" spans="1:19" x14ac:dyDescent="0.3">
      <c r="A7" t="s">
        <v>34</v>
      </c>
      <c r="B7" s="6" t="s">
        <v>239</v>
      </c>
      <c r="C7" t="s">
        <v>23</v>
      </c>
      <c r="D7" t="s">
        <v>35</v>
      </c>
      <c r="E7" t="s">
        <v>36</v>
      </c>
      <c r="F7">
        <v>37</v>
      </c>
      <c r="G7">
        <v>55527</v>
      </c>
      <c r="H7">
        <v>5</v>
      </c>
      <c r="I7">
        <v>28</v>
      </c>
      <c r="J7">
        <v>2498270.7799999998</v>
      </c>
      <c r="K7" t="s">
        <v>37</v>
      </c>
      <c r="L7" t="s">
        <v>38</v>
      </c>
      <c r="M7" s="7">
        <v>45780</v>
      </c>
      <c r="N7" s="7">
        <v>45789</v>
      </c>
      <c r="O7" s="8">
        <v>9</v>
      </c>
      <c r="P7" t="str">
        <f t="shared" si="0"/>
        <v>Delayed</v>
      </c>
      <c r="R7" s="3" t="s">
        <v>13</v>
      </c>
      <c r="S7" s="4">
        <v>139332585.73000002</v>
      </c>
    </row>
    <row r="8" spans="1:19" x14ac:dyDescent="0.3">
      <c r="A8" t="s">
        <v>39</v>
      </c>
      <c r="B8" s="6" t="s">
        <v>239</v>
      </c>
      <c r="C8" t="s">
        <v>23</v>
      </c>
      <c r="D8" t="s">
        <v>24</v>
      </c>
      <c r="E8" t="s">
        <v>40</v>
      </c>
      <c r="F8">
        <v>22</v>
      </c>
      <c r="G8">
        <v>81078</v>
      </c>
      <c r="H8">
        <v>0</v>
      </c>
      <c r="I8">
        <v>18</v>
      </c>
      <c r="J8">
        <v>2104784.88</v>
      </c>
      <c r="K8" t="s">
        <v>15</v>
      </c>
      <c r="L8" t="s">
        <v>16</v>
      </c>
      <c r="M8" s="7">
        <v>45733</v>
      </c>
      <c r="N8" s="7">
        <v>45747</v>
      </c>
      <c r="O8" s="8">
        <v>14</v>
      </c>
      <c r="P8" t="str">
        <f t="shared" si="0"/>
        <v>Delayed</v>
      </c>
      <c r="R8" s="3" t="s">
        <v>62</v>
      </c>
      <c r="S8" s="4">
        <v>114140807.09000006</v>
      </c>
    </row>
    <row r="9" spans="1:19" x14ac:dyDescent="0.3">
      <c r="A9" t="s">
        <v>41</v>
      </c>
      <c r="B9" s="6" t="s">
        <v>241</v>
      </c>
      <c r="C9" t="s">
        <v>42</v>
      </c>
      <c r="D9" t="s">
        <v>13</v>
      </c>
      <c r="E9" t="s">
        <v>14</v>
      </c>
      <c r="F9">
        <v>12</v>
      </c>
      <c r="G9">
        <v>55448</v>
      </c>
      <c r="H9">
        <v>12</v>
      </c>
      <c r="I9">
        <v>18</v>
      </c>
      <c r="J9">
        <v>690926.44</v>
      </c>
      <c r="K9" t="s">
        <v>21</v>
      </c>
      <c r="L9" t="s">
        <v>38</v>
      </c>
      <c r="M9" s="7">
        <v>45768</v>
      </c>
      <c r="N9" s="7">
        <v>45783</v>
      </c>
      <c r="O9" s="8">
        <v>15</v>
      </c>
      <c r="P9" t="str">
        <f t="shared" si="0"/>
        <v>Delayed</v>
      </c>
      <c r="R9" s="3" t="s">
        <v>48</v>
      </c>
      <c r="S9" s="4">
        <v>130348991.97999999</v>
      </c>
    </row>
    <row r="10" spans="1:19" x14ac:dyDescent="0.3">
      <c r="A10" t="s">
        <v>43</v>
      </c>
      <c r="B10" s="6" t="s">
        <v>245</v>
      </c>
      <c r="C10" t="s">
        <v>18</v>
      </c>
      <c r="D10" t="s">
        <v>44</v>
      </c>
      <c r="E10" t="s">
        <v>45</v>
      </c>
      <c r="F10">
        <v>22</v>
      </c>
      <c r="G10">
        <v>42789</v>
      </c>
      <c r="H10">
        <v>5</v>
      </c>
      <c r="I10">
        <v>12</v>
      </c>
      <c r="J10">
        <v>1001604.91</v>
      </c>
      <c r="K10" t="s">
        <v>46</v>
      </c>
      <c r="L10" t="s">
        <v>16</v>
      </c>
      <c r="M10" s="7">
        <v>45724</v>
      </c>
      <c r="N10" s="7">
        <v>45730</v>
      </c>
      <c r="O10" s="8">
        <v>6</v>
      </c>
      <c r="P10" t="str">
        <f t="shared" si="0"/>
        <v>Delayed</v>
      </c>
      <c r="R10" s="3" t="s">
        <v>24</v>
      </c>
      <c r="S10" s="4">
        <v>211437458.87</v>
      </c>
    </row>
    <row r="11" spans="1:19" x14ac:dyDescent="0.3">
      <c r="A11" t="s">
        <v>47</v>
      </c>
      <c r="B11" s="6" t="s">
        <v>241</v>
      </c>
      <c r="C11" t="s">
        <v>42</v>
      </c>
      <c r="D11" t="s">
        <v>48</v>
      </c>
      <c r="E11" t="s">
        <v>49</v>
      </c>
      <c r="F11">
        <v>27</v>
      </c>
      <c r="G11">
        <v>16051</v>
      </c>
      <c r="H11">
        <v>10</v>
      </c>
      <c r="I11">
        <v>18</v>
      </c>
      <c r="J11">
        <v>460246.37</v>
      </c>
      <c r="K11" t="s">
        <v>46</v>
      </c>
      <c r="L11" t="s">
        <v>33</v>
      </c>
      <c r="M11" s="7">
        <v>45796</v>
      </c>
      <c r="N11" s="7">
        <v>45804</v>
      </c>
      <c r="O11" s="8">
        <v>8</v>
      </c>
      <c r="P11" t="str">
        <f t="shared" si="0"/>
        <v>Delayed</v>
      </c>
      <c r="R11" s="3" t="s">
        <v>44</v>
      </c>
      <c r="S11" s="4">
        <v>119691834.81000006</v>
      </c>
    </row>
    <row r="12" spans="1:19" x14ac:dyDescent="0.3">
      <c r="A12" t="s">
        <v>50</v>
      </c>
      <c r="B12" s="6" t="s">
        <v>241</v>
      </c>
      <c r="C12" t="s">
        <v>42</v>
      </c>
      <c r="D12" t="s">
        <v>44</v>
      </c>
      <c r="E12" t="s">
        <v>51</v>
      </c>
      <c r="F12">
        <v>7</v>
      </c>
      <c r="G12">
        <v>80059</v>
      </c>
      <c r="H12">
        <v>0</v>
      </c>
      <c r="I12">
        <v>18</v>
      </c>
      <c r="J12">
        <v>661287.34</v>
      </c>
      <c r="K12" t="s">
        <v>15</v>
      </c>
      <c r="L12" t="s">
        <v>33</v>
      </c>
      <c r="M12" s="7">
        <v>45828</v>
      </c>
      <c r="N12" s="7">
        <v>45839</v>
      </c>
      <c r="O12" s="8">
        <v>11</v>
      </c>
      <c r="P12" t="str">
        <f t="shared" si="0"/>
        <v>Delayed</v>
      </c>
      <c r="R12" s="3" t="s">
        <v>235</v>
      </c>
      <c r="S12" s="4">
        <v>1015775629.33</v>
      </c>
    </row>
    <row r="13" spans="1:19" x14ac:dyDescent="0.3">
      <c r="A13" t="s">
        <v>52</v>
      </c>
      <c r="B13" s="6" t="s">
        <v>243</v>
      </c>
      <c r="C13" t="s">
        <v>53</v>
      </c>
      <c r="D13" t="s">
        <v>35</v>
      </c>
      <c r="E13" t="s">
        <v>36</v>
      </c>
      <c r="F13">
        <v>25</v>
      </c>
      <c r="G13">
        <v>37947</v>
      </c>
      <c r="H13">
        <v>10</v>
      </c>
      <c r="I13">
        <v>18</v>
      </c>
      <c r="J13">
        <v>1007492.85</v>
      </c>
      <c r="K13" t="s">
        <v>46</v>
      </c>
      <c r="L13" t="s">
        <v>33</v>
      </c>
      <c r="M13" s="7">
        <v>45771</v>
      </c>
      <c r="N13" s="7">
        <v>45773</v>
      </c>
      <c r="O13" s="8">
        <v>2</v>
      </c>
      <c r="P13" t="str">
        <f t="shared" si="0"/>
        <v>On Delivery</v>
      </c>
    </row>
    <row r="14" spans="1:19" x14ac:dyDescent="0.3">
      <c r="A14" t="s">
        <v>54</v>
      </c>
      <c r="B14" s="6" t="s">
        <v>239</v>
      </c>
      <c r="C14" t="s">
        <v>23</v>
      </c>
      <c r="D14" t="s">
        <v>24</v>
      </c>
      <c r="E14" t="s">
        <v>25</v>
      </c>
      <c r="F14">
        <v>30</v>
      </c>
      <c r="G14">
        <v>62447</v>
      </c>
      <c r="H14">
        <v>12</v>
      </c>
      <c r="I14">
        <v>18</v>
      </c>
      <c r="J14">
        <v>1945348.94</v>
      </c>
      <c r="K14" t="s">
        <v>21</v>
      </c>
      <c r="L14" t="s">
        <v>16</v>
      </c>
      <c r="M14" s="7">
        <v>45746</v>
      </c>
      <c r="N14" s="7">
        <v>45748</v>
      </c>
      <c r="O14" s="8">
        <v>2</v>
      </c>
      <c r="P14" t="str">
        <f t="shared" si="0"/>
        <v>On Delivery</v>
      </c>
      <c r="R14" s="2" t="s">
        <v>234</v>
      </c>
      <c r="S14" t="s">
        <v>256</v>
      </c>
    </row>
    <row r="15" spans="1:19" x14ac:dyDescent="0.3">
      <c r="A15" t="s">
        <v>55</v>
      </c>
      <c r="B15" s="6" t="s">
        <v>239</v>
      </c>
      <c r="C15" t="s">
        <v>23</v>
      </c>
      <c r="D15" t="s">
        <v>19</v>
      </c>
      <c r="E15" t="s">
        <v>20</v>
      </c>
      <c r="F15">
        <v>19</v>
      </c>
      <c r="G15">
        <v>63882</v>
      </c>
      <c r="H15">
        <v>10</v>
      </c>
      <c r="I15">
        <v>18</v>
      </c>
      <c r="J15">
        <v>1289011</v>
      </c>
      <c r="K15" t="s">
        <v>15</v>
      </c>
      <c r="L15" t="s">
        <v>38</v>
      </c>
      <c r="M15" s="7">
        <v>45762</v>
      </c>
      <c r="N15" s="7">
        <v>45771</v>
      </c>
      <c r="O15" s="8">
        <v>9</v>
      </c>
      <c r="P15" t="str">
        <f t="shared" si="0"/>
        <v>Delayed</v>
      </c>
      <c r="R15" s="3" t="s">
        <v>253</v>
      </c>
      <c r="S15" s="4">
        <v>7326</v>
      </c>
    </row>
    <row r="16" spans="1:19" x14ac:dyDescent="0.3">
      <c r="A16" t="s">
        <v>43</v>
      </c>
      <c r="B16" s="6" t="s">
        <v>241</v>
      </c>
      <c r="C16" t="s">
        <v>42</v>
      </c>
      <c r="D16" t="s">
        <v>35</v>
      </c>
      <c r="E16" t="s">
        <v>56</v>
      </c>
      <c r="F16">
        <v>35</v>
      </c>
      <c r="G16">
        <v>46782</v>
      </c>
      <c r="H16">
        <v>5</v>
      </c>
      <c r="I16">
        <v>18</v>
      </c>
      <c r="J16">
        <v>1835491.77</v>
      </c>
      <c r="K16" t="s">
        <v>46</v>
      </c>
      <c r="L16" t="s">
        <v>16</v>
      </c>
      <c r="M16" s="7">
        <v>45726</v>
      </c>
      <c r="N16" s="7">
        <v>45730</v>
      </c>
      <c r="O16" s="8">
        <v>4</v>
      </c>
      <c r="P16" t="str">
        <f t="shared" si="0"/>
        <v>Delayed</v>
      </c>
      <c r="R16" s="3" t="s">
        <v>254</v>
      </c>
      <c r="S16" s="4">
        <v>0</v>
      </c>
    </row>
    <row r="17" spans="1:19" x14ac:dyDescent="0.3">
      <c r="A17" t="s">
        <v>57</v>
      </c>
      <c r="B17" s="6" t="s">
        <v>238</v>
      </c>
      <c r="C17" t="s">
        <v>58</v>
      </c>
      <c r="D17" t="s">
        <v>48</v>
      </c>
      <c r="E17" t="s">
        <v>59</v>
      </c>
      <c r="F17">
        <v>2</v>
      </c>
      <c r="G17">
        <v>71747</v>
      </c>
      <c r="H17">
        <v>0</v>
      </c>
      <c r="I17">
        <v>18</v>
      </c>
      <c r="J17">
        <v>169322.92</v>
      </c>
      <c r="K17" t="s">
        <v>46</v>
      </c>
      <c r="L17" t="s">
        <v>38</v>
      </c>
      <c r="M17" s="7">
        <v>45800</v>
      </c>
      <c r="N17" s="7">
        <v>45800</v>
      </c>
      <c r="O17" s="8">
        <v>0</v>
      </c>
      <c r="P17" t="str">
        <f t="shared" si="0"/>
        <v>Delivered</v>
      </c>
      <c r="R17" s="3" t="s">
        <v>255</v>
      </c>
      <c r="S17" s="4">
        <v>388</v>
      </c>
    </row>
    <row r="18" spans="1:19" x14ac:dyDescent="0.3">
      <c r="A18" t="s">
        <v>60</v>
      </c>
      <c r="B18" s="6" t="s">
        <v>243</v>
      </c>
      <c r="C18" t="s">
        <v>53</v>
      </c>
      <c r="D18" t="s">
        <v>48</v>
      </c>
      <c r="E18" t="s">
        <v>59</v>
      </c>
      <c r="F18">
        <v>33</v>
      </c>
      <c r="G18">
        <v>84360</v>
      </c>
      <c r="H18">
        <v>5</v>
      </c>
      <c r="I18">
        <v>28</v>
      </c>
      <c r="J18">
        <v>3385198.08</v>
      </c>
      <c r="K18" t="s">
        <v>21</v>
      </c>
      <c r="L18" t="s">
        <v>33</v>
      </c>
      <c r="M18" s="7">
        <v>45711</v>
      </c>
      <c r="N18" s="7">
        <v>45722</v>
      </c>
      <c r="O18" s="8">
        <v>11</v>
      </c>
      <c r="P18" t="str">
        <f t="shared" si="0"/>
        <v>Delayed</v>
      </c>
      <c r="R18" s="3" t="s">
        <v>235</v>
      </c>
      <c r="S18" s="4">
        <v>7714</v>
      </c>
    </row>
    <row r="19" spans="1:19" x14ac:dyDescent="0.3">
      <c r="A19" t="s">
        <v>57</v>
      </c>
      <c r="B19" s="6" t="s">
        <v>240</v>
      </c>
      <c r="C19" t="s">
        <v>28</v>
      </c>
      <c r="D19" t="s">
        <v>13</v>
      </c>
      <c r="E19" t="s">
        <v>14</v>
      </c>
      <c r="F19">
        <v>39</v>
      </c>
      <c r="G19">
        <v>66602</v>
      </c>
      <c r="H19">
        <v>5</v>
      </c>
      <c r="I19">
        <v>18</v>
      </c>
      <c r="J19">
        <v>2911772.84</v>
      </c>
      <c r="K19" t="s">
        <v>21</v>
      </c>
      <c r="L19" t="s">
        <v>26</v>
      </c>
      <c r="M19" s="7">
        <v>45803</v>
      </c>
      <c r="N19" s="7">
        <v>45816</v>
      </c>
      <c r="O19" s="8">
        <v>13</v>
      </c>
      <c r="P19" t="str">
        <f t="shared" si="0"/>
        <v>Delayed</v>
      </c>
    </row>
    <row r="20" spans="1:19" x14ac:dyDescent="0.3">
      <c r="A20" t="s">
        <v>60</v>
      </c>
      <c r="B20" s="6" t="s">
        <v>238</v>
      </c>
      <c r="C20" t="s">
        <v>58</v>
      </c>
      <c r="D20" t="s">
        <v>24</v>
      </c>
      <c r="E20" t="s">
        <v>25</v>
      </c>
      <c r="F20">
        <v>8</v>
      </c>
      <c r="G20">
        <v>71933</v>
      </c>
      <c r="H20">
        <v>12</v>
      </c>
      <c r="I20">
        <v>12</v>
      </c>
      <c r="J20">
        <v>567177.31999999995</v>
      </c>
      <c r="K20" t="s">
        <v>37</v>
      </c>
      <c r="L20" t="s">
        <v>38</v>
      </c>
      <c r="M20" s="7">
        <v>45707</v>
      </c>
      <c r="N20" s="7">
        <v>45719</v>
      </c>
      <c r="O20" s="8">
        <v>12</v>
      </c>
      <c r="P20" t="str">
        <f t="shared" si="0"/>
        <v>Delayed</v>
      </c>
      <c r="R20" s="2" t="s">
        <v>234</v>
      </c>
      <c r="S20" t="s">
        <v>236</v>
      </c>
    </row>
    <row r="21" spans="1:19" x14ac:dyDescent="0.3">
      <c r="A21" t="s">
        <v>61</v>
      </c>
      <c r="B21" s="6" t="s">
        <v>241</v>
      </c>
      <c r="C21" t="s">
        <v>42</v>
      </c>
      <c r="D21" t="s">
        <v>62</v>
      </c>
      <c r="E21" t="s">
        <v>63</v>
      </c>
      <c r="F21">
        <v>40</v>
      </c>
      <c r="G21">
        <v>72709</v>
      </c>
      <c r="H21">
        <v>0</v>
      </c>
      <c r="I21">
        <v>12</v>
      </c>
      <c r="J21">
        <v>3257363.2</v>
      </c>
      <c r="K21" t="s">
        <v>15</v>
      </c>
      <c r="L21" t="s">
        <v>26</v>
      </c>
      <c r="M21" s="7">
        <v>45776</v>
      </c>
      <c r="N21" s="7">
        <v>45779</v>
      </c>
      <c r="O21" s="8">
        <v>3</v>
      </c>
      <c r="P21" t="str">
        <f t="shared" si="0"/>
        <v>On Delivery</v>
      </c>
      <c r="R21" s="3" t="s">
        <v>37</v>
      </c>
      <c r="S21" s="4">
        <v>221507524.92000002</v>
      </c>
    </row>
    <row r="22" spans="1:19" x14ac:dyDescent="0.3">
      <c r="A22" t="s">
        <v>64</v>
      </c>
      <c r="B22" s="6" t="s">
        <v>245</v>
      </c>
      <c r="C22" t="s">
        <v>18</v>
      </c>
      <c r="D22" t="s">
        <v>44</v>
      </c>
      <c r="E22" t="s">
        <v>51</v>
      </c>
      <c r="F22">
        <v>25</v>
      </c>
      <c r="G22">
        <v>64538</v>
      </c>
      <c r="H22">
        <v>5</v>
      </c>
      <c r="I22">
        <v>12</v>
      </c>
      <c r="J22">
        <v>1716710.8</v>
      </c>
      <c r="K22" t="s">
        <v>46</v>
      </c>
      <c r="L22" t="s">
        <v>26</v>
      </c>
      <c r="M22" s="7">
        <v>45721</v>
      </c>
      <c r="N22" s="7">
        <v>45736</v>
      </c>
      <c r="O22" s="8">
        <v>15</v>
      </c>
      <c r="P22" t="str">
        <f t="shared" si="0"/>
        <v>Delayed</v>
      </c>
      <c r="R22" s="3" t="s">
        <v>21</v>
      </c>
      <c r="S22" s="4">
        <v>267137242.33000001</v>
      </c>
    </row>
    <row r="23" spans="1:19" x14ac:dyDescent="0.3">
      <c r="A23" t="s">
        <v>65</v>
      </c>
      <c r="B23" s="6" t="s">
        <v>241</v>
      </c>
      <c r="C23" t="s">
        <v>42</v>
      </c>
      <c r="D23" t="s">
        <v>13</v>
      </c>
      <c r="E23" t="s">
        <v>32</v>
      </c>
      <c r="F23">
        <v>26</v>
      </c>
      <c r="G23">
        <v>60322</v>
      </c>
      <c r="H23">
        <v>12</v>
      </c>
      <c r="I23">
        <v>18</v>
      </c>
      <c r="J23">
        <v>1628597.48</v>
      </c>
      <c r="K23" t="s">
        <v>46</v>
      </c>
      <c r="L23" t="s">
        <v>26</v>
      </c>
      <c r="M23" s="7">
        <v>45745</v>
      </c>
      <c r="N23" s="7">
        <v>45753</v>
      </c>
      <c r="O23" s="8">
        <v>8</v>
      </c>
      <c r="P23" t="str">
        <f t="shared" si="0"/>
        <v>Delayed</v>
      </c>
      <c r="R23" s="3" t="s">
        <v>46</v>
      </c>
      <c r="S23" s="4">
        <v>248783342.13999996</v>
      </c>
    </row>
    <row r="24" spans="1:19" x14ac:dyDescent="0.3">
      <c r="A24" t="s">
        <v>66</v>
      </c>
      <c r="B24" s="6" t="s">
        <v>240</v>
      </c>
      <c r="C24" t="s">
        <v>28</v>
      </c>
      <c r="D24" t="s">
        <v>48</v>
      </c>
      <c r="E24" t="s">
        <v>59</v>
      </c>
      <c r="F24">
        <v>30</v>
      </c>
      <c r="G24">
        <v>29495</v>
      </c>
      <c r="H24">
        <v>5</v>
      </c>
      <c r="I24">
        <v>28</v>
      </c>
      <c r="J24">
        <v>1075977.6000000001</v>
      </c>
      <c r="K24" t="s">
        <v>37</v>
      </c>
      <c r="L24" t="s">
        <v>33</v>
      </c>
      <c r="M24" s="7">
        <v>45697</v>
      </c>
      <c r="N24" s="7">
        <v>45712</v>
      </c>
      <c r="O24" s="8">
        <v>15</v>
      </c>
      <c r="P24" t="str">
        <f t="shared" si="0"/>
        <v>Delayed</v>
      </c>
      <c r="R24" s="3" t="s">
        <v>15</v>
      </c>
      <c r="S24" s="4">
        <v>278347519.93999982</v>
      </c>
    </row>
    <row r="25" spans="1:19" x14ac:dyDescent="0.3">
      <c r="A25" t="s">
        <v>67</v>
      </c>
      <c r="B25" s="6" t="s">
        <v>242</v>
      </c>
      <c r="C25" t="s">
        <v>12</v>
      </c>
      <c r="D25" t="s">
        <v>44</v>
      </c>
      <c r="E25" t="s">
        <v>51</v>
      </c>
      <c r="F25">
        <v>34</v>
      </c>
      <c r="G25">
        <v>7158</v>
      </c>
      <c r="H25">
        <v>5</v>
      </c>
      <c r="I25">
        <v>12</v>
      </c>
      <c r="J25">
        <v>258947.81</v>
      </c>
      <c r="K25" t="s">
        <v>46</v>
      </c>
      <c r="L25" t="s">
        <v>16</v>
      </c>
      <c r="M25" s="7">
        <v>45806</v>
      </c>
      <c r="N25" s="7">
        <v>45813</v>
      </c>
      <c r="O25" s="8">
        <v>7</v>
      </c>
      <c r="P25" t="str">
        <f t="shared" si="0"/>
        <v>Delayed</v>
      </c>
      <c r="R25" s="3" t="s">
        <v>235</v>
      </c>
      <c r="S25" s="4">
        <v>1015775629.3299998</v>
      </c>
    </row>
    <row r="26" spans="1:19" x14ac:dyDescent="0.3">
      <c r="A26" t="s">
        <v>68</v>
      </c>
      <c r="B26" s="6" t="s">
        <v>238</v>
      </c>
      <c r="C26" t="s">
        <v>58</v>
      </c>
      <c r="D26" t="s">
        <v>24</v>
      </c>
      <c r="E26" t="s">
        <v>40</v>
      </c>
      <c r="F26">
        <v>10</v>
      </c>
      <c r="G26">
        <v>53778</v>
      </c>
      <c r="H26">
        <v>12</v>
      </c>
      <c r="I26">
        <v>28</v>
      </c>
      <c r="J26">
        <v>605755.39</v>
      </c>
      <c r="K26" t="s">
        <v>46</v>
      </c>
      <c r="L26" t="s">
        <v>26</v>
      </c>
      <c r="M26" s="7">
        <v>45674</v>
      </c>
      <c r="N26" s="7">
        <v>45675</v>
      </c>
      <c r="O26" s="8">
        <v>1</v>
      </c>
      <c r="P26" t="str">
        <f t="shared" si="0"/>
        <v>On Delivery</v>
      </c>
    </row>
    <row r="27" spans="1:19" x14ac:dyDescent="0.3">
      <c r="A27" t="s">
        <v>69</v>
      </c>
      <c r="B27" s="6" t="s">
        <v>244</v>
      </c>
      <c r="C27" t="s">
        <v>70</v>
      </c>
      <c r="D27" t="s">
        <v>35</v>
      </c>
      <c r="E27" t="s">
        <v>56</v>
      </c>
      <c r="F27">
        <v>15</v>
      </c>
      <c r="G27">
        <v>72668</v>
      </c>
      <c r="H27">
        <v>10</v>
      </c>
      <c r="I27">
        <v>12</v>
      </c>
      <c r="J27">
        <v>1098740.1599999999</v>
      </c>
      <c r="K27" t="s">
        <v>21</v>
      </c>
      <c r="L27" t="s">
        <v>16</v>
      </c>
      <c r="M27" s="7">
        <v>45804</v>
      </c>
      <c r="N27" s="7">
        <v>45817</v>
      </c>
      <c r="O27" s="8">
        <v>13</v>
      </c>
      <c r="P27" t="str">
        <f t="shared" si="0"/>
        <v>Delayed</v>
      </c>
      <c r="R27" s="2" t="s">
        <v>234</v>
      </c>
      <c r="S27" t="s">
        <v>236</v>
      </c>
    </row>
    <row r="28" spans="1:19" x14ac:dyDescent="0.3">
      <c r="A28" t="s">
        <v>71</v>
      </c>
      <c r="B28" s="6" t="s">
        <v>240</v>
      </c>
      <c r="C28" t="s">
        <v>28</v>
      </c>
      <c r="D28" t="s">
        <v>35</v>
      </c>
      <c r="E28" t="s">
        <v>56</v>
      </c>
      <c r="F28">
        <v>28</v>
      </c>
      <c r="G28">
        <v>13943</v>
      </c>
      <c r="H28">
        <v>5</v>
      </c>
      <c r="I28">
        <v>28</v>
      </c>
      <c r="J28">
        <v>474731.26</v>
      </c>
      <c r="K28" t="s">
        <v>46</v>
      </c>
      <c r="L28" t="s">
        <v>16</v>
      </c>
      <c r="M28" s="7">
        <v>45734</v>
      </c>
      <c r="N28" s="7">
        <v>45738</v>
      </c>
      <c r="O28" s="8">
        <v>4</v>
      </c>
      <c r="P28" t="str">
        <f t="shared" si="0"/>
        <v>Delayed</v>
      </c>
      <c r="R28" s="3" t="s">
        <v>38</v>
      </c>
      <c r="S28" s="4">
        <v>257751083.54999992</v>
      </c>
    </row>
    <row r="29" spans="1:19" x14ac:dyDescent="0.3">
      <c r="A29" t="s">
        <v>72</v>
      </c>
      <c r="B29" s="6" t="s">
        <v>245</v>
      </c>
      <c r="C29" t="s">
        <v>18</v>
      </c>
      <c r="D29" t="s">
        <v>48</v>
      </c>
      <c r="E29" t="s">
        <v>59</v>
      </c>
      <c r="F29">
        <v>34</v>
      </c>
      <c r="G29">
        <v>16768</v>
      </c>
      <c r="H29">
        <v>5</v>
      </c>
      <c r="I29">
        <v>18</v>
      </c>
      <c r="J29">
        <v>639095.55000000005</v>
      </c>
      <c r="K29" t="s">
        <v>46</v>
      </c>
      <c r="L29" t="s">
        <v>26</v>
      </c>
      <c r="M29" s="7">
        <v>45711</v>
      </c>
      <c r="N29" s="7">
        <v>45718</v>
      </c>
      <c r="O29" s="8">
        <v>7</v>
      </c>
      <c r="P29" t="str">
        <f t="shared" si="0"/>
        <v>Delayed</v>
      </c>
      <c r="R29" s="3" t="s">
        <v>26</v>
      </c>
      <c r="S29" s="4">
        <v>273967594.68999994</v>
      </c>
    </row>
    <row r="30" spans="1:19" x14ac:dyDescent="0.3">
      <c r="A30" t="s">
        <v>73</v>
      </c>
      <c r="B30" s="6" t="s">
        <v>238</v>
      </c>
      <c r="C30" t="s">
        <v>58</v>
      </c>
      <c r="D30" t="s">
        <v>35</v>
      </c>
      <c r="E30" t="s">
        <v>36</v>
      </c>
      <c r="F30">
        <v>23</v>
      </c>
      <c r="G30">
        <v>8177</v>
      </c>
      <c r="H30">
        <v>10</v>
      </c>
      <c r="I30">
        <v>12</v>
      </c>
      <c r="J30">
        <v>189575.57</v>
      </c>
      <c r="K30" t="s">
        <v>15</v>
      </c>
      <c r="L30" t="s">
        <v>26</v>
      </c>
      <c r="M30" s="7">
        <v>45710</v>
      </c>
      <c r="N30" s="7">
        <v>45724</v>
      </c>
      <c r="O30" s="8">
        <v>14</v>
      </c>
      <c r="P30" t="str">
        <f t="shared" si="0"/>
        <v>Delayed</v>
      </c>
      <c r="R30" s="3" t="s">
        <v>33</v>
      </c>
      <c r="S30" s="4">
        <v>255504326.20999986</v>
      </c>
    </row>
    <row r="31" spans="1:19" x14ac:dyDescent="0.3">
      <c r="A31" t="s">
        <v>74</v>
      </c>
      <c r="B31" s="6" t="s">
        <v>238</v>
      </c>
      <c r="C31" t="s">
        <v>58</v>
      </c>
      <c r="D31" t="s">
        <v>48</v>
      </c>
      <c r="E31" t="s">
        <v>49</v>
      </c>
      <c r="F31">
        <v>24</v>
      </c>
      <c r="G31">
        <v>33280</v>
      </c>
      <c r="H31">
        <v>5</v>
      </c>
      <c r="I31">
        <v>12</v>
      </c>
      <c r="J31">
        <v>849838.07999999996</v>
      </c>
      <c r="K31" t="s">
        <v>21</v>
      </c>
      <c r="L31" t="s">
        <v>33</v>
      </c>
      <c r="M31" s="7">
        <v>45844</v>
      </c>
      <c r="N31" s="7">
        <v>45852</v>
      </c>
      <c r="O31" s="8">
        <v>8</v>
      </c>
      <c r="P31" t="str">
        <f t="shared" si="0"/>
        <v>Delayed</v>
      </c>
      <c r="R31" s="3" t="s">
        <v>16</v>
      </c>
      <c r="S31" s="4">
        <v>228552624.88</v>
      </c>
    </row>
    <row r="32" spans="1:19" x14ac:dyDescent="0.3">
      <c r="A32" t="s">
        <v>75</v>
      </c>
      <c r="B32" s="6" t="s">
        <v>242</v>
      </c>
      <c r="C32" t="s">
        <v>12</v>
      </c>
      <c r="D32" t="s">
        <v>24</v>
      </c>
      <c r="E32" t="s">
        <v>76</v>
      </c>
      <c r="F32">
        <v>35</v>
      </c>
      <c r="G32">
        <v>45126</v>
      </c>
      <c r="H32">
        <v>5</v>
      </c>
      <c r="I32">
        <v>18</v>
      </c>
      <c r="J32">
        <v>1770518.61</v>
      </c>
      <c r="K32" t="s">
        <v>21</v>
      </c>
      <c r="L32" t="s">
        <v>16</v>
      </c>
      <c r="M32" s="7">
        <v>45681</v>
      </c>
      <c r="N32" s="7">
        <v>45690</v>
      </c>
      <c r="O32" s="8">
        <v>9</v>
      </c>
      <c r="P32" t="str">
        <f t="shared" si="0"/>
        <v>Delayed</v>
      </c>
      <c r="R32" s="3" t="s">
        <v>235</v>
      </c>
      <c r="S32" s="4">
        <v>1015775629.3299998</v>
      </c>
    </row>
    <row r="33" spans="1:19" x14ac:dyDescent="0.3">
      <c r="A33" t="s">
        <v>39</v>
      </c>
      <c r="B33" s="6" t="s">
        <v>240</v>
      </c>
      <c r="C33" t="s">
        <v>28</v>
      </c>
      <c r="D33" t="s">
        <v>35</v>
      </c>
      <c r="E33" t="s">
        <v>56</v>
      </c>
      <c r="F33">
        <v>18</v>
      </c>
      <c r="G33">
        <v>30226</v>
      </c>
      <c r="H33">
        <v>12</v>
      </c>
      <c r="I33">
        <v>28</v>
      </c>
      <c r="J33">
        <v>612838.19999999995</v>
      </c>
      <c r="K33" t="s">
        <v>46</v>
      </c>
      <c r="L33" t="s">
        <v>38</v>
      </c>
      <c r="M33" s="7">
        <v>45739</v>
      </c>
      <c r="N33" s="7">
        <v>45751</v>
      </c>
      <c r="O33" s="8">
        <v>12</v>
      </c>
      <c r="P33" t="str">
        <f t="shared" si="0"/>
        <v>Delayed</v>
      </c>
    </row>
    <row r="34" spans="1:19" x14ac:dyDescent="0.3">
      <c r="A34" t="s">
        <v>54</v>
      </c>
      <c r="B34" s="6" t="s">
        <v>245</v>
      </c>
      <c r="C34" t="s">
        <v>18</v>
      </c>
      <c r="D34" t="s">
        <v>35</v>
      </c>
      <c r="E34" t="s">
        <v>77</v>
      </c>
      <c r="F34">
        <v>26</v>
      </c>
      <c r="G34">
        <v>13170</v>
      </c>
      <c r="H34">
        <v>5</v>
      </c>
      <c r="I34">
        <v>12</v>
      </c>
      <c r="J34">
        <v>364334.88</v>
      </c>
      <c r="K34" t="s">
        <v>15</v>
      </c>
      <c r="L34" t="s">
        <v>26</v>
      </c>
      <c r="M34" s="7">
        <v>45747</v>
      </c>
      <c r="N34" s="7">
        <v>45753</v>
      </c>
      <c r="O34" s="8">
        <v>6</v>
      </c>
      <c r="P34" t="str">
        <f t="shared" si="0"/>
        <v>Delayed</v>
      </c>
    </row>
    <row r="35" spans="1:19" x14ac:dyDescent="0.3">
      <c r="A35" t="s">
        <v>78</v>
      </c>
      <c r="B35" s="6" t="s">
        <v>242</v>
      </c>
      <c r="C35" t="s">
        <v>12</v>
      </c>
      <c r="D35" t="s">
        <v>13</v>
      </c>
      <c r="E35" t="s">
        <v>32</v>
      </c>
      <c r="F35">
        <v>5</v>
      </c>
      <c r="G35">
        <v>11310</v>
      </c>
      <c r="H35">
        <v>0</v>
      </c>
      <c r="I35">
        <v>28</v>
      </c>
      <c r="J35">
        <v>72384</v>
      </c>
      <c r="K35" t="s">
        <v>46</v>
      </c>
      <c r="L35" t="s">
        <v>16</v>
      </c>
      <c r="M35" s="7">
        <v>45837</v>
      </c>
      <c r="N35" s="7">
        <v>45845</v>
      </c>
      <c r="O35" s="8">
        <v>8</v>
      </c>
      <c r="P35" t="str">
        <f t="shared" si="0"/>
        <v>Delayed</v>
      </c>
      <c r="R35" s="2" t="s">
        <v>234</v>
      </c>
      <c r="S35" t="s">
        <v>236</v>
      </c>
    </row>
    <row r="36" spans="1:19" x14ac:dyDescent="0.3">
      <c r="A36" t="s">
        <v>79</v>
      </c>
      <c r="B36" s="6" t="s">
        <v>246</v>
      </c>
      <c r="C36" t="s">
        <v>80</v>
      </c>
      <c r="D36" t="s">
        <v>24</v>
      </c>
      <c r="E36" t="s">
        <v>25</v>
      </c>
      <c r="F36">
        <v>10</v>
      </c>
      <c r="G36">
        <v>28628</v>
      </c>
      <c r="H36">
        <v>5</v>
      </c>
      <c r="I36">
        <v>18</v>
      </c>
      <c r="J36">
        <v>320919.88</v>
      </c>
      <c r="K36" t="s">
        <v>37</v>
      </c>
      <c r="L36" t="s">
        <v>26</v>
      </c>
      <c r="M36" s="7">
        <v>45681</v>
      </c>
      <c r="N36" s="7">
        <v>45682</v>
      </c>
      <c r="O36" s="8">
        <v>1</v>
      </c>
      <c r="P36" t="str">
        <f t="shared" si="0"/>
        <v>On Delivery</v>
      </c>
      <c r="R36" s="3" t="s">
        <v>58</v>
      </c>
      <c r="S36" s="4">
        <v>101706594.70000003</v>
      </c>
    </row>
    <row r="37" spans="1:19" x14ac:dyDescent="0.3">
      <c r="A37" t="s">
        <v>81</v>
      </c>
      <c r="B37" s="6" t="s">
        <v>241</v>
      </c>
      <c r="C37" t="s">
        <v>42</v>
      </c>
      <c r="D37" t="s">
        <v>48</v>
      </c>
      <c r="E37" t="s">
        <v>59</v>
      </c>
      <c r="F37">
        <v>34</v>
      </c>
      <c r="G37">
        <v>71900</v>
      </c>
      <c r="H37">
        <v>12</v>
      </c>
      <c r="I37">
        <v>28</v>
      </c>
      <c r="J37">
        <v>2753597.4399999999</v>
      </c>
      <c r="K37" t="s">
        <v>21</v>
      </c>
      <c r="L37" t="s">
        <v>38</v>
      </c>
      <c r="M37" s="7">
        <v>45751</v>
      </c>
      <c r="N37" s="7">
        <v>45765</v>
      </c>
      <c r="O37" s="8">
        <v>14</v>
      </c>
      <c r="P37" t="str">
        <f t="shared" si="0"/>
        <v>Delayed</v>
      </c>
      <c r="R37" s="3" t="s">
        <v>23</v>
      </c>
      <c r="S37" s="4">
        <v>122337970.04999998</v>
      </c>
    </row>
    <row r="38" spans="1:19" x14ac:dyDescent="0.3">
      <c r="A38" t="s">
        <v>82</v>
      </c>
      <c r="B38" s="6" t="s">
        <v>239</v>
      </c>
      <c r="C38" t="s">
        <v>23</v>
      </c>
      <c r="D38" t="s">
        <v>35</v>
      </c>
      <c r="E38" t="s">
        <v>77</v>
      </c>
      <c r="F38">
        <v>24</v>
      </c>
      <c r="G38">
        <v>13259</v>
      </c>
      <c r="H38">
        <v>5</v>
      </c>
      <c r="I38">
        <v>12</v>
      </c>
      <c r="J38">
        <v>338581.82</v>
      </c>
      <c r="K38" t="s">
        <v>37</v>
      </c>
      <c r="L38" t="s">
        <v>33</v>
      </c>
      <c r="M38" s="7">
        <v>45847</v>
      </c>
      <c r="N38" s="7">
        <v>45858</v>
      </c>
      <c r="O38" s="8">
        <v>11</v>
      </c>
      <c r="P38" t="str">
        <f t="shared" si="0"/>
        <v>Delayed</v>
      </c>
      <c r="R38" s="3" t="s">
        <v>28</v>
      </c>
      <c r="S38" s="4">
        <v>130914454.22000004</v>
      </c>
    </row>
    <row r="39" spans="1:19" x14ac:dyDescent="0.3">
      <c r="A39" t="s">
        <v>83</v>
      </c>
      <c r="B39" s="6" t="s">
        <v>244</v>
      </c>
      <c r="C39" t="s">
        <v>70</v>
      </c>
      <c r="D39" t="s">
        <v>13</v>
      </c>
      <c r="E39" t="s">
        <v>14</v>
      </c>
      <c r="F39">
        <v>29</v>
      </c>
      <c r="G39">
        <v>14327</v>
      </c>
      <c r="H39">
        <v>0</v>
      </c>
      <c r="I39">
        <v>12</v>
      </c>
      <c r="J39">
        <v>465340.96</v>
      </c>
      <c r="K39" t="s">
        <v>37</v>
      </c>
      <c r="L39" t="s">
        <v>38</v>
      </c>
      <c r="M39" s="7">
        <v>45701</v>
      </c>
      <c r="N39" s="7">
        <v>45709</v>
      </c>
      <c r="O39" s="8">
        <v>8</v>
      </c>
      <c r="P39" t="str">
        <f t="shared" si="0"/>
        <v>Delayed</v>
      </c>
      <c r="R39" s="3" t="s">
        <v>42</v>
      </c>
      <c r="S39" s="4">
        <v>87085681.730000019</v>
      </c>
    </row>
    <row r="40" spans="1:19" x14ac:dyDescent="0.3">
      <c r="A40" t="s">
        <v>84</v>
      </c>
      <c r="B40" s="6" t="s">
        <v>245</v>
      </c>
      <c r="C40" t="s">
        <v>18</v>
      </c>
      <c r="D40" t="s">
        <v>35</v>
      </c>
      <c r="E40" t="s">
        <v>36</v>
      </c>
      <c r="F40">
        <v>39</v>
      </c>
      <c r="G40">
        <v>70401</v>
      </c>
      <c r="H40">
        <v>10</v>
      </c>
      <c r="I40">
        <v>28</v>
      </c>
      <c r="J40">
        <v>3162976.13</v>
      </c>
      <c r="K40" t="s">
        <v>21</v>
      </c>
      <c r="L40" t="s">
        <v>26</v>
      </c>
      <c r="M40" s="7">
        <v>45779</v>
      </c>
      <c r="N40" s="7">
        <v>45793</v>
      </c>
      <c r="O40" s="8">
        <v>14</v>
      </c>
      <c r="P40" t="str">
        <f t="shared" si="0"/>
        <v>Delayed</v>
      </c>
      <c r="R40" s="3" t="s">
        <v>12</v>
      </c>
      <c r="S40" s="4">
        <v>125410910.78000002</v>
      </c>
    </row>
    <row r="41" spans="1:19" x14ac:dyDescent="0.3">
      <c r="A41" t="s">
        <v>60</v>
      </c>
      <c r="B41" s="6" t="s">
        <v>244</v>
      </c>
      <c r="C41" t="s">
        <v>70</v>
      </c>
      <c r="D41" t="s">
        <v>48</v>
      </c>
      <c r="E41" t="s">
        <v>49</v>
      </c>
      <c r="F41">
        <v>1</v>
      </c>
      <c r="G41">
        <v>66276</v>
      </c>
      <c r="H41">
        <v>10</v>
      </c>
      <c r="I41">
        <v>28</v>
      </c>
      <c r="J41">
        <v>76349.95</v>
      </c>
      <c r="K41" t="s">
        <v>21</v>
      </c>
      <c r="L41" t="s">
        <v>38</v>
      </c>
      <c r="M41" s="7">
        <v>45713</v>
      </c>
      <c r="N41" s="7">
        <v>45726</v>
      </c>
      <c r="O41" s="8">
        <v>13</v>
      </c>
      <c r="P41" t="str">
        <f t="shared" si="0"/>
        <v>Delayed</v>
      </c>
      <c r="R41" s="3" t="s">
        <v>53</v>
      </c>
      <c r="S41" s="4">
        <v>108099708.38</v>
      </c>
    </row>
    <row r="42" spans="1:19" x14ac:dyDescent="0.3">
      <c r="A42" t="s">
        <v>85</v>
      </c>
      <c r="B42" s="6" t="s">
        <v>240</v>
      </c>
      <c r="C42" t="s">
        <v>28</v>
      </c>
      <c r="D42" t="s">
        <v>48</v>
      </c>
      <c r="E42" t="s">
        <v>59</v>
      </c>
      <c r="F42">
        <v>38</v>
      </c>
      <c r="G42">
        <v>66892</v>
      </c>
      <c r="H42">
        <v>10</v>
      </c>
      <c r="I42">
        <v>12</v>
      </c>
      <c r="J42">
        <v>2562231.17</v>
      </c>
      <c r="K42" t="s">
        <v>21</v>
      </c>
      <c r="L42" t="s">
        <v>38</v>
      </c>
      <c r="M42" s="7">
        <v>45761</v>
      </c>
      <c r="N42" s="7">
        <v>45770</v>
      </c>
      <c r="O42" s="8">
        <v>9</v>
      </c>
      <c r="P42" t="str">
        <f t="shared" si="0"/>
        <v>Delayed</v>
      </c>
      <c r="R42" s="3" t="s">
        <v>70</v>
      </c>
      <c r="S42" s="4">
        <v>126368567.29000005</v>
      </c>
    </row>
    <row r="43" spans="1:19" x14ac:dyDescent="0.3">
      <c r="A43" t="s">
        <v>86</v>
      </c>
      <c r="B43" s="6" t="s">
        <v>241</v>
      </c>
      <c r="C43" t="s">
        <v>42</v>
      </c>
      <c r="D43" t="s">
        <v>48</v>
      </c>
      <c r="E43" t="s">
        <v>49</v>
      </c>
      <c r="F43">
        <v>21</v>
      </c>
      <c r="G43">
        <v>81608</v>
      </c>
      <c r="H43">
        <v>0</v>
      </c>
      <c r="I43">
        <v>18</v>
      </c>
      <c r="J43">
        <v>2022246.24</v>
      </c>
      <c r="K43" t="s">
        <v>15</v>
      </c>
      <c r="L43" t="s">
        <v>16</v>
      </c>
      <c r="M43" s="7">
        <v>45805</v>
      </c>
      <c r="N43" s="7">
        <v>45819</v>
      </c>
      <c r="O43" s="8">
        <v>14</v>
      </c>
      <c r="P43" t="str">
        <f t="shared" si="0"/>
        <v>Delayed</v>
      </c>
      <c r="R43" s="3" t="s">
        <v>18</v>
      </c>
      <c r="S43" s="4">
        <v>98136697.259999976</v>
      </c>
    </row>
    <row r="44" spans="1:19" x14ac:dyDescent="0.3">
      <c r="A44" t="s">
        <v>87</v>
      </c>
      <c r="B44" s="6" t="s">
        <v>238</v>
      </c>
      <c r="C44" t="s">
        <v>58</v>
      </c>
      <c r="D44" t="s">
        <v>44</v>
      </c>
      <c r="E44" t="s">
        <v>51</v>
      </c>
      <c r="F44">
        <v>14</v>
      </c>
      <c r="G44">
        <v>62631</v>
      </c>
      <c r="H44">
        <v>10</v>
      </c>
      <c r="I44">
        <v>28</v>
      </c>
      <c r="J44">
        <v>1010112.77</v>
      </c>
      <c r="K44" t="s">
        <v>37</v>
      </c>
      <c r="L44" t="s">
        <v>26</v>
      </c>
      <c r="M44" s="7">
        <v>45806</v>
      </c>
      <c r="N44" s="7">
        <v>45820</v>
      </c>
      <c r="O44" s="8">
        <v>14</v>
      </c>
      <c r="P44" t="str">
        <f t="shared" si="0"/>
        <v>Delayed</v>
      </c>
      <c r="R44" s="3" t="s">
        <v>80</v>
      </c>
      <c r="S44" s="4">
        <v>115715044.92000002</v>
      </c>
    </row>
    <row r="45" spans="1:19" x14ac:dyDescent="0.3">
      <c r="A45" t="s">
        <v>57</v>
      </c>
      <c r="B45" s="6" t="s">
        <v>239</v>
      </c>
      <c r="C45" t="s">
        <v>23</v>
      </c>
      <c r="D45" t="s">
        <v>48</v>
      </c>
      <c r="E45" t="s">
        <v>59</v>
      </c>
      <c r="F45">
        <v>17</v>
      </c>
      <c r="G45">
        <v>34512</v>
      </c>
      <c r="H45">
        <v>10</v>
      </c>
      <c r="I45">
        <v>12</v>
      </c>
      <c r="J45">
        <v>591397.63</v>
      </c>
      <c r="K45" t="s">
        <v>46</v>
      </c>
      <c r="L45" t="s">
        <v>26</v>
      </c>
      <c r="M45" s="7">
        <v>45800</v>
      </c>
      <c r="N45" s="7">
        <v>45814</v>
      </c>
      <c r="O45" s="8">
        <v>14</v>
      </c>
      <c r="P45" t="str">
        <f t="shared" si="0"/>
        <v>Delayed</v>
      </c>
      <c r="R45" s="3" t="s">
        <v>235</v>
      </c>
      <c r="S45" s="4">
        <v>1015775629.3300002</v>
      </c>
    </row>
    <row r="46" spans="1:19" x14ac:dyDescent="0.3">
      <c r="A46" t="s">
        <v>88</v>
      </c>
      <c r="B46" s="6" t="s">
        <v>241</v>
      </c>
      <c r="C46" t="s">
        <v>42</v>
      </c>
      <c r="D46" t="s">
        <v>48</v>
      </c>
      <c r="E46" t="s">
        <v>59</v>
      </c>
      <c r="F46">
        <v>38</v>
      </c>
      <c r="G46">
        <v>11365</v>
      </c>
      <c r="H46">
        <v>0</v>
      </c>
      <c r="I46">
        <v>12</v>
      </c>
      <c r="J46">
        <v>483694.4</v>
      </c>
      <c r="K46" t="s">
        <v>46</v>
      </c>
      <c r="L46" t="s">
        <v>33</v>
      </c>
      <c r="M46" s="7">
        <v>45831</v>
      </c>
      <c r="N46" s="7">
        <v>45844</v>
      </c>
      <c r="O46" s="8">
        <v>13</v>
      </c>
      <c r="P46" t="str">
        <f t="shared" si="0"/>
        <v>Delayed</v>
      </c>
    </row>
    <row r="47" spans="1:19" x14ac:dyDescent="0.3">
      <c r="A47" t="s">
        <v>89</v>
      </c>
      <c r="B47" s="6" t="s">
        <v>244</v>
      </c>
      <c r="C47" t="s">
        <v>70</v>
      </c>
      <c r="D47" t="s">
        <v>44</v>
      </c>
      <c r="E47" t="s">
        <v>51</v>
      </c>
      <c r="F47">
        <v>9</v>
      </c>
      <c r="G47">
        <v>34094</v>
      </c>
      <c r="H47">
        <v>0</v>
      </c>
      <c r="I47">
        <v>18</v>
      </c>
      <c r="J47">
        <v>362078.28</v>
      </c>
      <c r="K47" t="s">
        <v>21</v>
      </c>
      <c r="L47" t="s">
        <v>38</v>
      </c>
      <c r="M47" s="7">
        <v>45702</v>
      </c>
      <c r="N47" s="7">
        <v>45704</v>
      </c>
      <c r="O47" s="8">
        <v>2</v>
      </c>
      <c r="P47" t="str">
        <f t="shared" si="0"/>
        <v>On Delivery</v>
      </c>
    </row>
    <row r="48" spans="1:19" x14ac:dyDescent="0.3">
      <c r="A48" t="s">
        <v>90</v>
      </c>
      <c r="B48" s="6" t="s">
        <v>242</v>
      </c>
      <c r="C48" t="s">
        <v>12</v>
      </c>
      <c r="D48" t="s">
        <v>35</v>
      </c>
      <c r="E48" t="s">
        <v>56</v>
      </c>
      <c r="F48">
        <v>22</v>
      </c>
      <c r="G48">
        <v>14084</v>
      </c>
      <c r="H48">
        <v>10</v>
      </c>
      <c r="I48">
        <v>28</v>
      </c>
      <c r="J48">
        <v>356944.9</v>
      </c>
      <c r="K48" t="s">
        <v>15</v>
      </c>
      <c r="L48" t="s">
        <v>16</v>
      </c>
      <c r="M48" s="7">
        <v>45690</v>
      </c>
      <c r="N48" s="7">
        <v>45705</v>
      </c>
      <c r="O48" s="8">
        <v>15</v>
      </c>
      <c r="P48" t="str">
        <f t="shared" si="0"/>
        <v>Delayed</v>
      </c>
    </row>
    <row r="49" spans="1:16" x14ac:dyDescent="0.3">
      <c r="A49" t="s">
        <v>85</v>
      </c>
      <c r="B49" s="6" t="s">
        <v>241</v>
      </c>
      <c r="C49" t="s">
        <v>42</v>
      </c>
      <c r="D49" t="s">
        <v>24</v>
      </c>
      <c r="E49" t="s">
        <v>40</v>
      </c>
      <c r="F49">
        <v>2</v>
      </c>
      <c r="G49">
        <v>30110</v>
      </c>
      <c r="H49">
        <v>12</v>
      </c>
      <c r="I49">
        <v>28</v>
      </c>
      <c r="J49">
        <v>67831.81</v>
      </c>
      <c r="K49" t="s">
        <v>15</v>
      </c>
      <c r="L49" t="s">
        <v>33</v>
      </c>
      <c r="M49" s="7">
        <v>45766</v>
      </c>
      <c r="N49" s="7">
        <v>45769</v>
      </c>
      <c r="O49" s="8">
        <v>3</v>
      </c>
      <c r="P49" t="str">
        <f t="shared" si="0"/>
        <v>On Delivery</v>
      </c>
    </row>
    <row r="50" spans="1:16" x14ac:dyDescent="0.3">
      <c r="A50" t="s">
        <v>91</v>
      </c>
      <c r="B50" s="6" t="s">
        <v>245</v>
      </c>
      <c r="C50" t="s">
        <v>18</v>
      </c>
      <c r="D50" t="s">
        <v>62</v>
      </c>
      <c r="E50" t="s">
        <v>92</v>
      </c>
      <c r="F50">
        <v>20</v>
      </c>
      <c r="G50">
        <v>72369</v>
      </c>
      <c r="H50">
        <v>10</v>
      </c>
      <c r="I50">
        <v>28</v>
      </c>
      <c r="J50">
        <v>1667381.76</v>
      </c>
      <c r="K50" t="s">
        <v>15</v>
      </c>
      <c r="L50" t="s">
        <v>38</v>
      </c>
      <c r="M50" s="7">
        <v>45727</v>
      </c>
      <c r="N50" s="7">
        <v>45740</v>
      </c>
      <c r="O50" s="8">
        <v>13</v>
      </c>
      <c r="P50" t="str">
        <f t="shared" si="0"/>
        <v>Delayed</v>
      </c>
    </row>
    <row r="51" spans="1:16" x14ac:dyDescent="0.3">
      <c r="A51" t="s">
        <v>93</v>
      </c>
      <c r="B51" s="6" t="s">
        <v>241</v>
      </c>
      <c r="C51" t="s">
        <v>42</v>
      </c>
      <c r="D51" t="s">
        <v>24</v>
      </c>
      <c r="E51" t="s">
        <v>25</v>
      </c>
      <c r="F51">
        <v>19</v>
      </c>
      <c r="G51">
        <v>73255</v>
      </c>
      <c r="H51">
        <v>10</v>
      </c>
      <c r="I51">
        <v>18</v>
      </c>
      <c r="J51">
        <v>1478139.39</v>
      </c>
      <c r="K51" t="s">
        <v>21</v>
      </c>
      <c r="L51" t="s">
        <v>38</v>
      </c>
      <c r="M51" s="7">
        <v>45793</v>
      </c>
      <c r="N51" s="7">
        <v>45807</v>
      </c>
      <c r="O51" s="8">
        <v>14</v>
      </c>
      <c r="P51" t="str">
        <f t="shared" si="0"/>
        <v>Delayed</v>
      </c>
    </row>
    <row r="52" spans="1:16" x14ac:dyDescent="0.3">
      <c r="A52" t="s">
        <v>86</v>
      </c>
      <c r="B52" s="6" t="s">
        <v>245</v>
      </c>
      <c r="C52" t="s">
        <v>18</v>
      </c>
      <c r="D52" t="s">
        <v>35</v>
      </c>
      <c r="E52" t="s">
        <v>77</v>
      </c>
      <c r="F52">
        <v>19</v>
      </c>
      <c r="G52">
        <v>41210</v>
      </c>
      <c r="H52">
        <v>5</v>
      </c>
      <c r="I52">
        <v>12</v>
      </c>
      <c r="J52">
        <v>833101.36</v>
      </c>
      <c r="K52" t="s">
        <v>37</v>
      </c>
      <c r="L52" t="s">
        <v>26</v>
      </c>
      <c r="M52" s="7">
        <v>45800</v>
      </c>
      <c r="N52" s="7">
        <v>45802</v>
      </c>
      <c r="O52" s="8">
        <v>2</v>
      </c>
      <c r="P52" t="str">
        <f t="shared" si="0"/>
        <v>On Delivery</v>
      </c>
    </row>
    <row r="53" spans="1:16" x14ac:dyDescent="0.3">
      <c r="A53" t="s">
        <v>94</v>
      </c>
      <c r="B53" s="6" t="s">
        <v>242</v>
      </c>
      <c r="C53" t="s">
        <v>12</v>
      </c>
      <c r="D53" t="s">
        <v>35</v>
      </c>
      <c r="E53" t="s">
        <v>77</v>
      </c>
      <c r="F53">
        <v>10</v>
      </c>
      <c r="G53">
        <v>22566</v>
      </c>
      <c r="H53">
        <v>12</v>
      </c>
      <c r="I53">
        <v>18</v>
      </c>
      <c r="J53">
        <v>234325.34</v>
      </c>
      <c r="K53" t="s">
        <v>21</v>
      </c>
      <c r="L53" t="s">
        <v>38</v>
      </c>
      <c r="M53" s="7">
        <v>45781</v>
      </c>
      <c r="N53" s="7">
        <v>45795</v>
      </c>
      <c r="O53" s="8">
        <v>14</v>
      </c>
      <c r="P53" t="str">
        <f t="shared" si="0"/>
        <v>Delayed</v>
      </c>
    </row>
    <row r="54" spans="1:16" x14ac:dyDescent="0.3">
      <c r="A54" t="s">
        <v>95</v>
      </c>
      <c r="B54" s="6" t="s">
        <v>246</v>
      </c>
      <c r="C54" t="s">
        <v>80</v>
      </c>
      <c r="D54" t="s">
        <v>35</v>
      </c>
      <c r="E54" t="s">
        <v>77</v>
      </c>
      <c r="F54">
        <v>2</v>
      </c>
      <c r="G54">
        <v>59646</v>
      </c>
      <c r="H54">
        <v>10</v>
      </c>
      <c r="I54">
        <v>18</v>
      </c>
      <c r="J54">
        <v>126688.1</v>
      </c>
      <c r="K54" t="s">
        <v>21</v>
      </c>
      <c r="L54" t="s">
        <v>33</v>
      </c>
      <c r="M54" s="7">
        <v>45816</v>
      </c>
      <c r="N54" s="7">
        <v>45822</v>
      </c>
      <c r="O54" s="8">
        <v>6</v>
      </c>
      <c r="P54" t="str">
        <f t="shared" si="0"/>
        <v>Delayed</v>
      </c>
    </row>
    <row r="55" spans="1:16" x14ac:dyDescent="0.3">
      <c r="A55" t="s">
        <v>96</v>
      </c>
      <c r="B55" s="6" t="s">
        <v>243</v>
      </c>
      <c r="C55" t="s">
        <v>53</v>
      </c>
      <c r="D55" t="s">
        <v>24</v>
      </c>
      <c r="E55" t="s">
        <v>40</v>
      </c>
      <c r="F55">
        <v>20</v>
      </c>
      <c r="G55">
        <v>83570</v>
      </c>
      <c r="H55">
        <v>10</v>
      </c>
      <c r="I55">
        <v>28</v>
      </c>
      <c r="J55">
        <v>1925452.8</v>
      </c>
      <c r="K55" t="s">
        <v>46</v>
      </c>
      <c r="L55" t="s">
        <v>26</v>
      </c>
      <c r="M55" s="7">
        <v>45749</v>
      </c>
      <c r="N55" s="7">
        <v>45752</v>
      </c>
      <c r="O55" s="8">
        <v>3</v>
      </c>
      <c r="P55" t="str">
        <f t="shared" si="0"/>
        <v>On Delivery</v>
      </c>
    </row>
    <row r="56" spans="1:16" x14ac:dyDescent="0.3">
      <c r="A56" t="s">
        <v>97</v>
      </c>
      <c r="B56" s="6" t="s">
        <v>240</v>
      </c>
      <c r="C56" t="s">
        <v>28</v>
      </c>
      <c r="D56" t="s">
        <v>62</v>
      </c>
      <c r="E56" t="s">
        <v>92</v>
      </c>
      <c r="F56">
        <v>18</v>
      </c>
      <c r="G56">
        <v>70713</v>
      </c>
      <c r="H56">
        <v>10</v>
      </c>
      <c r="I56">
        <v>12</v>
      </c>
      <c r="J56">
        <v>1283016.67</v>
      </c>
      <c r="K56" t="s">
        <v>15</v>
      </c>
      <c r="L56" t="s">
        <v>33</v>
      </c>
      <c r="M56" s="7">
        <v>45792</v>
      </c>
      <c r="N56" s="7">
        <v>45800</v>
      </c>
      <c r="O56" s="8">
        <v>8</v>
      </c>
      <c r="P56" t="str">
        <f t="shared" si="0"/>
        <v>Delayed</v>
      </c>
    </row>
    <row r="57" spans="1:16" x14ac:dyDescent="0.3">
      <c r="A57" t="s">
        <v>98</v>
      </c>
      <c r="B57" s="6" t="s">
        <v>246</v>
      </c>
      <c r="C57" t="s">
        <v>80</v>
      </c>
      <c r="D57" t="s">
        <v>13</v>
      </c>
      <c r="E57" t="s">
        <v>14</v>
      </c>
      <c r="F57">
        <v>37</v>
      </c>
      <c r="G57">
        <v>32230</v>
      </c>
      <c r="H57">
        <v>12</v>
      </c>
      <c r="I57">
        <v>18</v>
      </c>
      <c r="J57">
        <v>1238302.3799999999</v>
      </c>
      <c r="K57" t="s">
        <v>46</v>
      </c>
      <c r="L57" t="s">
        <v>26</v>
      </c>
      <c r="M57" s="7">
        <v>45731</v>
      </c>
      <c r="N57" s="7">
        <v>45735</v>
      </c>
      <c r="O57" s="8">
        <v>4</v>
      </c>
      <c r="P57" t="str">
        <f t="shared" si="0"/>
        <v>Delayed</v>
      </c>
    </row>
    <row r="58" spans="1:16" x14ac:dyDescent="0.3">
      <c r="A58" t="s">
        <v>39</v>
      </c>
      <c r="B58" s="6" t="s">
        <v>244</v>
      </c>
      <c r="C58" t="s">
        <v>70</v>
      </c>
      <c r="D58" t="s">
        <v>24</v>
      </c>
      <c r="E58" t="s">
        <v>76</v>
      </c>
      <c r="F58">
        <v>16</v>
      </c>
      <c r="G58">
        <v>75262</v>
      </c>
      <c r="H58">
        <v>12</v>
      </c>
      <c r="I58">
        <v>18</v>
      </c>
      <c r="J58">
        <v>1250432.97</v>
      </c>
      <c r="K58" t="s">
        <v>46</v>
      </c>
      <c r="L58" t="s">
        <v>38</v>
      </c>
      <c r="M58" s="7">
        <v>45732</v>
      </c>
      <c r="N58" s="7">
        <v>45742</v>
      </c>
      <c r="O58" s="8">
        <v>10</v>
      </c>
      <c r="P58" t="str">
        <f t="shared" si="0"/>
        <v>Delayed</v>
      </c>
    </row>
    <row r="59" spans="1:16" x14ac:dyDescent="0.3">
      <c r="A59" t="s">
        <v>99</v>
      </c>
      <c r="B59" s="6" t="s">
        <v>241</v>
      </c>
      <c r="C59" t="s">
        <v>42</v>
      </c>
      <c r="D59" t="s">
        <v>24</v>
      </c>
      <c r="E59" t="s">
        <v>76</v>
      </c>
      <c r="F59">
        <v>1</v>
      </c>
      <c r="G59">
        <v>6839</v>
      </c>
      <c r="H59">
        <v>12</v>
      </c>
      <c r="I59">
        <v>18</v>
      </c>
      <c r="J59">
        <v>7101.62</v>
      </c>
      <c r="K59" t="s">
        <v>21</v>
      </c>
      <c r="L59" t="s">
        <v>33</v>
      </c>
      <c r="M59" s="7">
        <v>45758</v>
      </c>
      <c r="N59" s="7">
        <v>45762</v>
      </c>
      <c r="O59" s="8">
        <v>4</v>
      </c>
      <c r="P59" t="str">
        <f t="shared" si="0"/>
        <v>Delayed</v>
      </c>
    </row>
    <row r="60" spans="1:16" x14ac:dyDescent="0.3">
      <c r="A60" t="s">
        <v>100</v>
      </c>
      <c r="B60" s="6" t="s">
        <v>238</v>
      </c>
      <c r="C60" t="s">
        <v>58</v>
      </c>
      <c r="D60" t="s">
        <v>35</v>
      </c>
      <c r="E60" t="s">
        <v>77</v>
      </c>
      <c r="F60">
        <v>4</v>
      </c>
      <c r="G60">
        <v>56863</v>
      </c>
      <c r="H60">
        <v>0</v>
      </c>
      <c r="I60">
        <v>28</v>
      </c>
      <c r="J60">
        <v>291138.56</v>
      </c>
      <c r="K60" t="s">
        <v>21</v>
      </c>
      <c r="L60" t="s">
        <v>26</v>
      </c>
      <c r="M60" s="7">
        <v>45760</v>
      </c>
      <c r="N60" s="7">
        <v>45775</v>
      </c>
      <c r="O60" s="8">
        <v>15</v>
      </c>
      <c r="P60" t="str">
        <f t="shared" si="0"/>
        <v>Delayed</v>
      </c>
    </row>
    <row r="61" spans="1:16" x14ac:dyDescent="0.3">
      <c r="A61" t="s">
        <v>101</v>
      </c>
      <c r="B61" s="6" t="s">
        <v>238</v>
      </c>
      <c r="C61" t="s">
        <v>58</v>
      </c>
      <c r="D61" t="s">
        <v>62</v>
      </c>
      <c r="E61" t="s">
        <v>92</v>
      </c>
      <c r="F61">
        <v>26</v>
      </c>
      <c r="G61">
        <v>60805</v>
      </c>
      <c r="H61">
        <v>5</v>
      </c>
      <c r="I61">
        <v>12</v>
      </c>
      <c r="J61">
        <v>1682109.52</v>
      </c>
      <c r="K61" t="s">
        <v>21</v>
      </c>
      <c r="L61" t="s">
        <v>26</v>
      </c>
      <c r="M61" s="7">
        <v>45724</v>
      </c>
      <c r="N61" s="7">
        <v>45733</v>
      </c>
      <c r="O61" s="8">
        <v>9</v>
      </c>
      <c r="P61" t="str">
        <f t="shared" si="0"/>
        <v>Delayed</v>
      </c>
    </row>
    <row r="62" spans="1:16" x14ac:dyDescent="0.3">
      <c r="A62" t="s">
        <v>102</v>
      </c>
      <c r="B62" s="6" t="s">
        <v>243</v>
      </c>
      <c r="C62" t="s">
        <v>53</v>
      </c>
      <c r="D62" t="s">
        <v>13</v>
      </c>
      <c r="E62" t="s">
        <v>14</v>
      </c>
      <c r="F62">
        <v>37</v>
      </c>
      <c r="G62">
        <v>43772</v>
      </c>
      <c r="H62">
        <v>0</v>
      </c>
      <c r="I62">
        <v>28</v>
      </c>
      <c r="J62">
        <v>2073041.9199999999</v>
      </c>
      <c r="K62" t="s">
        <v>37</v>
      </c>
      <c r="L62" t="s">
        <v>26</v>
      </c>
      <c r="M62" s="7">
        <v>45741</v>
      </c>
      <c r="N62" s="7">
        <v>45754</v>
      </c>
      <c r="O62" s="8">
        <v>13</v>
      </c>
      <c r="P62" t="str">
        <f t="shared" si="0"/>
        <v>Delayed</v>
      </c>
    </row>
    <row r="63" spans="1:16" x14ac:dyDescent="0.3">
      <c r="A63" t="s">
        <v>103</v>
      </c>
      <c r="B63" s="6" t="s">
        <v>238</v>
      </c>
      <c r="C63" t="s">
        <v>58</v>
      </c>
      <c r="D63" t="s">
        <v>13</v>
      </c>
      <c r="E63" t="s">
        <v>32</v>
      </c>
      <c r="F63">
        <v>10</v>
      </c>
      <c r="G63">
        <v>64161</v>
      </c>
      <c r="H63">
        <v>10</v>
      </c>
      <c r="I63">
        <v>12</v>
      </c>
      <c r="J63">
        <v>646742.88</v>
      </c>
      <c r="K63" t="s">
        <v>21</v>
      </c>
      <c r="L63" t="s">
        <v>38</v>
      </c>
      <c r="M63" s="7">
        <v>45672</v>
      </c>
      <c r="N63" s="7">
        <v>45676</v>
      </c>
      <c r="O63" s="8">
        <v>4</v>
      </c>
      <c r="P63" t="str">
        <f t="shared" si="0"/>
        <v>Delayed</v>
      </c>
    </row>
    <row r="64" spans="1:16" x14ac:dyDescent="0.3">
      <c r="A64" t="s">
        <v>101</v>
      </c>
      <c r="B64" s="6" t="s">
        <v>244</v>
      </c>
      <c r="C64" t="s">
        <v>70</v>
      </c>
      <c r="D64" t="s">
        <v>48</v>
      </c>
      <c r="E64" t="s">
        <v>59</v>
      </c>
      <c r="F64">
        <v>33</v>
      </c>
      <c r="G64">
        <v>32801</v>
      </c>
      <c r="H64">
        <v>10</v>
      </c>
      <c r="I64">
        <v>28</v>
      </c>
      <c r="J64">
        <v>1246962.82</v>
      </c>
      <c r="K64" t="s">
        <v>37</v>
      </c>
      <c r="L64" t="s">
        <v>33</v>
      </c>
      <c r="M64" s="7">
        <v>45726</v>
      </c>
      <c r="N64" s="7">
        <v>45739</v>
      </c>
      <c r="O64" s="8">
        <v>13</v>
      </c>
      <c r="P64" t="str">
        <f t="shared" si="0"/>
        <v>Delayed</v>
      </c>
    </row>
    <row r="65" spans="1:16" x14ac:dyDescent="0.3">
      <c r="A65" t="s">
        <v>104</v>
      </c>
      <c r="B65" s="6" t="s">
        <v>246</v>
      </c>
      <c r="C65" t="s">
        <v>80</v>
      </c>
      <c r="D65" t="s">
        <v>13</v>
      </c>
      <c r="E65" t="s">
        <v>14</v>
      </c>
      <c r="F65">
        <v>4</v>
      </c>
      <c r="G65">
        <v>26781</v>
      </c>
      <c r="H65">
        <v>12</v>
      </c>
      <c r="I65">
        <v>18</v>
      </c>
      <c r="J65">
        <v>111237.56</v>
      </c>
      <c r="K65" t="s">
        <v>21</v>
      </c>
      <c r="L65" t="s">
        <v>38</v>
      </c>
      <c r="M65" s="7">
        <v>45739</v>
      </c>
      <c r="N65" s="7">
        <v>45743</v>
      </c>
      <c r="O65" s="8">
        <v>4</v>
      </c>
      <c r="P65" t="str">
        <f t="shared" si="0"/>
        <v>Delayed</v>
      </c>
    </row>
    <row r="66" spans="1:16" x14ac:dyDescent="0.3">
      <c r="A66" t="s">
        <v>105</v>
      </c>
      <c r="B66" s="6" t="s">
        <v>238</v>
      </c>
      <c r="C66" t="s">
        <v>58</v>
      </c>
      <c r="D66" t="s">
        <v>24</v>
      </c>
      <c r="E66" t="s">
        <v>25</v>
      </c>
      <c r="F66">
        <v>6</v>
      </c>
      <c r="G66">
        <v>31973</v>
      </c>
      <c r="H66">
        <v>0</v>
      </c>
      <c r="I66">
        <v>12</v>
      </c>
      <c r="J66">
        <v>214858.56</v>
      </c>
      <c r="K66" t="s">
        <v>21</v>
      </c>
      <c r="L66" t="s">
        <v>16</v>
      </c>
      <c r="M66" s="7">
        <v>45783</v>
      </c>
      <c r="N66" s="7">
        <v>45795</v>
      </c>
      <c r="O66" s="8">
        <v>12</v>
      </c>
      <c r="P66" t="str">
        <f t="shared" ref="P66:P129" si="1">IF(O66="","Pending",IF(O66=0,"Delivered",IF(O66&lt;=3,"On Delivery","Delayed")))</f>
        <v>Delayed</v>
      </c>
    </row>
    <row r="67" spans="1:16" x14ac:dyDescent="0.3">
      <c r="A67" t="s">
        <v>106</v>
      </c>
      <c r="B67" s="6" t="s">
        <v>245</v>
      </c>
      <c r="C67" t="s">
        <v>18</v>
      </c>
      <c r="D67" t="s">
        <v>35</v>
      </c>
      <c r="E67" t="s">
        <v>36</v>
      </c>
      <c r="F67">
        <v>11</v>
      </c>
      <c r="G67">
        <v>7729</v>
      </c>
      <c r="H67">
        <v>10</v>
      </c>
      <c r="I67">
        <v>28</v>
      </c>
      <c r="J67">
        <v>97941.89</v>
      </c>
      <c r="K67" t="s">
        <v>15</v>
      </c>
      <c r="L67" t="s">
        <v>38</v>
      </c>
      <c r="M67" s="7">
        <v>45773</v>
      </c>
      <c r="N67" s="7">
        <v>45776</v>
      </c>
      <c r="O67" s="8">
        <v>3</v>
      </c>
      <c r="P67" t="str">
        <f t="shared" si="1"/>
        <v>On Delivery</v>
      </c>
    </row>
    <row r="68" spans="1:16" x14ac:dyDescent="0.3">
      <c r="A68" t="s">
        <v>107</v>
      </c>
      <c r="B68" s="6" t="s">
        <v>240</v>
      </c>
      <c r="C68" t="s">
        <v>28</v>
      </c>
      <c r="D68" t="s">
        <v>48</v>
      </c>
      <c r="E68" t="s">
        <v>59</v>
      </c>
      <c r="F68">
        <v>4</v>
      </c>
      <c r="G68">
        <v>45017</v>
      </c>
      <c r="H68">
        <v>0</v>
      </c>
      <c r="I68">
        <v>28</v>
      </c>
      <c r="J68">
        <v>230487.04000000001</v>
      </c>
      <c r="K68" t="s">
        <v>46</v>
      </c>
      <c r="L68" t="s">
        <v>33</v>
      </c>
      <c r="M68" s="7">
        <v>45759</v>
      </c>
      <c r="N68" s="7">
        <v>45761</v>
      </c>
      <c r="O68" s="8">
        <v>2</v>
      </c>
      <c r="P68" t="str">
        <f t="shared" si="1"/>
        <v>On Delivery</v>
      </c>
    </row>
    <row r="69" spans="1:16" x14ac:dyDescent="0.3">
      <c r="A69" t="s">
        <v>108</v>
      </c>
      <c r="B69" s="6" t="s">
        <v>240</v>
      </c>
      <c r="C69" t="s">
        <v>28</v>
      </c>
      <c r="D69" t="s">
        <v>48</v>
      </c>
      <c r="E69" t="s">
        <v>49</v>
      </c>
      <c r="F69">
        <v>3</v>
      </c>
      <c r="G69">
        <v>5370</v>
      </c>
      <c r="H69">
        <v>12</v>
      </c>
      <c r="I69">
        <v>18</v>
      </c>
      <c r="J69">
        <v>16728.62</v>
      </c>
      <c r="K69" t="s">
        <v>21</v>
      </c>
      <c r="L69" t="s">
        <v>33</v>
      </c>
      <c r="M69" s="7">
        <v>45745</v>
      </c>
      <c r="N69" s="7">
        <v>45756</v>
      </c>
      <c r="O69" s="8">
        <v>11</v>
      </c>
      <c r="P69" t="str">
        <f t="shared" si="1"/>
        <v>Delayed</v>
      </c>
    </row>
    <row r="70" spans="1:16" x14ac:dyDescent="0.3">
      <c r="A70" t="s">
        <v>109</v>
      </c>
      <c r="B70" s="6" t="s">
        <v>244</v>
      </c>
      <c r="C70" t="s">
        <v>70</v>
      </c>
      <c r="D70" t="s">
        <v>48</v>
      </c>
      <c r="E70" t="s">
        <v>59</v>
      </c>
      <c r="F70">
        <v>17</v>
      </c>
      <c r="G70">
        <v>17652</v>
      </c>
      <c r="H70">
        <v>10</v>
      </c>
      <c r="I70">
        <v>18</v>
      </c>
      <c r="J70">
        <v>318689.21000000002</v>
      </c>
      <c r="K70" t="s">
        <v>37</v>
      </c>
      <c r="L70" t="s">
        <v>26</v>
      </c>
      <c r="M70" s="7">
        <v>45713</v>
      </c>
      <c r="N70" s="7">
        <v>45713</v>
      </c>
      <c r="O70" s="8">
        <v>0</v>
      </c>
      <c r="P70" t="str">
        <f t="shared" si="1"/>
        <v>Delivered</v>
      </c>
    </row>
    <row r="71" spans="1:16" x14ac:dyDescent="0.3">
      <c r="A71" t="s">
        <v>94</v>
      </c>
      <c r="B71" s="6" t="s">
        <v>238</v>
      </c>
      <c r="C71" t="s">
        <v>58</v>
      </c>
      <c r="D71" t="s">
        <v>62</v>
      </c>
      <c r="E71" t="s">
        <v>63</v>
      </c>
      <c r="F71">
        <v>13</v>
      </c>
      <c r="G71">
        <v>33541</v>
      </c>
      <c r="H71">
        <v>10</v>
      </c>
      <c r="I71">
        <v>18</v>
      </c>
      <c r="J71">
        <v>463067.05</v>
      </c>
      <c r="K71" t="s">
        <v>37</v>
      </c>
      <c r="L71" t="s">
        <v>38</v>
      </c>
      <c r="M71" s="7">
        <v>45781</v>
      </c>
      <c r="N71" s="7">
        <v>45796</v>
      </c>
      <c r="O71" s="8">
        <v>15</v>
      </c>
      <c r="P71" t="str">
        <f t="shared" si="1"/>
        <v>Delayed</v>
      </c>
    </row>
    <row r="72" spans="1:16" x14ac:dyDescent="0.3">
      <c r="A72" t="s">
        <v>57</v>
      </c>
      <c r="B72" s="6" t="s">
        <v>239</v>
      </c>
      <c r="C72" t="s">
        <v>23</v>
      </c>
      <c r="D72" t="s">
        <v>13</v>
      </c>
      <c r="E72" t="s">
        <v>14</v>
      </c>
      <c r="F72">
        <v>17</v>
      </c>
      <c r="G72">
        <v>63413</v>
      </c>
      <c r="H72">
        <v>12</v>
      </c>
      <c r="I72">
        <v>18</v>
      </c>
      <c r="J72">
        <v>1119417.01</v>
      </c>
      <c r="K72" t="s">
        <v>21</v>
      </c>
      <c r="L72" t="s">
        <v>16</v>
      </c>
      <c r="M72" s="7">
        <v>45801</v>
      </c>
      <c r="N72" s="7">
        <v>45810</v>
      </c>
      <c r="O72" s="8">
        <v>9</v>
      </c>
      <c r="P72" t="str">
        <f t="shared" si="1"/>
        <v>Delayed</v>
      </c>
    </row>
    <row r="73" spans="1:16" x14ac:dyDescent="0.3">
      <c r="A73" t="s">
        <v>88</v>
      </c>
      <c r="B73" s="6" t="s">
        <v>245</v>
      </c>
      <c r="C73" t="s">
        <v>18</v>
      </c>
      <c r="D73" t="s">
        <v>35</v>
      </c>
      <c r="E73" t="s">
        <v>56</v>
      </c>
      <c r="F73">
        <v>1</v>
      </c>
      <c r="G73">
        <v>30627</v>
      </c>
      <c r="H73">
        <v>10</v>
      </c>
      <c r="I73">
        <v>28</v>
      </c>
      <c r="J73">
        <v>35282.300000000003</v>
      </c>
      <c r="K73" t="s">
        <v>21</v>
      </c>
      <c r="L73" t="s">
        <v>26</v>
      </c>
      <c r="M73" s="7">
        <v>45836</v>
      </c>
      <c r="N73" s="7">
        <v>45846</v>
      </c>
      <c r="O73" s="8">
        <v>10</v>
      </c>
      <c r="P73" t="str">
        <f t="shared" si="1"/>
        <v>Delayed</v>
      </c>
    </row>
    <row r="74" spans="1:16" x14ac:dyDescent="0.3">
      <c r="A74" t="s">
        <v>110</v>
      </c>
      <c r="B74" s="6" t="s">
        <v>238</v>
      </c>
      <c r="C74" t="s">
        <v>58</v>
      </c>
      <c r="D74" t="s">
        <v>19</v>
      </c>
      <c r="E74" t="s">
        <v>20</v>
      </c>
      <c r="F74">
        <v>18</v>
      </c>
      <c r="G74">
        <v>37475</v>
      </c>
      <c r="H74">
        <v>10</v>
      </c>
      <c r="I74">
        <v>18</v>
      </c>
      <c r="J74">
        <v>716372.1</v>
      </c>
      <c r="K74" t="s">
        <v>46</v>
      </c>
      <c r="L74" t="s">
        <v>16</v>
      </c>
      <c r="M74" s="7">
        <v>45767</v>
      </c>
      <c r="N74" s="7">
        <v>45782</v>
      </c>
      <c r="O74" s="8">
        <v>15</v>
      </c>
      <c r="P74" t="str">
        <f t="shared" si="1"/>
        <v>Delayed</v>
      </c>
    </row>
    <row r="75" spans="1:16" x14ac:dyDescent="0.3">
      <c r="A75" t="s">
        <v>111</v>
      </c>
      <c r="B75" s="6" t="s">
        <v>245</v>
      </c>
      <c r="C75" t="s">
        <v>18</v>
      </c>
      <c r="D75" t="s">
        <v>24</v>
      </c>
      <c r="E75" t="s">
        <v>76</v>
      </c>
      <c r="F75">
        <v>1</v>
      </c>
      <c r="G75">
        <v>84604</v>
      </c>
      <c r="H75">
        <v>5</v>
      </c>
      <c r="I75">
        <v>12</v>
      </c>
      <c r="J75">
        <v>90018.66</v>
      </c>
      <c r="K75" t="s">
        <v>15</v>
      </c>
      <c r="L75" t="s">
        <v>26</v>
      </c>
      <c r="M75" s="7">
        <v>45736</v>
      </c>
      <c r="N75" s="7">
        <v>45741</v>
      </c>
      <c r="O75" s="8">
        <v>5</v>
      </c>
      <c r="P75" t="str">
        <f t="shared" si="1"/>
        <v>Delayed</v>
      </c>
    </row>
    <row r="76" spans="1:16" x14ac:dyDescent="0.3">
      <c r="A76" t="s">
        <v>112</v>
      </c>
      <c r="B76" s="6" t="s">
        <v>243</v>
      </c>
      <c r="C76" t="s">
        <v>53</v>
      </c>
      <c r="D76" t="s">
        <v>35</v>
      </c>
      <c r="E76" t="s">
        <v>56</v>
      </c>
      <c r="F76">
        <v>5</v>
      </c>
      <c r="G76">
        <v>68873</v>
      </c>
      <c r="H76">
        <v>12</v>
      </c>
      <c r="I76">
        <v>12</v>
      </c>
      <c r="J76">
        <v>339406.14</v>
      </c>
      <c r="K76" t="s">
        <v>15</v>
      </c>
      <c r="L76" t="s">
        <v>16</v>
      </c>
      <c r="M76" s="7">
        <v>45803</v>
      </c>
      <c r="N76" s="7">
        <v>45809</v>
      </c>
      <c r="O76" s="8">
        <v>6</v>
      </c>
      <c r="P76" t="str">
        <f t="shared" si="1"/>
        <v>Delayed</v>
      </c>
    </row>
    <row r="77" spans="1:16" x14ac:dyDescent="0.3">
      <c r="A77" t="s">
        <v>113</v>
      </c>
      <c r="B77" s="6" t="s">
        <v>243</v>
      </c>
      <c r="C77" t="s">
        <v>53</v>
      </c>
      <c r="D77" t="s">
        <v>44</v>
      </c>
      <c r="E77" t="s">
        <v>45</v>
      </c>
      <c r="F77">
        <v>37</v>
      </c>
      <c r="G77">
        <v>42100</v>
      </c>
      <c r="H77">
        <v>12</v>
      </c>
      <c r="I77">
        <v>18</v>
      </c>
      <c r="J77">
        <v>1617515.68</v>
      </c>
      <c r="K77" t="s">
        <v>37</v>
      </c>
      <c r="L77" t="s">
        <v>16</v>
      </c>
      <c r="M77" s="7">
        <v>45669</v>
      </c>
      <c r="N77" s="7">
        <v>45679</v>
      </c>
      <c r="O77" s="8">
        <v>10</v>
      </c>
      <c r="P77" t="str">
        <f t="shared" si="1"/>
        <v>Delayed</v>
      </c>
    </row>
    <row r="78" spans="1:16" x14ac:dyDescent="0.3">
      <c r="A78" t="s">
        <v>66</v>
      </c>
      <c r="B78" s="6" t="s">
        <v>240</v>
      </c>
      <c r="C78" t="s">
        <v>28</v>
      </c>
      <c r="D78" t="s">
        <v>62</v>
      </c>
      <c r="E78" t="s">
        <v>92</v>
      </c>
      <c r="F78">
        <v>30</v>
      </c>
      <c r="G78">
        <v>54119</v>
      </c>
      <c r="H78">
        <v>10</v>
      </c>
      <c r="I78">
        <v>18</v>
      </c>
      <c r="J78">
        <v>1724231.34</v>
      </c>
      <c r="K78" t="s">
        <v>15</v>
      </c>
      <c r="L78" t="s">
        <v>33</v>
      </c>
      <c r="M78" s="7">
        <v>45698</v>
      </c>
      <c r="N78" s="7">
        <v>45705</v>
      </c>
      <c r="O78" s="8">
        <v>7</v>
      </c>
      <c r="P78" t="str">
        <f t="shared" si="1"/>
        <v>Delayed</v>
      </c>
    </row>
    <row r="79" spans="1:16" x14ac:dyDescent="0.3">
      <c r="A79" t="s">
        <v>114</v>
      </c>
      <c r="B79" s="6" t="s">
        <v>246</v>
      </c>
      <c r="C79" t="s">
        <v>80</v>
      </c>
      <c r="D79" t="s">
        <v>48</v>
      </c>
      <c r="E79" t="s">
        <v>49</v>
      </c>
      <c r="F79">
        <v>32</v>
      </c>
      <c r="G79">
        <v>34647</v>
      </c>
      <c r="H79">
        <v>12</v>
      </c>
      <c r="I79">
        <v>12</v>
      </c>
      <c r="J79">
        <v>1092738.6599999999</v>
      </c>
      <c r="K79" t="s">
        <v>46</v>
      </c>
      <c r="L79" t="s">
        <v>38</v>
      </c>
      <c r="M79" s="7">
        <v>45739</v>
      </c>
      <c r="N79" s="7">
        <v>45751</v>
      </c>
      <c r="O79" s="8">
        <v>12</v>
      </c>
      <c r="P79" t="str">
        <f t="shared" si="1"/>
        <v>Delayed</v>
      </c>
    </row>
    <row r="80" spans="1:16" x14ac:dyDescent="0.3">
      <c r="A80" t="s">
        <v>61</v>
      </c>
      <c r="B80" s="6" t="s">
        <v>240</v>
      </c>
      <c r="C80" t="s">
        <v>28</v>
      </c>
      <c r="D80" t="s">
        <v>48</v>
      </c>
      <c r="E80" t="s">
        <v>49</v>
      </c>
      <c r="F80">
        <v>31</v>
      </c>
      <c r="G80">
        <v>69445</v>
      </c>
      <c r="H80">
        <v>5</v>
      </c>
      <c r="I80">
        <v>28</v>
      </c>
      <c r="J80">
        <v>2617798.7200000002</v>
      </c>
      <c r="K80" t="s">
        <v>21</v>
      </c>
      <c r="L80" t="s">
        <v>26</v>
      </c>
      <c r="M80" s="7">
        <v>45769</v>
      </c>
      <c r="N80" s="7">
        <v>45775</v>
      </c>
      <c r="O80" s="8">
        <v>6</v>
      </c>
      <c r="P80" t="str">
        <f t="shared" si="1"/>
        <v>Delayed</v>
      </c>
    </row>
    <row r="81" spans="1:16" x14ac:dyDescent="0.3">
      <c r="A81" t="s">
        <v>105</v>
      </c>
      <c r="B81" s="6" t="s">
        <v>244</v>
      </c>
      <c r="C81" t="s">
        <v>70</v>
      </c>
      <c r="D81" t="s">
        <v>13</v>
      </c>
      <c r="E81" t="s">
        <v>32</v>
      </c>
      <c r="F81">
        <v>35</v>
      </c>
      <c r="G81">
        <v>59195</v>
      </c>
      <c r="H81">
        <v>12</v>
      </c>
      <c r="I81">
        <v>12</v>
      </c>
      <c r="J81">
        <v>2041990.72</v>
      </c>
      <c r="K81" t="s">
        <v>37</v>
      </c>
      <c r="L81" t="s">
        <v>26</v>
      </c>
      <c r="M81" s="7">
        <v>45782</v>
      </c>
      <c r="N81" s="7">
        <v>45783</v>
      </c>
      <c r="O81" s="8">
        <v>1</v>
      </c>
      <c r="P81" t="str">
        <f t="shared" si="1"/>
        <v>On Delivery</v>
      </c>
    </row>
    <row r="82" spans="1:16" x14ac:dyDescent="0.3">
      <c r="A82" t="s">
        <v>115</v>
      </c>
      <c r="B82" s="6" t="s">
        <v>242</v>
      </c>
      <c r="C82" t="s">
        <v>12</v>
      </c>
      <c r="D82" t="s">
        <v>24</v>
      </c>
      <c r="E82" t="s">
        <v>76</v>
      </c>
      <c r="F82">
        <v>8</v>
      </c>
      <c r="G82">
        <v>64182</v>
      </c>
      <c r="H82">
        <v>10</v>
      </c>
      <c r="I82">
        <v>28</v>
      </c>
      <c r="J82">
        <v>591501.31000000006</v>
      </c>
      <c r="K82" t="s">
        <v>37</v>
      </c>
      <c r="L82" t="s">
        <v>38</v>
      </c>
      <c r="M82" s="7">
        <v>45788</v>
      </c>
      <c r="N82" s="7">
        <v>45802</v>
      </c>
      <c r="O82" s="8">
        <v>14</v>
      </c>
      <c r="P82" t="str">
        <f t="shared" si="1"/>
        <v>Delayed</v>
      </c>
    </row>
    <row r="83" spans="1:16" x14ac:dyDescent="0.3">
      <c r="A83" t="s">
        <v>116</v>
      </c>
      <c r="B83" s="6" t="s">
        <v>239</v>
      </c>
      <c r="C83" t="s">
        <v>23</v>
      </c>
      <c r="D83" t="s">
        <v>44</v>
      </c>
      <c r="E83" t="s">
        <v>45</v>
      </c>
      <c r="F83">
        <v>7</v>
      </c>
      <c r="G83">
        <v>57564</v>
      </c>
      <c r="H83">
        <v>0</v>
      </c>
      <c r="I83">
        <v>12</v>
      </c>
      <c r="J83">
        <v>451301.76</v>
      </c>
      <c r="K83" t="s">
        <v>37</v>
      </c>
      <c r="L83" t="s">
        <v>26</v>
      </c>
      <c r="M83" s="7">
        <v>45786</v>
      </c>
      <c r="N83" s="7">
        <v>45801</v>
      </c>
      <c r="O83" s="8">
        <v>15</v>
      </c>
      <c r="P83" t="str">
        <f t="shared" si="1"/>
        <v>Delayed</v>
      </c>
    </row>
    <row r="84" spans="1:16" x14ac:dyDescent="0.3">
      <c r="A84" t="s">
        <v>117</v>
      </c>
      <c r="B84" s="6" t="s">
        <v>244</v>
      </c>
      <c r="C84" t="s">
        <v>70</v>
      </c>
      <c r="D84" t="s">
        <v>62</v>
      </c>
      <c r="E84" t="s">
        <v>63</v>
      </c>
      <c r="F84">
        <v>28</v>
      </c>
      <c r="G84">
        <v>41469</v>
      </c>
      <c r="H84">
        <v>5</v>
      </c>
      <c r="I84">
        <v>12</v>
      </c>
      <c r="J84">
        <v>1235444.45</v>
      </c>
      <c r="K84" t="s">
        <v>46</v>
      </c>
      <c r="L84" t="s">
        <v>26</v>
      </c>
      <c r="M84" s="7">
        <v>45776</v>
      </c>
      <c r="N84" s="7">
        <v>45780</v>
      </c>
      <c r="O84" s="8">
        <v>4</v>
      </c>
      <c r="P84" t="str">
        <f t="shared" si="1"/>
        <v>Delayed</v>
      </c>
    </row>
    <row r="85" spans="1:16" x14ac:dyDescent="0.3">
      <c r="A85" t="s">
        <v>118</v>
      </c>
      <c r="B85" s="6" t="s">
        <v>239</v>
      </c>
      <c r="C85" t="s">
        <v>23</v>
      </c>
      <c r="D85" t="s">
        <v>13</v>
      </c>
      <c r="E85" t="s">
        <v>14</v>
      </c>
      <c r="F85">
        <v>22</v>
      </c>
      <c r="G85">
        <v>60646</v>
      </c>
      <c r="H85">
        <v>5</v>
      </c>
      <c r="I85">
        <v>12</v>
      </c>
      <c r="J85">
        <v>1419601.57</v>
      </c>
      <c r="K85" t="s">
        <v>21</v>
      </c>
      <c r="L85" t="s">
        <v>16</v>
      </c>
      <c r="M85" s="7">
        <v>45706</v>
      </c>
      <c r="N85" s="7">
        <v>45710</v>
      </c>
      <c r="O85" s="8">
        <v>4</v>
      </c>
      <c r="P85" t="str">
        <f t="shared" si="1"/>
        <v>Delayed</v>
      </c>
    </row>
    <row r="86" spans="1:16" x14ac:dyDescent="0.3">
      <c r="A86" t="s">
        <v>119</v>
      </c>
      <c r="B86" s="6" t="s">
        <v>246</v>
      </c>
      <c r="C86" t="s">
        <v>80</v>
      </c>
      <c r="D86" t="s">
        <v>13</v>
      </c>
      <c r="E86" t="s">
        <v>32</v>
      </c>
      <c r="F86">
        <v>19</v>
      </c>
      <c r="G86">
        <v>1861</v>
      </c>
      <c r="H86">
        <v>0</v>
      </c>
      <c r="I86">
        <v>12</v>
      </c>
      <c r="J86">
        <v>39602.080000000002</v>
      </c>
      <c r="K86" t="s">
        <v>37</v>
      </c>
      <c r="L86" t="s">
        <v>38</v>
      </c>
      <c r="M86" s="7">
        <v>45796</v>
      </c>
      <c r="N86" s="7">
        <v>45801</v>
      </c>
      <c r="O86" s="8">
        <v>5</v>
      </c>
      <c r="P86" t="str">
        <f t="shared" si="1"/>
        <v>Delayed</v>
      </c>
    </row>
    <row r="87" spans="1:16" x14ac:dyDescent="0.3">
      <c r="A87" t="s">
        <v>120</v>
      </c>
      <c r="B87" s="6" t="s">
        <v>241</v>
      </c>
      <c r="C87" t="s">
        <v>42</v>
      </c>
      <c r="D87" t="s">
        <v>35</v>
      </c>
      <c r="E87" t="s">
        <v>77</v>
      </c>
      <c r="F87">
        <v>22</v>
      </c>
      <c r="G87">
        <v>80529</v>
      </c>
      <c r="H87">
        <v>5</v>
      </c>
      <c r="I87">
        <v>18</v>
      </c>
      <c r="J87">
        <v>1986006.2</v>
      </c>
      <c r="K87" t="s">
        <v>37</v>
      </c>
      <c r="L87" t="s">
        <v>33</v>
      </c>
      <c r="M87" s="7">
        <v>45703</v>
      </c>
      <c r="N87" s="7">
        <v>45711</v>
      </c>
      <c r="O87" s="8">
        <v>8</v>
      </c>
      <c r="P87" t="str">
        <f t="shared" si="1"/>
        <v>Delayed</v>
      </c>
    </row>
    <row r="88" spans="1:16" x14ac:dyDescent="0.3">
      <c r="A88" t="s">
        <v>73</v>
      </c>
      <c r="B88" s="6" t="s">
        <v>243</v>
      </c>
      <c r="C88" t="s">
        <v>53</v>
      </c>
      <c r="D88" t="s">
        <v>19</v>
      </c>
      <c r="E88" t="s">
        <v>20</v>
      </c>
      <c r="F88">
        <v>8</v>
      </c>
      <c r="G88">
        <v>82785</v>
      </c>
      <c r="H88">
        <v>0</v>
      </c>
      <c r="I88">
        <v>28</v>
      </c>
      <c r="J88">
        <v>847718.40000000002</v>
      </c>
      <c r="K88" t="s">
        <v>21</v>
      </c>
      <c r="L88" t="s">
        <v>26</v>
      </c>
      <c r="M88" s="7">
        <v>45715</v>
      </c>
      <c r="N88" s="7">
        <v>45728</v>
      </c>
      <c r="O88" s="8">
        <v>13</v>
      </c>
      <c r="P88" t="str">
        <f t="shared" si="1"/>
        <v>Delayed</v>
      </c>
    </row>
    <row r="89" spans="1:16" x14ac:dyDescent="0.3">
      <c r="A89" t="s">
        <v>121</v>
      </c>
      <c r="B89" s="6" t="s">
        <v>245</v>
      </c>
      <c r="C89" t="s">
        <v>18</v>
      </c>
      <c r="D89" t="s">
        <v>44</v>
      </c>
      <c r="E89" t="s">
        <v>45</v>
      </c>
      <c r="F89">
        <v>18</v>
      </c>
      <c r="G89">
        <v>40524</v>
      </c>
      <c r="H89">
        <v>10</v>
      </c>
      <c r="I89">
        <v>12</v>
      </c>
      <c r="J89">
        <v>735267.46</v>
      </c>
      <c r="K89" t="s">
        <v>15</v>
      </c>
      <c r="L89" t="s">
        <v>16</v>
      </c>
      <c r="M89" s="7">
        <v>45783</v>
      </c>
      <c r="N89" s="7">
        <v>45795</v>
      </c>
      <c r="O89" s="8">
        <v>12</v>
      </c>
      <c r="P89" t="str">
        <f t="shared" si="1"/>
        <v>Delayed</v>
      </c>
    </row>
    <row r="90" spans="1:16" x14ac:dyDescent="0.3">
      <c r="A90" t="s">
        <v>122</v>
      </c>
      <c r="B90" s="6" t="s">
        <v>243</v>
      </c>
      <c r="C90" t="s">
        <v>53</v>
      </c>
      <c r="D90" t="s">
        <v>35</v>
      </c>
      <c r="E90" t="s">
        <v>56</v>
      </c>
      <c r="F90">
        <v>11</v>
      </c>
      <c r="G90">
        <v>65643</v>
      </c>
      <c r="H90">
        <v>10</v>
      </c>
      <c r="I90">
        <v>28</v>
      </c>
      <c r="J90">
        <v>831828.1</v>
      </c>
      <c r="K90" t="s">
        <v>37</v>
      </c>
      <c r="L90" t="s">
        <v>16</v>
      </c>
      <c r="M90" s="7">
        <v>45727</v>
      </c>
      <c r="N90" s="7">
        <v>45732</v>
      </c>
      <c r="O90" s="8">
        <v>5</v>
      </c>
      <c r="P90" t="str">
        <f t="shared" si="1"/>
        <v>Delayed</v>
      </c>
    </row>
    <row r="91" spans="1:16" x14ac:dyDescent="0.3">
      <c r="A91" t="s">
        <v>123</v>
      </c>
      <c r="B91" s="6" t="s">
        <v>238</v>
      </c>
      <c r="C91" t="s">
        <v>58</v>
      </c>
      <c r="D91" t="s">
        <v>35</v>
      </c>
      <c r="E91" t="s">
        <v>56</v>
      </c>
      <c r="F91">
        <v>10</v>
      </c>
      <c r="G91">
        <v>26012</v>
      </c>
      <c r="H91">
        <v>12</v>
      </c>
      <c r="I91">
        <v>28</v>
      </c>
      <c r="J91">
        <v>292999.17</v>
      </c>
      <c r="K91" t="s">
        <v>37</v>
      </c>
      <c r="L91" t="s">
        <v>33</v>
      </c>
      <c r="M91" s="7">
        <v>45735</v>
      </c>
      <c r="N91" s="7">
        <v>45740</v>
      </c>
      <c r="O91" s="8">
        <v>5</v>
      </c>
      <c r="P91" t="str">
        <f t="shared" si="1"/>
        <v>Delayed</v>
      </c>
    </row>
    <row r="92" spans="1:16" x14ac:dyDescent="0.3">
      <c r="A92" t="s">
        <v>50</v>
      </c>
      <c r="B92" s="6" t="s">
        <v>245</v>
      </c>
      <c r="C92" t="s">
        <v>18</v>
      </c>
      <c r="D92" t="s">
        <v>29</v>
      </c>
      <c r="E92" t="s">
        <v>30</v>
      </c>
      <c r="F92">
        <v>24</v>
      </c>
      <c r="G92">
        <v>15279</v>
      </c>
      <c r="H92">
        <v>10</v>
      </c>
      <c r="I92">
        <v>28</v>
      </c>
      <c r="J92">
        <v>422433.79</v>
      </c>
      <c r="K92" t="s">
        <v>21</v>
      </c>
      <c r="L92" t="s">
        <v>16</v>
      </c>
      <c r="M92" s="7">
        <v>45827</v>
      </c>
      <c r="N92" s="7">
        <v>45841</v>
      </c>
      <c r="O92" s="8">
        <v>14</v>
      </c>
      <c r="P92" t="str">
        <f t="shared" si="1"/>
        <v>Delayed</v>
      </c>
    </row>
    <row r="93" spans="1:16" x14ac:dyDescent="0.3">
      <c r="A93" t="s">
        <v>69</v>
      </c>
      <c r="B93" s="6" t="s">
        <v>239</v>
      </c>
      <c r="C93" t="s">
        <v>23</v>
      </c>
      <c r="D93" t="s">
        <v>19</v>
      </c>
      <c r="E93" t="s">
        <v>20</v>
      </c>
      <c r="F93">
        <v>25</v>
      </c>
      <c r="G93">
        <v>64548</v>
      </c>
      <c r="H93">
        <v>5</v>
      </c>
      <c r="I93">
        <v>18</v>
      </c>
      <c r="J93">
        <v>1808957.7</v>
      </c>
      <c r="K93" t="s">
        <v>37</v>
      </c>
      <c r="L93" t="s">
        <v>38</v>
      </c>
      <c r="M93" s="7">
        <v>45810</v>
      </c>
      <c r="N93" s="7">
        <v>45823</v>
      </c>
      <c r="O93" s="8">
        <v>13</v>
      </c>
      <c r="P93" t="str">
        <f t="shared" si="1"/>
        <v>Delayed</v>
      </c>
    </row>
    <row r="94" spans="1:16" x14ac:dyDescent="0.3">
      <c r="A94" t="s">
        <v>27</v>
      </c>
      <c r="B94" s="6" t="s">
        <v>246</v>
      </c>
      <c r="C94" t="s">
        <v>80</v>
      </c>
      <c r="D94" t="s">
        <v>62</v>
      </c>
      <c r="E94" t="s">
        <v>63</v>
      </c>
      <c r="F94">
        <v>9</v>
      </c>
      <c r="G94">
        <v>20422</v>
      </c>
      <c r="H94">
        <v>10</v>
      </c>
      <c r="I94">
        <v>28</v>
      </c>
      <c r="J94">
        <v>211735.3</v>
      </c>
      <c r="K94" t="s">
        <v>15</v>
      </c>
      <c r="L94" t="s">
        <v>16</v>
      </c>
      <c r="M94" s="7">
        <v>45803</v>
      </c>
      <c r="N94" s="7">
        <v>45817</v>
      </c>
      <c r="O94" s="8">
        <v>14</v>
      </c>
      <c r="P94" t="str">
        <f t="shared" si="1"/>
        <v>Delayed</v>
      </c>
    </row>
    <row r="95" spans="1:16" x14ac:dyDescent="0.3">
      <c r="A95" t="s">
        <v>112</v>
      </c>
      <c r="B95" s="6" t="s">
        <v>239</v>
      </c>
      <c r="C95" t="s">
        <v>23</v>
      </c>
      <c r="D95" t="s">
        <v>35</v>
      </c>
      <c r="E95" t="s">
        <v>36</v>
      </c>
      <c r="F95">
        <v>36</v>
      </c>
      <c r="G95">
        <v>19289</v>
      </c>
      <c r="H95">
        <v>0</v>
      </c>
      <c r="I95">
        <v>28</v>
      </c>
      <c r="J95">
        <v>888837.12</v>
      </c>
      <c r="K95" t="s">
        <v>15</v>
      </c>
      <c r="L95" t="s">
        <v>33</v>
      </c>
      <c r="M95" s="7">
        <v>45803</v>
      </c>
      <c r="N95" s="7">
        <v>45813</v>
      </c>
      <c r="O95" s="8">
        <v>10</v>
      </c>
      <c r="P95" t="str">
        <f t="shared" si="1"/>
        <v>Delayed</v>
      </c>
    </row>
    <row r="96" spans="1:16" x14ac:dyDescent="0.3">
      <c r="A96" t="s">
        <v>124</v>
      </c>
      <c r="B96" s="6" t="s">
        <v>238</v>
      </c>
      <c r="C96" t="s">
        <v>58</v>
      </c>
      <c r="D96" t="s">
        <v>62</v>
      </c>
      <c r="E96" t="s">
        <v>63</v>
      </c>
      <c r="F96">
        <v>1</v>
      </c>
      <c r="G96">
        <v>39753</v>
      </c>
      <c r="H96">
        <v>12</v>
      </c>
      <c r="I96">
        <v>28</v>
      </c>
      <c r="J96">
        <v>44777.78</v>
      </c>
      <c r="K96" t="s">
        <v>21</v>
      </c>
      <c r="L96" t="s">
        <v>16</v>
      </c>
      <c r="M96" s="7">
        <v>45819</v>
      </c>
      <c r="N96" s="7">
        <v>45833</v>
      </c>
      <c r="O96" s="8">
        <v>14</v>
      </c>
      <c r="P96" t="str">
        <f t="shared" si="1"/>
        <v>Delayed</v>
      </c>
    </row>
    <row r="97" spans="1:16" x14ac:dyDescent="0.3">
      <c r="A97" t="s">
        <v>119</v>
      </c>
      <c r="B97" s="6" t="s">
        <v>241</v>
      </c>
      <c r="C97" t="s">
        <v>42</v>
      </c>
      <c r="D97" t="s">
        <v>48</v>
      </c>
      <c r="E97" t="s">
        <v>59</v>
      </c>
      <c r="F97">
        <v>2</v>
      </c>
      <c r="G97">
        <v>34853</v>
      </c>
      <c r="H97">
        <v>0</v>
      </c>
      <c r="I97">
        <v>12</v>
      </c>
      <c r="J97">
        <v>78070.720000000001</v>
      </c>
      <c r="K97" t="s">
        <v>21</v>
      </c>
      <c r="L97" t="s">
        <v>16</v>
      </c>
      <c r="M97" s="7">
        <v>45795</v>
      </c>
      <c r="N97" s="7">
        <v>45803</v>
      </c>
      <c r="O97" s="8">
        <v>8</v>
      </c>
      <c r="P97" t="str">
        <f t="shared" si="1"/>
        <v>Delayed</v>
      </c>
    </row>
    <row r="98" spans="1:16" x14ac:dyDescent="0.3">
      <c r="A98" t="s">
        <v>99</v>
      </c>
      <c r="B98" s="6" t="s">
        <v>240</v>
      </c>
      <c r="C98" t="s">
        <v>28</v>
      </c>
      <c r="D98" t="s">
        <v>19</v>
      </c>
      <c r="E98" t="s">
        <v>20</v>
      </c>
      <c r="F98">
        <v>10</v>
      </c>
      <c r="G98">
        <v>47110</v>
      </c>
      <c r="H98">
        <v>5</v>
      </c>
      <c r="I98">
        <v>12</v>
      </c>
      <c r="J98">
        <v>501250.4</v>
      </c>
      <c r="K98" t="s">
        <v>46</v>
      </c>
      <c r="L98" t="s">
        <v>26</v>
      </c>
      <c r="M98" s="7">
        <v>45752</v>
      </c>
      <c r="N98" s="7">
        <v>45758</v>
      </c>
      <c r="O98" s="8">
        <v>6</v>
      </c>
      <c r="P98" t="str">
        <f t="shared" si="1"/>
        <v>Delayed</v>
      </c>
    </row>
    <row r="99" spans="1:16" x14ac:dyDescent="0.3">
      <c r="A99" t="s">
        <v>125</v>
      </c>
      <c r="B99" s="6" t="s">
        <v>246</v>
      </c>
      <c r="C99" t="s">
        <v>80</v>
      </c>
      <c r="D99" t="s">
        <v>24</v>
      </c>
      <c r="E99" t="s">
        <v>76</v>
      </c>
      <c r="F99">
        <v>34</v>
      </c>
      <c r="G99">
        <v>12139</v>
      </c>
      <c r="H99">
        <v>5</v>
      </c>
      <c r="I99">
        <v>28</v>
      </c>
      <c r="J99">
        <v>501874.82</v>
      </c>
      <c r="K99" t="s">
        <v>15</v>
      </c>
      <c r="L99" t="s">
        <v>38</v>
      </c>
      <c r="M99" s="7">
        <v>45767</v>
      </c>
      <c r="N99" s="7">
        <v>45767</v>
      </c>
      <c r="O99" s="8">
        <v>0</v>
      </c>
      <c r="P99" t="str">
        <f t="shared" si="1"/>
        <v>Delivered</v>
      </c>
    </row>
    <row r="100" spans="1:16" x14ac:dyDescent="0.3">
      <c r="A100" t="s">
        <v>126</v>
      </c>
      <c r="B100" s="6" t="s">
        <v>238</v>
      </c>
      <c r="C100" t="s">
        <v>58</v>
      </c>
      <c r="D100" t="s">
        <v>62</v>
      </c>
      <c r="E100" t="s">
        <v>63</v>
      </c>
      <c r="F100">
        <v>32</v>
      </c>
      <c r="G100">
        <v>20562</v>
      </c>
      <c r="H100">
        <v>12</v>
      </c>
      <c r="I100">
        <v>12</v>
      </c>
      <c r="J100">
        <v>648509.03</v>
      </c>
      <c r="K100" t="s">
        <v>37</v>
      </c>
      <c r="L100" t="s">
        <v>16</v>
      </c>
      <c r="M100" s="7">
        <v>45703</v>
      </c>
      <c r="N100" s="7">
        <v>45717</v>
      </c>
      <c r="O100" s="8">
        <v>14</v>
      </c>
      <c r="P100" t="str">
        <f t="shared" si="1"/>
        <v>Delayed</v>
      </c>
    </row>
    <row r="101" spans="1:16" x14ac:dyDescent="0.3">
      <c r="A101" t="s">
        <v>127</v>
      </c>
      <c r="B101" s="6" t="s">
        <v>240</v>
      </c>
      <c r="C101" t="s">
        <v>28</v>
      </c>
      <c r="D101" t="s">
        <v>13</v>
      </c>
      <c r="E101" t="s">
        <v>32</v>
      </c>
      <c r="F101">
        <v>16</v>
      </c>
      <c r="G101">
        <v>81906</v>
      </c>
      <c r="H101">
        <v>0</v>
      </c>
      <c r="I101">
        <v>12</v>
      </c>
      <c r="J101">
        <v>1467755.52</v>
      </c>
      <c r="K101" t="s">
        <v>21</v>
      </c>
      <c r="L101" t="s">
        <v>16</v>
      </c>
      <c r="M101" s="7">
        <v>45699</v>
      </c>
      <c r="N101" s="7">
        <v>45712</v>
      </c>
      <c r="O101" s="8">
        <v>13</v>
      </c>
      <c r="P101" t="str">
        <f t="shared" si="1"/>
        <v>Delayed</v>
      </c>
    </row>
    <row r="102" spans="1:16" x14ac:dyDescent="0.3">
      <c r="A102" t="s">
        <v>128</v>
      </c>
      <c r="B102" s="6" t="s">
        <v>246</v>
      </c>
      <c r="C102" t="s">
        <v>80</v>
      </c>
      <c r="D102" t="s">
        <v>29</v>
      </c>
      <c r="E102" t="s">
        <v>30</v>
      </c>
      <c r="F102">
        <v>36</v>
      </c>
      <c r="G102">
        <v>22586</v>
      </c>
      <c r="H102">
        <v>5</v>
      </c>
      <c r="I102">
        <v>18</v>
      </c>
      <c r="J102">
        <v>911480.62</v>
      </c>
      <c r="K102" t="s">
        <v>15</v>
      </c>
      <c r="L102" t="s">
        <v>33</v>
      </c>
      <c r="M102" s="7">
        <v>45788</v>
      </c>
      <c r="N102" s="7">
        <v>45788</v>
      </c>
      <c r="O102" s="8">
        <v>0</v>
      </c>
      <c r="P102" t="str">
        <f t="shared" si="1"/>
        <v>Delivered</v>
      </c>
    </row>
    <row r="103" spans="1:16" x14ac:dyDescent="0.3">
      <c r="A103" t="s">
        <v>129</v>
      </c>
      <c r="B103" s="6" t="s">
        <v>242</v>
      </c>
      <c r="C103" t="s">
        <v>12</v>
      </c>
      <c r="D103" t="s">
        <v>44</v>
      </c>
      <c r="E103" t="s">
        <v>45</v>
      </c>
      <c r="F103">
        <v>33</v>
      </c>
      <c r="G103">
        <v>21156</v>
      </c>
      <c r="H103">
        <v>10</v>
      </c>
      <c r="I103">
        <v>18</v>
      </c>
      <c r="J103">
        <v>741433.18</v>
      </c>
      <c r="K103" t="s">
        <v>15</v>
      </c>
      <c r="L103" t="s">
        <v>38</v>
      </c>
      <c r="M103" s="7">
        <v>45736</v>
      </c>
      <c r="N103" s="7">
        <v>45741</v>
      </c>
      <c r="O103" s="8">
        <v>5</v>
      </c>
      <c r="P103" t="str">
        <f t="shared" si="1"/>
        <v>Delayed</v>
      </c>
    </row>
    <row r="104" spans="1:16" x14ac:dyDescent="0.3">
      <c r="A104" t="s">
        <v>130</v>
      </c>
      <c r="B104" s="6" t="s">
        <v>241</v>
      </c>
      <c r="C104" t="s">
        <v>42</v>
      </c>
      <c r="D104" t="s">
        <v>13</v>
      </c>
      <c r="E104" t="s">
        <v>32</v>
      </c>
      <c r="F104">
        <v>34</v>
      </c>
      <c r="G104">
        <v>73216</v>
      </c>
      <c r="H104">
        <v>5</v>
      </c>
      <c r="I104">
        <v>12</v>
      </c>
      <c r="J104">
        <v>2648662.02</v>
      </c>
      <c r="K104" t="s">
        <v>21</v>
      </c>
      <c r="L104" t="s">
        <v>38</v>
      </c>
      <c r="M104" s="7">
        <v>45837</v>
      </c>
      <c r="N104" s="7">
        <v>45843</v>
      </c>
      <c r="O104" s="8">
        <v>6</v>
      </c>
      <c r="P104" t="str">
        <f t="shared" si="1"/>
        <v>Delayed</v>
      </c>
    </row>
    <row r="105" spans="1:16" x14ac:dyDescent="0.3">
      <c r="A105" t="s">
        <v>68</v>
      </c>
      <c r="B105" s="6" t="s">
        <v>242</v>
      </c>
      <c r="C105" t="s">
        <v>12</v>
      </c>
      <c r="D105" t="s">
        <v>44</v>
      </c>
      <c r="E105" t="s">
        <v>51</v>
      </c>
      <c r="F105">
        <v>6</v>
      </c>
      <c r="G105">
        <v>44169</v>
      </c>
      <c r="H105">
        <v>5</v>
      </c>
      <c r="I105">
        <v>12</v>
      </c>
      <c r="J105">
        <v>281974.90000000002</v>
      </c>
      <c r="K105" t="s">
        <v>15</v>
      </c>
      <c r="L105" t="s">
        <v>33</v>
      </c>
      <c r="M105" s="7">
        <v>45673</v>
      </c>
      <c r="N105" s="7">
        <v>45681</v>
      </c>
      <c r="O105" s="8">
        <v>8</v>
      </c>
      <c r="P105" t="str">
        <f t="shared" si="1"/>
        <v>Delayed</v>
      </c>
    </row>
    <row r="106" spans="1:16" x14ac:dyDescent="0.3">
      <c r="A106" t="s">
        <v>131</v>
      </c>
      <c r="B106" s="6" t="s">
        <v>239</v>
      </c>
      <c r="C106" t="s">
        <v>23</v>
      </c>
      <c r="D106" t="s">
        <v>48</v>
      </c>
      <c r="E106" t="s">
        <v>49</v>
      </c>
      <c r="F106">
        <v>22</v>
      </c>
      <c r="G106">
        <v>75304</v>
      </c>
      <c r="H106">
        <v>5</v>
      </c>
      <c r="I106">
        <v>18</v>
      </c>
      <c r="J106">
        <v>1857147.25</v>
      </c>
      <c r="K106" t="s">
        <v>37</v>
      </c>
      <c r="L106" t="s">
        <v>38</v>
      </c>
      <c r="M106" s="7">
        <v>45685</v>
      </c>
      <c r="N106" s="7">
        <v>45694</v>
      </c>
      <c r="O106" s="8">
        <v>9</v>
      </c>
      <c r="P106" t="str">
        <f t="shared" si="1"/>
        <v>Delayed</v>
      </c>
    </row>
    <row r="107" spans="1:16" x14ac:dyDescent="0.3">
      <c r="A107" t="s">
        <v>132</v>
      </c>
      <c r="B107" s="6" t="s">
        <v>245</v>
      </c>
      <c r="C107" t="s">
        <v>18</v>
      </c>
      <c r="D107" t="s">
        <v>35</v>
      </c>
      <c r="E107" t="s">
        <v>36</v>
      </c>
      <c r="F107">
        <v>29</v>
      </c>
      <c r="G107">
        <v>44782</v>
      </c>
      <c r="H107">
        <v>12</v>
      </c>
      <c r="I107">
        <v>28</v>
      </c>
      <c r="J107">
        <v>1462830.9</v>
      </c>
      <c r="K107" t="s">
        <v>15</v>
      </c>
      <c r="L107" t="s">
        <v>38</v>
      </c>
      <c r="M107" s="7">
        <v>45675</v>
      </c>
      <c r="N107" s="7">
        <v>45679</v>
      </c>
      <c r="O107" s="8">
        <v>4</v>
      </c>
      <c r="P107" t="str">
        <f t="shared" si="1"/>
        <v>Delayed</v>
      </c>
    </row>
    <row r="108" spans="1:16" x14ac:dyDescent="0.3">
      <c r="A108" t="s">
        <v>133</v>
      </c>
      <c r="B108" s="6" t="s">
        <v>245</v>
      </c>
      <c r="C108" t="s">
        <v>18</v>
      </c>
      <c r="D108" t="s">
        <v>62</v>
      </c>
      <c r="E108" t="s">
        <v>92</v>
      </c>
      <c r="F108">
        <v>16</v>
      </c>
      <c r="G108">
        <v>71093</v>
      </c>
      <c r="H108">
        <v>5</v>
      </c>
      <c r="I108">
        <v>28</v>
      </c>
      <c r="J108">
        <v>1383185.41</v>
      </c>
      <c r="K108" t="s">
        <v>21</v>
      </c>
      <c r="L108" t="s">
        <v>16</v>
      </c>
      <c r="M108" s="7">
        <v>45771</v>
      </c>
      <c r="N108" s="7">
        <v>45779</v>
      </c>
      <c r="O108" s="8">
        <v>8</v>
      </c>
      <c r="P108" t="str">
        <f t="shared" si="1"/>
        <v>Delayed</v>
      </c>
    </row>
    <row r="109" spans="1:16" x14ac:dyDescent="0.3">
      <c r="A109" t="s">
        <v>100</v>
      </c>
      <c r="B109" s="6" t="s">
        <v>245</v>
      </c>
      <c r="C109" t="s">
        <v>18</v>
      </c>
      <c r="D109" t="s">
        <v>62</v>
      </c>
      <c r="E109" t="s">
        <v>92</v>
      </c>
      <c r="F109">
        <v>14</v>
      </c>
      <c r="G109">
        <v>21132</v>
      </c>
      <c r="H109">
        <v>0</v>
      </c>
      <c r="I109">
        <v>28</v>
      </c>
      <c r="J109">
        <v>378685.44</v>
      </c>
      <c r="K109" t="s">
        <v>46</v>
      </c>
      <c r="L109" t="s">
        <v>38</v>
      </c>
      <c r="M109" s="7">
        <v>45758</v>
      </c>
      <c r="N109" s="7">
        <v>45771</v>
      </c>
      <c r="O109" s="8">
        <v>13</v>
      </c>
      <c r="P109" t="str">
        <f t="shared" si="1"/>
        <v>Delayed</v>
      </c>
    </row>
    <row r="110" spans="1:16" x14ac:dyDescent="0.3">
      <c r="A110" t="s">
        <v>82</v>
      </c>
      <c r="B110" s="6" t="s">
        <v>246</v>
      </c>
      <c r="C110" t="s">
        <v>80</v>
      </c>
      <c r="D110" t="s">
        <v>44</v>
      </c>
      <c r="E110" t="s">
        <v>51</v>
      </c>
      <c r="F110">
        <v>38</v>
      </c>
      <c r="G110">
        <v>58504</v>
      </c>
      <c r="H110">
        <v>12</v>
      </c>
      <c r="I110">
        <v>12</v>
      </c>
      <c r="J110">
        <v>2191138.61</v>
      </c>
      <c r="K110" t="s">
        <v>37</v>
      </c>
      <c r="L110" t="s">
        <v>26</v>
      </c>
      <c r="M110" s="7">
        <v>45842</v>
      </c>
      <c r="N110" s="7">
        <v>45845</v>
      </c>
      <c r="O110" s="8">
        <v>3</v>
      </c>
      <c r="P110" t="str">
        <f t="shared" si="1"/>
        <v>On Delivery</v>
      </c>
    </row>
    <row r="111" spans="1:16" x14ac:dyDescent="0.3">
      <c r="A111" t="s">
        <v>134</v>
      </c>
      <c r="B111" s="6" t="s">
        <v>239</v>
      </c>
      <c r="C111" t="s">
        <v>23</v>
      </c>
      <c r="D111" t="s">
        <v>13</v>
      </c>
      <c r="E111" t="s">
        <v>14</v>
      </c>
      <c r="F111">
        <v>37</v>
      </c>
      <c r="G111">
        <v>74168</v>
      </c>
      <c r="H111">
        <v>0</v>
      </c>
      <c r="I111">
        <v>28</v>
      </c>
      <c r="J111">
        <v>3512596.48</v>
      </c>
      <c r="K111" t="s">
        <v>15</v>
      </c>
      <c r="L111" t="s">
        <v>26</v>
      </c>
      <c r="M111" s="7">
        <v>45767</v>
      </c>
      <c r="N111" s="7">
        <v>45778</v>
      </c>
      <c r="O111" s="8">
        <v>11</v>
      </c>
      <c r="P111" t="str">
        <f t="shared" si="1"/>
        <v>Delayed</v>
      </c>
    </row>
    <row r="112" spans="1:16" x14ac:dyDescent="0.3">
      <c r="A112" t="s">
        <v>135</v>
      </c>
      <c r="B112" s="6" t="s">
        <v>245</v>
      </c>
      <c r="C112" t="s">
        <v>18</v>
      </c>
      <c r="D112" t="s">
        <v>29</v>
      </c>
      <c r="E112" t="s">
        <v>30</v>
      </c>
      <c r="F112">
        <v>7</v>
      </c>
      <c r="G112">
        <v>42871</v>
      </c>
      <c r="H112">
        <v>10</v>
      </c>
      <c r="I112">
        <v>12</v>
      </c>
      <c r="J112">
        <v>302497.78000000003</v>
      </c>
      <c r="K112" t="s">
        <v>15</v>
      </c>
      <c r="L112" t="s">
        <v>16</v>
      </c>
      <c r="M112" s="7">
        <v>45840</v>
      </c>
      <c r="N112" s="7">
        <v>45843</v>
      </c>
      <c r="O112" s="8">
        <v>3</v>
      </c>
      <c r="P112" t="str">
        <f t="shared" si="1"/>
        <v>On Delivery</v>
      </c>
    </row>
    <row r="113" spans="1:16" x14ac:dyDescent="0.3">
      <c r="A113" t="s">
        <v>136</v>
      </c>
      <c r="B113" s="6" t="s">
        <v>243</v>
      </c>
      <c r="C113" t="s">
        <v>53</v>
      </c>
      <c r="D113" t="s">
        <v>24</v>
      </c>
      <c r="E113" t="s">
        <v>40</v>
      </c>
      <c r="F113">
        <v>26</v>
      </c>
      <c r="G113">
        <v>23290</v>
      </c>
      <c r="H113">
        <v>5</v>
      </c>
      <c r="I113">
        <v>28</v>
      </c>
      <c r="J113">
        <v>736336.64</v>
      </c>
      <c r="K113" t="s">
        <v>21</v>
      </c>
      <c r="L113" t="s">
        <v>16</v>
      </c>
      <c r="M113" s="7">
        <v>45706</v>
      </c>
      <c r="N113" s="7">
        <v>45714</v>
      </c>
      <c r="O113" s="8">
        <v>8</v>
      </c>
      <c r="P113" t="str">
        <f t="shared" si="1"/>
        <v>Delayed</v>
      </c>
    </row>
    <row r="114" spans="1:16" x14ac:dyDescent="0.3">
      <c r="A114" t="s">
        <v>137</v>
      </c>
      <c r="B114" s="6" t="s">
        <v>245</v>
      </c>
      <c r="C114" t="s">
        <v>18</v>
      </c>
      <c r="D114" t="s">
        <v>19</v>
      </c>
      <c r="E114" t="s">
        <v>20</v>
      </c>
      <c r="F114">
        <v>19</v>
      </c>
      <c r="G114">
        <v>15940</v>
      </c>
      <c r="H114">
        <v>10</v>
      </c>
      <c r="I114">
        <v>12</v>
      </c>
      <c r="J114">
        <v>305282.88</v>
      </c>
      <c r="K114" t="s">
        <v>21</v>
      </c>
      <c r="L114" t="s">
        <v>26</v>
      </c>
      <c r="M114" s="7">
        <v>45662</v>
      </c>
      <c r="N114" s="7">
        <v>45671</v>
      </c>
      <c r="O114" s="8">
        <v>9</v>
      </c>
      <c r="P114" t="str">
        <f t="shared" si="1"/>
        <v>Delayed</v>
      </c>
    </row>
    <row r="115" spans="1:16" x14ac:dyDescent="0.3">
      <c r="A115" t="s">
        <v>138</v>
      </c>
      <c r="B115" s="6" t="s">
        <v>246</v>
      </c>
      <c r="C115" t="s">
        <v>80</v>
      </c>
      <c r="D115" t="s">
        <v>13</v>
      </c>
      <c r="E115" t="s">
        <v>32</v>
      </c>
      <c r="F115">
        <v>20</v>
      </c>
      <c r="G115">
        <v>7848</v>
      </c>
      <c r="H115">
        <v>0</v>
      </c>
      <c r="I115">
        <v>18</v>
      </c>
      <c r="J115">
        <v>185212.79999999999</v>
      </c>
      <c r="K115" t="s">
        <v>46</v>
      </c>
      <c r="L115" t="s">
        <v>26</v>
      </c>
      <c r="M115" s="7">
        <v>45718</v>
      </c>
      <c r="N115" s="7">
        <v>45723</v>
      </c>
      <c r="O115" s="8">
        <v>5</v>
      </c>
      <c r="P115" t="str">
        <f t="shared" si="1"/>
        <v>Delayed</v>
      </c>
    </row>
    <row r="116" spans="1:16" x14ac:dyDescent="0.3">
      <c r="A116" t="s">
        <v>89</v>
      </c>
      <c r="B116" s="6" t="s">
        <v>240</v>
      </c>
      <c r="C116" t="s">
        <v>28</v>
      </c>
      <c r="D116" t="s">
        <v>13</v>
      </c>
      <c r="E116" t="s">
        <v>14</v>
      </c>
      <c r="F116">
        <v>30</v>
      </c>
      <c r="G116">
        <v>4553</v>
      </c>
      <c r="H116">
        <v>10</v>
      </c>
      <c r="I116">
        <v>28</v>
      </c>
      <c r="J116">
        <v>157351.67999999999</v>
      </c>
      <c r="K116" t="s">
        <v>46</v>
      </c>
      <c r="L116" t="s">
        <v>26</v>
      </c>
      <c r="M116" s="7">
        <v>45699</v>
      </c>
      <c r="N116" s="7">
        <v>45707</v>
      </c>
      <c r="O116" s="8">
        <v>8</v>
      </c>
      <c r="P116" t="str">
        <f t="shared" si="1"/>
        <v>Delayed</v>
      </c>
    </row>
    <row r="117" spans="1:16" x14ac:dyDescent="0.3">
      <c r="A117" t="s">
        <v>43</v>
      </c>
      <c r="B117" s="6" t="s">
        <v>241</v>
      </c>
      <c r="C117" t="s">
        <v>42</v>
      </c>
      <c r="D117" t="s">
        <v>48</v>
      </c>
      <c r="E117" t="s">
        <v>49</v>
      </c>
      <c r="F117">
        <v>13</v>
      </c>
      <c r="G117">
        <v>27600</v>
      </c>
      <c r="H117">
        <v>12</v>
      </c>
      <c r="I117">
        <v>12</v>
      </c>
      <c r="J117">
        <v>353633.28000000003</v>
      </c>
      <c r="K117" t="s">
        <v>21</v>
      </c>
      <c r="L117" t="s">
        <v>33</v>
      </c>
      <c r="M117" s="7">
        <v>45720</v>
      </c>
      <c r="N117" s="7">
        <v>45720</v>
      </c>
      <c r="O117" s="8">
        <v>0</v>
      </c>
      <c r="P117" t="str">
        <f t="shared" si="1"/>
        <v>Delivered</v>
      </c>
    </row>
    <row r="118" spans="1:16" x14ac:dyDescent="0.3">
      <c r="A118" t="s">
        <v>139</v>
      </c>
      <c r="B118" s="6" t="s">
        <v>238</v>
      </c>
      <c r="C118" t="s">
        <v>58</v>
      </c>
      <c r="D118" t="s">
        <v>13</v>
      </c>
      <c r="E118" t="s">
        <v>14</v>
      </c>
      <c r="F118">
        <v>21</v>
      </c>
      <c r="G118">
        <v>70179</v>
      </c>
      <c r="H118">
        <v>0</v>
      </c>
      <c r="I118">
        <v>12</v>
      </c>
      <c r="J118">
        <v>1650610.08</v>
      </c>
      <c r="K118" t="s">
        <v>21</v>
      </c>
      <c r="L118" t="s">
        <v>16</v>
      </c>
      <c r="M118" s="7">
        <v>45793</v>
      </c>
      <c r="N118" s="7">
        <v>45801</v>
      </c>
      <c r="O118" s="8">
        <v>8</v>
      </c>
      <c r="P118" t="str">
        <f t="shared" si="1"/>
        <v>Delayed</v>
      </c>
    </row>
    <row r="119" spans="1:16" x14ac:dyDescent="0.3">
      <c r="A119" t="s">
        <v>140</v>
      </c>
      <c r="B119" s="6" t="s">
        <v>242</v>
      </c>
      <c r="C119" t="s">
        <v>12</v>
      </c>
      <c r="D119" t="s">
        <v>24</v>
      </c>
      <c r="E119" t="s">
        <v>25</v>
      </c>
      <c r="F119">
        <v>2</v>
      </c>
      <c r="G119">
        <v>13184</v>
      </c>
      <c r="H119">
        <v>12</v>
      </c>
      <c r="I119">
        <v>12</v>
      </c>
      <c r="J119">
        <v>25988.3</v>
      </c>
      <c r="K119" t="s">
        <v>37</v>
      </c>
      <c r="L119" t="s">
        <v>33</v>
      </c>
      <c r="M119" s="7">
        <v>45784</v>
      </c>
      <c r="N119" s="7">
        <v>45784</v>
      </c>
      <c r="O119" s="8">
        <v>0</v>
      </c>
      <c r="P119" t="str">
        <f t="shared" si="1"/>
        <v>Delivered</v>
      </c>
    </row>
    <row r="120" spans="1:16" x14ac:dyDescent="0.3">
      <c r="A120" t="s">
        <v>137</v>
      </c>
      <c r="B120" s="6" t="s">
        <v>244</v>
      </c>
      <c r="C120" t="s">
        <v>70</v>
      </c>
      <c r="D120" t="s">
        <v>48</v>
      </c>
      <c r="E120" t="s">
        <v>59</v>
      </c>
      <c r="F120">
        <v>40</v>
      </c>
      <c r="G120">
        <v>39271</v>
      </c>
      <c r="H120">
        <v>12</v>
      </c>
      <c r="I120">
        <v>18</v>
      </c>
      <c r="J120">
        <v>1631160.26</v>
      </c>
      <c r="K120" t="s">
        <v>15</v>
      </c>
      <c r="L120" t="s">
        <v>26</v>
      </c>
      <c r="M120" s="7">
        <v>45661</v>
      </c>
      <c r="N120" s="7">
        <v>45664</v>
      </c>
      <c r="O120" s="8">
        <v>3</v>
      </c>
      <c r="P120" t="str">
        <f t="shared" si="1"/>
        <v>On Delivery</v>
      </c>
    </row>
    <row r="121" spans="1:16" x14ac:dyDescent="0.3">
      <c r="A121" t="s">
        <v>141</v>
      </c>
      <c r="B121" s="6" t="s">
        <v>240</v>
      </c>
      <c r="C121" t="s">
        <v>28</v>
      </c>
      <c r="D121" t="s">
        <v>24</v>
      </c>
      <c r="E121" t="s">
        <v>25</v>
      </c>
      <c r="F121">
        <v>31</v>
      </c>
      <c r="G121">
        <v>53137</v>
      </c>
      <c r="H121">
        <v>5</v>
      </c>
      <c r="I121">
        <v>12</v>
      </c>
      <c r="J121">
        <v>1752670.81</v>
      </c>
      <c r="K121" t="s">
        <v>15</v>
      </c>
      <c r="L121" t="s">
        <v>16</v>
      </c>
      <c r="M121" s="7">
        <v>45796</v>
      </c>
      <c r="N121" s="7">
        <v>45796</v>
      </c>
      <c r="O121" s="8">
        <v>0</v>
      </c>
      <c r="P121" t="str">
        <f t="shared" si="1"/>
        <v>Delivered</v>
      </c>
    </row>
    <row r="122" spans="1:16" x14ac:dyDescent="0.3">
      <c r="A122" t="s">
        <v>142</v>
      </c>
      <c r="B122" s="6" t="s">
        <v>241</v>
      </c>
      <c r="C122" t="s">
        <v>42</v>
      </c>
      <c r="D122" t="s">
        <v>35</v>
      </c>
      <c r="E122" t="s">
        <v>56</v>
      </c>
      <c r="F122">
        <v>32</v>
      </c>
      <c r="G122">
        <v>12302</v>
      </c>
      <c r="H122">
        <v>0</v>
      </c>
      <c r="I122">
        <v>18</v>
      </c>
      <c r="J122">
        <v>464523.52000000002</v>
      </c>
      <c r="K122" t="s">
        <v>46</v>
      </c>
      <c r="L122" t="s">
        <v>38</v>
      </c>
      <c r="M122" s="7">
        <v>45758</v>
      </c>
      <c r="N122" s="7">
        <v>45761</v>
      </c>
      <c r="O122" s="8">
        <v>3</v>
      </c>
      <c r="P122" t="str">
        <f t="shared" si="1"/>
        <v>On Delivery</v>
      </c>
    </row>
    <row r="123" spans="1:16" x14ac:dyDescent="0.3">
      <c r="A123" t="s">
        <v>143</v>
      </c>
      <c r="B123" s="6" t="s">
        <v>244</v>
      </c>
      <c r="C123" t="s">
        <v>70</v>
      </c>
      <c r="D123" t="s">
        <v>24</v>
      </c>
      <c r="E123" t="s">
        <v>40</v>
      </c>
      <c r="F123">
        <v>31</v>
      </c>
      <c r="G123">
        <v>65814</v>
      </c>
      <c r="H123">
        <v>10</v>
      </c>
      <c r="I123">
        <v>28</v>
      </c>
      <c r="J123">
        <v>2350349.5699999998</v>
      </c>
      <c r="K123" t="s">
        <v>37</v>
      </c>
      <c r="L123" t="s">
        <v>38</v>
      </c>
      <c r="M123" s="7">
        <v>45674</v>
      </c>
      <c r="N123" s="7">
        <v>45685</v>
      </c>
      <c r="O123" s="8">
        <v>11</v>
      </c>
      <c r="P123" t="str">
        <f t="shared" si="1"/>
        <v>Delayed</v>
      </c>
    </row>
    <row r="124" spans="1:16" x14ac:dyDescent="0.3">
      <c r="A124" t="s">
        <v>82</v>
      </c>
      <c r="B124" s="6" t="s">
        <v>241</v>
      </c>
      <c r="C124" t="s">
        <v>42</v>
      </c>
      <c r="D124" t="s">
        <v>62</v>
      </c>
      <c r="E124" t="s">
        <v>92</v>
      </c>
      <c r="F124">
        <v>27</v>
      </c>
      <c r="G124">
        <v>38897</v>
      </c>
      <c r="H124">
        <v>12</v>
      </c>
      <c r="I124">
        <v>18</v>
      </c>
      <c r="J124">
        <v>1090547.4099999999</v>
      </c>
      <c r="K124" t="s">
        <v>37</v>
      </c>
      <c r="L124" t="s">
        <v>26</v>
      </c>
      <c r="M124" s="7">
        <v>45845</v>
      </c>
      <c r="N124" s="7">
        <v>45859</v>
      </c>
      <c r="O124" s="8">
        <v>14</v>
      </c>
      <c r="P124" t="str">
        <f t="shared" si="1"/>
        <v>Delayed</v>
      </c>
    </row>
    <row r="125" spans="1:16" x14ac:dyDescent="0.3">
      <c r="A125" t="s">
        <v>144</v>
      </c>
      <c r="B125" s="6" t="s">
        <v>241</v>
      </c>
      <c r="C125" t="s">
        <v>42</v>
      </c>
      <c r="D125" t="s">
        <v>24</v>
      </c>
      <c r="E125" t="s">
        <v>40</v>
      </c>
      <c r="F125">
        <v>14</v>
      </c>
      <c r="G125">
        <v>55836</v>
      </c>
      <c r="H125">
        <v>12</v>
      </c>
      <c r="I125">
        <v>28</v>
      </c>
      <c r="J125">
        <v>880511.39</v>
      </c>
      <c r="K125" t="s">
        <v>37</v>
      </c>
      <c r="L125" t="s">
        <v>38</v>
      </c>
      <c r="M125" s="7">
        <v>45692</v>
      </c>
      <c r="N125" s="7">
        <v>45704</v>
      </c>
      <c r="O125" s="8">
        <v>12</v>
      </c>
      <c r="P125" t="str">
        <f t="shared" si="1"/>
        <v>Delayed</v>
      </c>
    </row>
    <row r="126" spans="1:16" x14ac:dyDescent="0.3">
      <c r="A126" t="s">
        <v>130</v>
      </c>
      <c r="B126" s="6" t="s">
        <v>246</v>
      </c>
      <c r="C126" t="s">
        <v>80</v>
      </c>
      <c r="D126" t="s">
        <v>24</v>
      </c>
      <c r="E126" t="s">
        <v>25</v>
      </c>
      <c r="F126">
        <v>35</v>
      </c>
      <c r="G126">
        <v>73042</v>
      </c>
      <c r="H126">
        <v>12</v>
      </c>
      <c r="I126">
        <v>18</v>
      </c>
      <c r="J126">
        <v>2654638.4500000002</v>
      </c>
      <c r="K126" t="s">
        <v>21</v>
      </c>
      <c r="L126" t="s">
        <v>26</v>
      </c>
      <c r="M126" s="7">
        <v>45837</v>
      </c>
      <c r="N126" s="7">
        <v>45843</v>
      </c>
      <c r="O126" s="8">
        <v>6</v>
      </c>
      <c r="P126" t="str">
        <f t="shared" si="1"/>
        <v>Delayed</v>
      </c>
    </row>
    <row r="127" spans="1:16" x14ac:dyDescent="0.3">
      <c r="A127" t="s">
        <v>145</v>
      </c>
      <c r="B127" s="6" t="s">
        <v>238</v>
      </c>
      <c r="C127" t="s">
        <v>58</v>
      </c>
      <c r="D127" t="s">
        <v>62</v>
      </c>
      <c r="E127" t="s">
        <v>63</v>
      </c>
      <c r="F127">
        <v>26</v>
      </c>
      <c r="G127">
        <v>23577</v>
      </c>
      <c r="H127">
        <v>12</v>
      </c>
      <c r="I127">
        <v>18</v>
      </c>
      <c r="J127">
        <v>636541.28</v>
      </c>
      <c r="K127" t="s">
        <v>21</v>
      </c>
      <c r="L127" t="s">
        <v>16</v>
      </c>
      <c r="M127" s="7">
        <v>45723</v>
      </c>
      <c r="N127" s="7">
        <v>45736</v>
      </c>
      <c r="O127" s="8">
        <v>13</v>
      </c>
      <c r="P127" t="str">
        <f t="shared" si="1"/>
        <v>Delayed</v>
      </c>
    </row>
    <row r="128" spans="1:16" x14ac:dyDescent="0.3">
      <c r="A128" t="s">
        <v>146</v>
      </c>
      <c r="B128" s="6" t="s">
        <v>242</v>
      </c>
      <c r="C128" t="s">
        <v>12</v>
      </c>
      <c r="D128" t="s">
        <v>44</v>
      </c>
      <c r="E128" t="s">
        <v>51</v>
      </c>
      <c r="F128">
        <v>23</v>
      </c>
      <c r="G128">
        <v>48776</v>
      </c>
      <c r="H128">
        <v>12</v>
      </c>
      <c r="I128">
        <v>18</v>
      </c>
      <c r="J128">
        <v>1164926.96</v>
      </c>
      <c r="K128" t="s">
        <v>15</v>
      </c>
      <c r="L128" t="s">
        <v>33</v>
      </c>
      <c r="M128" s="7">
        <v>45805</v>
      </c>
      <c r="N128" s="7">
        <v>45816</v>
      </c>
      <c r="O128" s="8">
        <v>11</v>
      </c>
      <c r="P128" t="str">
        <f t="shared" si="1"/>
        <v>Delayed</v>
      </c>
    </row>
    <row r="129" spans="1:16" x14ac:dyDescent="0.3">
      <c r="A129" t="s">
        <v>147</v>
      </c>
      <c r="B129" s="6" t="s">
        <v>245</v>
      </c>
      <c r="C129" t="s">
        <v>18</v>
      </c>
      <c r="D129" t="s">
        <v>44</v>
      </c>
      <c r="E129" t="s">
        <v>51</v>
      </c>
      <c r="F129">
        <v>26</v>
      </c>
      <c r="G129">
        <v>40665</v>
      </c>
      <c r="H129">
        <v>10</v>
      </c>
      <c r="I129">
        <v>18</v>
      </c>
      <c r="J129">
        <v>1122841.98</v>
      </c>
      <c r="K129" t="s">
        <v>46</v>
      </c>
      <c r="L129" t="s">
        <v>38</v>
      </c>
      <c r="M129" s="7">
        <v>45697</v>
      </c>
      <c r="N129" s="7">
        <v>45709</v>
      </c>
      <c r="O129" s="8">
        <v>12</v>
      </c>
      <c r="P129" t="str">
        <f t="shared" si="1"/>
        <v>Delayed</v>
      </c>
    </row>
    <row r="130" spans="1:16" x14ac:dyDescent="0.3">
      <c r="A130" t="s">
        <v>94</v>
      </c>
      <c r="B130" s="6" t="s">
        <v>245</v>
      </c>
      <c r="C130" t="s">
        <v>18</v>
      </c>
      <c r="D130" t="s">
        <v>44</v>
      </c>
      <c r="E130" t="s">
        <v>51</v>
      </c>
      <c r="F130">
        <v>25</v>
      </c>
      <c r="G130">
        <v>48592</v>
      </c>
      <c r="H130">
        <v>12</v>
      </c>
      <c r="I130">
        <v>28</v>
      </c>
      <c r="J130">
        <v>1368350.72</v>
      </c>
      <c r="K130" t="s">
        <v>46</v>
      </c>
      <c r="L130" t="s">
        <v>26</v>
      </c>
      <c r="M130" s="7">
        <v>45785</v>
      </c>
      <c r="N130" s="7">
        <v>45796</v>
      </c>
      <c r="O130" s="8">
        <v>11</v>
      </c>
      <c r="P130" t="str">
        <f t="shared" ref="P130:P193" si="2">IF(O130="","Pending",IF(O130=0,"Delivered",IF(O130&lt;=3,"On Delivery","Delayed")))</f>
        <v>Delayed</v>
      </c>
    </row>
    <row r="131" spans="1:16" x14ac:dyDescent="0.3">
      <c r="A131" t="s">
        <v>148</v>
      </c>
      <c r="B131" s="6" t="s">
        <v>245</v>
      </c>
      <c r="C131" t="s">
        <v>18</v>
      </c>
      <c r="D131" t="s">
        <v>35</v>
      </c>
      <c r="E131" t="s">
        <v>36</v>
      </c>
      <c r="F131">
        <v>40</v>
      </c>
      <c r="G131">
        <v>14093</v>
      </c>
      <c r="H131">
        <v>10</v>
      </c>
      <c r="I131">
        <v>18</v>
      </c>
      <c r="J131">
        <v>598670.64</v>
      </c>
      <c r="K131" t="s">
        <v>37</v>
      </c>
      <c r="L131" t="s">
        <v>38</v>
      </c>
      <c r="M131" s="7">
        <v>45712</v>
      </c>
      <c r="N131" s="7">
        <v>45725</v>
      </c>
      <c r="O131" s="8">
        <v>13</v>
      </c>
      <c r="P131" t="str">
        <f t="shared" si="2"/>
        <v>Delayed</v>
      </c>
    </row>
    <row r="132" spans="1:16" x14ac:dyDescent="0.3">
      <c r="A132" t="s">
        <v>137</v>
      </c>
      <c r="B132" s="6" t="s">
        <v>243</v>
      </c>
      <c r="C132" t="s">
        <v>53</v>
      </c>
      <c r="D132" t="s">
        <v>44</v>
      </c>
      <c r="E132" t="s">
        <v>45</v>
      </c>
      <c r="F132">
        <v>8</v>
      </c>
      <c r="G132">
        <v>75444</v>
      </c>
      <c r="H132">
        <v>0</v>
      </c>
      <c r="I132">
        <v>18</v>
      </c>
      <c r="J132">
        <v>712191.36</v>
      </c>
      <c r="K132" t="s">
        <v>15</v>
      </c>
      <c r="L132" t="s">
        <v>33</v>
      </c>
      <c r="M132" s="7">
        <v>45661</v>
      </c>
      <c r="N132" s="7">
        <v>45670</v>
      </c>
      <c r="O132" s="8">
        <v>9</v>
      </c>
      <c r="P132" t="str">
        <f t="shared" si="2"/>
        <v>Delayed</v>
      </c>
    </row>
    <row r="133" spans="1:16" x14ac:dyDescent="0.3">
      <c r="A133" t="s">
        <v>124</v>
      </c>
      <c r="B133" s="6" t="s">
        <v>244</v>
      </c>
      <c r="C133" t="s">
        <v>70</v>
      </c>
      <c r="D133" t="s">
        <v>44</v>
      </c>
      <c r="E133" t="s">
        <v>51</v>
      </c>
      <c r="F133">
        <v>22</v>
      </c>
      <c r="G133">
        <v>30444</v>
      </c>
      <c r="H133">
        <v>10</v>
      </c>
      <c r="I133">
        <v>18</v>
      </c>
      <c r="J133">
        <v>711293.62</v>
      </c>
      <c r="K133" t="s">
        <v>37</v>
      </c>
      <c r="L133" t="s">
        <v>38</v>
      </c>
      <c r="M133" s="7">
        <v>45817</v>
      </c>
      <c r="N133" s="7">
        <v>45826</v>
      </c>
      <c r="O133" s="8">
        <v>9</v>
      </c>
      <c r="P133" t="str">
        <f t="shared" si="2"/>
        <v>Delayed</v>
      </c>
    </row>
    <row r="134" spans="1:16" x14ac:dyDescent="0.3">
      <c r="A134" t="s">
        <v>149</v>
      </c>
      <c r="B134" s="6" t="s">
        <v>246</v>
      </c>
      <c r="C134" t="s">
        <v>80</v>
      </c>
      <c r="D134" t="s">
        <v>35</v>
      </c>
      <c r="E134" t="s">
        <v>77</v>
      </c>
      <c r="F134">
        <v>22</v>
      </c>
      <c r="G134">
        <v>64871</v>
      </c>
      <c r="H134">
        <v>5</v>
      </c>
      <c r="I134">
        <v>18</v>
      </c>
      <c r="J134">
        <v>1599848.6</v>
      </c>
      <c r="K134" t="s">
        <v>15</v>
      </c>
      <c r="L134" t="s">
        <v>26</v>
      </c>
      <c r="M134" s="7">
        <v>45785</v>
      </c>
      <c r="N134" s="7">
        <v>45794</v>
      </c>
      <c r="O134" s="8">
        <v>9</v>
      </c>
      <c r="P134" t="str">
        <f t="shared" si="2"/>
        <v>Delayed</v>
      </c>
    </row>
    <row r="135" spans="1:16" x14ac:dyDescent="0.3">
      <c r="A135" t="s">
        <v>90</v>
      </c>
      <c r="B135" s="6" t="s">
        <v>239</v>
      </c>
      <c r="C135" t="s">
        <v>23</v>
      </c>
      <c r="D135" t="s">
        <v>62</v>
      </c>
      <c r="E135" t="s">
        <v>63</v>
      </c>
      <c r="F135">
        <v>1</v>
      </c>
      <c r="G135">
        <v>31252</v>
      </c>
      <c r="H135">
        <v>12</v>
      </c>
      <c r="I135">
        <v>12</v>
      </c>
      <c r="J135">
        <v>30801.97</v>
      </c>
      <c r="K135" t="s">
        <v>15</v>
      </c>
      <c r="L135" t="s">
        <v>38</v>
      </c>
      <c r="M135" s="7">
        <v>45692</v>
      </c>
      <c r="N135" s="7">
        <v>45702</v>
      </c>
      <c r="O135" s="8">
        <v>10</v>
      </c>
      <c r="P135" t="str">
        <f t="shared" si="2"/>
        <v>Delayed</v>
      </c>
    </row>
    <row r="136" spans="1:16" x14ac:dyDescent="0.3">
      <c r="A136" t="s">
        <v>136</v>
      </c>
      <c r="B136" s="6" t="s">
        <v>246</v>
      </c>
      <c r="C136" t="s">
        <v>80</v>
      </c>
      <c r="D136" t="s">
        <v>24</v>
      </c>
      <c r="E136" t="s">
        <v>25</v>
      </c>
      <c r="F136">
        <v>22</v>
      </c>
      <c r="G136">
        <v>15304</v>
      </c>
      <c r="H136">
        <v>0</v>
      </c>
      <c r="I136">
        <v>18</v>
      </c>
      <c r="J136">
        <v>397291.84</v>
      </c>
      <c r="K136" t="s">
        <v>15</v>
      </c>
      <c r="L136" t="s">
        <v>38</v>
      </c>
      <c r="M136" s="7">
        <v>45701</v>
      </c>
      <c r="N136" s="7">
        <v>45711</v>
      </c>
      <c r="O136" s="8">
        <v>10</v>
      </c>
      <c r="P136" t="str">
        <f t="shared" si="2"/>
        <v>Delayed</v>
      </c>
    </row>
    <row r="137" spans="1:16" x14ac:dyDescent="0.3">
      <c r="A137" t="s">
        <v>148</v>
      </c>
      <c r="B137" s="6" t="s">
        <v>241</v>
      </c>
      <c r="C137" t="s">
        <v>42</v>
      </c>
      <c r="D137" t="s">
        <v>62</v>
      </c>
      <c r="E137" t="s">
        <v>63</v>
      </c>
      <c r="F137">
        <v>8</v>
      </c>
      <c r="G137">
        <v>42478</v>
      </c>
      <c r="H137">
        <v>10</v>
      </c>
      <c r="I137">
        <v>18</v>
      </c>
      <c r="J137">
        <v>360893.09</v>
      </c>
      <c r="K137" t="s">
        <v>37</v>
      </c>
      <c r="L137" t="s">
        <v>26</v>
      </c>
      <c r="M137" s="7">
        <v>45715</v>
      </c>
      <c r="N137" s="7">
        <v>45716</v>
      </c>
      <c r="O137" s="8">
        <v>1</v>
      </c>
      <c r="P137" t="str">
        <f t="shared" si="2"/>
        <v>On Delivery</v>
      </c>
    </row>
    <row r="138" spans="1:16" x14ac:dyDescent="0.3">
      <c r="A138" t="s">
        <v>150</v>
      </c>
      <c r="B138" s="6" t="s">
        <v>240</v>
      </c>
      <c r="C138" t="s">
        <v>28</v>
      </c>
      <c r="D138" t="s">
        <v>13</v>
      </c>
      <c r="E138" t="s">
        <v>32</v>
      </c>
      <c r="F138">
        <v>34</v>
      </c>
      <c r="G138">
        <v>5597</v>
      </c>
      <c r="H138">
        <v>10</v>
      </c>
      <c r="I138">
        <v>28</v>
      </c>
      <c r="J138">
        <v>219223.3</v>
      </c>
      <c r="K138" t="s">
        <v>15</v>
      </c>
      <c r="L138" t="s">
        <v>16</v>
      </c>
      <c r="M138" s="7">
        <v>45737</v>
      </c>
      <c r="N138" s="7">
        <v>45742</v>
      </c>
      <c r="O138" s="8">
        <v>5</v>
      </c>
      <c r="P138" t="str">
        <f t="shared" si="2"/>
        <v>Delayed</v>
      </c>
    </row>
    <row r="139" spans="1:16" x14ac:dyDescent="0.3">
      <c r="A139" t="s">
        <v>151</v>
      </c>
      <c r="B139" s="6" t="s">
        <v>245</v>
      </c>
      <c r="C139" t="s">
        <v>18</v>
      </c>
      <c r="D139" t="s">
        <v>62</v>
      </c>
      <c r="E139" t="s">
        <v>92</v>
      </c>
      <c r="F139">
        <v>34</v>
      </c>
      <c r="G139">
        <v>63442</v>
      </c>
      <c r="H139">
        <v>5</v>
      </c>
      <c r="I139">
        <v>28</v>
      </c>
      <c r="J139">
        <v>2622946.0499999998</v>
      </c>
      <c r="K139" t="s">
        <v>15</v>
      </c>
      <c r="L139" t="s">
        <v>16</v>
      </c>
      <c r="M139" s="7">
        <v>45814</v>
      </c>
      <c r="N139" s="7">
        <v>45817</v>
      </c>
      <c r="O139" s="8">
        <v>3</v>
      </c>
      <c r="P139" t="str">
        <f t="shared" si="2"/>
        <v>On Delivery</v>
      </c>
    </row>
    <row r="140" spans="1:16" x14ac:dyDescent="0.3">
      <c r="A140" t="s">
        <v>106</v>
      </c>
      <c r="B140" s="6" t="s">
        <v>240</v>
      </c>
      <c r="C140" t="s">
        <v>28</v>
      </c>
      <c r="D140" t="s">
        <v>24</v>
      </c>
      <c r="E140" t="s">
        <v>40</v>
      </c>
      <c r="F140">
        <v>36</v>
      </c>
      <c r="G140">
        <v>80773</v>
      </c>
      <c r="H140">
        <v>10</v>
      </c>
      <c r="I140">
        <v>12</v>
      </c>
      <c r="J140">
        <v>2931090.62</v>
      </c>
      <c r="K140" t="s">
        <v>46</v>
      </c>
      <c r="L140" t="s">
        <v>16</v>
      </c>
      <c r="M140" s="7">
        <v>45773</v>
      </c>
      <c r="N140" s="7">
        <v>45777</v>
      </c>
      <c r="O140" s="8">
        <v>4</v>
      </c>
      <c r="P140" t="str">
        <f t="shared" si="2"/>
        <v>Delayed</v>
      </c>
    </row>
    <row r="141" spans="1:16" x14ac:dyDescent="0.3">
      <c r="A141" t="s">
        <v>152</v>
      </c>
      <c r="B141" s="6" t="s">
        <v>243</v>
      </c>
      <c r="C141" t="s">
        <v>53</v>
      </c>
      <c r="D141" t="s">
        <v>24</v>
      </c>
      <c r="E141" t="s">
        <v>40</v>
      </c>
      <c r="F141">
        <v>16</v>
      </c>
      <c r="G141">
        <v>43171</v>
      </c>
      <c r="H141">
        <v>10</v>
      </c>
      <c r="I141">
        <v>12</v>
      </c>
      <c r="J141">
        <v>696261.89</v>
      </c>
      <c r="K141" t="s">
        <v>15</v>
      </c>
      <c r="L141" t="s">
        <v>16</v>
      </c>
      <c r="M141" s="7">
        <v>45776</v>
      </c>
      <c r="N141" s="7">
        <v>45785</v>
      </c>
      <c r="O141" s="8">
        <v>9</v>
      </c>
      <c r="P141" t="str">
        <f t="shared" si="2"/>
        <v>Delayed</v>
      </c>
    </row>
    <row r="142" spans="1:16" x14ac:dyDescent="0.3">
      <c r="A142" t="s">
        <v>60</v>
      </c>
      <c r="B142" s="6" t="s">
        <v>242</v>
      </c>
      <c r="C142" t="s">
        <v>12</v>
      </c>
      <c r="D142" t="s">
        <v>62</v>
      </c>
      <c r="E142" t="s">
        <v>63</v>
      </c>
      <c r="F142">
        <v>4</v>
      </c>
      <c r="G142">
        <v>47811</v>
      </c>
      <c r="H142">
        <v>10</v>
      </c>
      <c r="I142">
        <v>18</v>
      </c>
      <c r="J142">
        <v>203101.13</v>
      </c>
      <c r="K142" t="s">
        <v>15</v>
      </c>
      <c r="L142" t="s">
        <v>26</v>
      </c>
      <c r="M142" s="7">
        <v>45706</v>
      </c>
      <c r="N142" s="7">
        <v>45719</v>
      </c>
      <c r="O142" s="8">
        <v>13</v>
      </c>
      <c r="P142" t="str">
        <f t="shared" si="2"/>
        <v>Delayed</v>
      </c>
    </row>
    <row r="143" spans="1:16" x14ac:dyDescent="0.3">
      <c r="A143" t="s">
        <v>153</v>
      </c>
      <c r="B143" s="6" t="s">
        <v>244</v>
      </c>
      <c r="C143" t="s">
        <v>70</v>
      </c>
      <c r="D143" t="s">
        <v>24</v>
      </c>
      <c r="E143" t="s">
        <v>40</v>
      </c>
      <c r="F143">
        <v>26</v>
      </c>
      <c r="G143">
        <v>42946</v>
      </c>
      <c r="H143">
        <v>0</v>
      </c>
      <c r="I143">
        <v>18</v>
      </c>
      <c r="J143">
        <v>1317583.28</v>
      </c>
      <c r="K143" t="s">
        <v>15</v>
      </c>
      <c r="L143" t="s">
        <v>38</v>
      </c>
      <c r="M143" s="7">
        <v>45829</v>
      </c>
      <c r="N143" s="7">
        <v>45840</v>
      </c>
      <c r="O143" s="8">
        <v>11</v>
      </c>
      <c r="P143" t="str">
        <f t="shared" si="2"/>
        <v>Delayed</v>
      </c>
    </row>
    <row r="144" spans="1:16" x14ac:dyDescent="0.3">
      <c r="A144" t="s">
        <v>154</v>
      </c>
      <c r="B144" s="6" t="s">
        <v>244</v>
      </c>
      <c r="C144" t="s">
        <v>70</v>
      </c>
      <c r="D144" t="s">
        <v>44</v>
      </c>
      <c r="E144" t="s">
        <v>51</v>
      </c>
      <c r="F144">
        <v>13</v>
      </c>
      <c r="G144">
        <v>75948</v>
      </c>
      <c r="H144">
        <v>12</v>
      </c>
      <c r="I144">
        <v>12</v>
      </c>
      <c r="J144">
        <v>973106.53</v>
      </c>
      <c r="K144" t="s">
        <v>15</v>
      </c>
      <c r="L144" t="s">
        <v>33</v>
      </c>
      <c r="M144" s="7">
        <v>45836</v>
      </c>
      <c r="N144" s="7">
        <v>45848</v>
      </c>
      <c r="O144" s="8">
        <v>12</v>
      </c>
      <c r="P144" t="str">
        <f t="shared" si="2"/>
        <v>Delayed</v>
      </c>
    </row>
    <row r="145" spans="1:16" x14ac:dyDescent="0.3">
      <c r="A145" t="s">
        <v>155</v>
      </c>
      <c r="B145" s="6" t="s">
        <v>246</v>
      </c>
      <c r="C145" t="s">
        <v>80</v>
      </c>
      <c r="D145" t="s">
        <v>48</v>
      </c>
      <c r="E145" t="s">
        <v>49</v>
      </c>
      <c r="F145">
        <v>34</v>
      </c>
      <c r="G145">
        <v>55698</v>
      </c>
      <c r="H145">
        <v>12</v>
      </c>
      <c r="I145">
        <v>12</v>
      </c>
      <c r="J145">
        <v>1866462.26</v>
      </c>
      <c r="K145" t="s">
        <v>46</v>
      </c>
      <c r="L145" t="s">
        <v>26</v>
      </c>
      <c r="M145" s="7">
        <v>45762</v>
      </c>
      <c r="N145" s="7">
        <v>45769</v>
      </c>
      <c r="O145" s="8">
        <v>7</v>
      </c>
      <c r="P145" t="str">
        <f t="shared" si="2"/>
        <v>Delayed</v>
      </c>
    </row>
    <row r="146" spans="1:16" x14ac:dyDescent="0.3">
      <c r="A146" t="s">
        <v>156</v>
      </c>
      <c r="B146" s="6" t="s">
        <v>244</v>
      </c>
      <c r="C146" t="s">
        <v>70</v>
      </c>
      <c r="D146" t="s">
        <v>48</v>
      </c>
      <c r="E146" t="s">
        <v>59</v>
      </c>
      <c r="F146">
        <v>33</v>
      </c>
      <c r="G146">
        <v>23161</v>
      </c>
      <c r="H146">
        <v>0</v>
      </c>
      <c r="I146">
        <v>12</v>
      </c>
      <c r="J146">
        <v>856030.56</v>
      </c>
      <c r="K146" t="s">
        <v>46</v>
      </c>
      <c r="L146" t="s">
        <v>33</v>
      </c>
      <c r="M146" s="7">
        <v>45825</v>
      </c>
      <c r="N146" s="7">
        <v>45832</v>
      </c>
      <c r="O146" s="8">
        <v>7</v>
      </c>
      <c r="P146" t="str">
        <f t="shared" si="2"/>
        <v>Delayed</v>
      </c>
    </row>
    <row r="147" spans="1:16" x14ac:dyDescent="0.3">
      <c r="A147" t="s">
        <v>31</v>
      </c>
      <c r="B147" s="6" t="s">
        <v>240</v>
      </c>
      <c r="C147" t="s">
        <v>28</v>
      </c>
      <c r="D147" t="s">
        <v>48</v>
      </c>
      <c r="E147" t="s">
        <v>49</v>
      </c>
      <c r="F147">
        <v>8</v>
      </c>
      <c r="G147">
        <v>36886</v>
      </c>
      <c r="H147">
        <v>10</v>
      </c>
      <c r="I147">
        <v>18</v>
      </c>
      <c r="J147">
        <v>313383.46000000002</v>
      </c>
      <c r="K147" t="s">
        <v>37</v>
      </c>
      <c r="L147" t="s">
        <v>26</v>
      </c>
      <c r="M147" s="7">
        <v>45818</v>
      </c>
      <c r="N147" s="7">
        <v>45823</v>
      </c>
      <c r="O147" s="8">
        <v>5</v>
      </c>
      <c r="P147" t="str">
        <f t="shared" si="2"/>
        <v>Delayed</v>
      </c>
    </row>
    <row r="148" spans="1:16" x14ac:dyDescent="0.3">
      <c r="A148" t="s">
        <v>82</v>
      </c>
      <c r="B148" s="6" t="s">
        <v>243</v>
      </c>
      <c r="C148" t="s">
        <v>53</v>
      </c>
      <c r="D148" t="s">
        <v>24</v>
      </c>
      <c r="E148" t="s">
        <v>40</v>
      </c>
      <c r="F148">
        <v>7</v>
      </c>
      <c r="G148">
        <v>22095</v>
      </c>
      <c r="H148">
        <v>5</v>
      </c>
      <c r="I148">
        <v>18</v>
      </c>
      <c r="J148">
        <v>173379.46</v>
      </c>
      <c r="K148" t="s">
        <v>46</v>
      </c>
      <c r="L148" t="s">
        <v>33</v>
      </c>
      <c r="M148" s="7">
        <v>45840</v>
      </c>
      <c r="N148" s="7">
        <v>45852</v>
      </c>
      <c r="O148" s="8">
        <v>12</v>
      </c>
      <c r="P148" t="str">
        <f t="shared" si="2"/>
        <v>Delayed</v>
      </c>
    </row>
    <row r="149" spans="1:16" x14ac:dyDescent="0.3">
      <c r="A149" t="s">
        <v>157</v>
      </c>
      <c r="B149" s="6" t="s">
        <v>244</v>
      </c>
      <c r="C149" t="s">
        <v>70</v>
      </c>
      <c r="D149" t="s">
        <v>35</v>
      </c>
      <c r="E149" t="s">
        <v>77</v>
      </c>
      <c r="F149">
        <v>5</v>
      </c>
      <c r="G149">
        <v>32286</v>
      </c>
      <c r="H149">
        <v>12</v>
      </c>
      <c r="I149">
        <v>12</v>
      </c>
      <c r="J149">
        <v>159105.41</v>
      </c>
      <c r="K149" t="s">
        <v>37</v>
      </c>
      <c r="L149" t="s">
        <v>38</v>
      </c>
      <c r="M149" s="7">
        <v>45703</v>
      </c>
      <c r="N149" s="7">
        <v>45707</v>
      </c>
      <c r="O149" s="8">
        <v>4</v>
      </c>
      <c r="P149" t="str">
        <f t="shared" si="2"/>
        <v>Delayed</v>
      </c>
    </row>
    <row r="150" spans="1:16" x14ac:dyDescent="0.3">
      <c r="A150" t="s">
        <v>158</v>
      </c>
      <c r="B150" s="6" t="s">
        <v>240</v>
      </c>
      <c r="C150" t="s">
        <v>28</v>
      </c>
      <c r="D150" t="s">
        <v>24</v>
      </c>
      <c r="E150" t="s">
        <v>25</v>
      </c>
      <c r="F150">
        <v>16</v>
      </c>
      <c r="G150">
        <v>44775</v>
      </c>
      <c r="H150">
        <v>5</v>
      </c>
      <c r="I150">
        <v>18</v>
      </c>
      <c r="J150">
        <v>803084.4</v>
      </c>
      <c r="K150" t="s">
        <v>21</v>
      </c>
      <c r="L150" t="s">
        <v>38</v>
      </c>
      <c r="M150" s="7">
        <v>45688</v>
      </c>
      <c r="N150" s="7">
        <v>45688</v>
      </c>
      <c r="O150" s="8">
        <v>0</v>
      </c>
      <c r="P150" t="str">
        <f t="shared" si="2"/>
        <v>Delivered</v>
      </c>
    </row>
    <row r="151" spans="1:16" x14ac:dyDescent="0.3">
      <c r="A151" t="s">
        <v>159</v>
      </c>
      <c r="B151" s="6" t="s">
        <v>239</v>
      </c>
      <c r="C151" t="s">
        <v>23</v>
      </c>
      <c r="D151" t="s">
        <v>13</v>
      </c>
      <c r="E151" t="s">
        <v>14</v>
      </c>
      <c r="F151">
        <v>38</v>
      </c>
      <c r="G151">
        <v>42767</v>
      </c>
      <c r="H151">
        <v>10</v>
      </c>
      <c r="I151">
        <v>28</v>
      </c>
      <c r="J151">
        <v>1872168.19</v>
      </c>
      <c r="K151" t="s">
        <v>21</v>
      </c>
      <c r="L151" t="s">
        <v>33</v>
      </c>
      <c r="M151" s="7">
        <v>45839</v>
      </c>
      <c r="N151" s="7">
        <v>45847</v>
      </c>
      <c r="O151" s="8">
        <v>8</v>
      </c>
      <c r="P151" t="str">
        <f t="shared" si="2"/>
        <v>Delayed</v>
      </c>
    </row>
    <row r="152" spans="1:16" x14ac:dyDescent="0.3">
      <c r="A152" t="s">
        <v>160</v>
      </c>
      <c r="B152" s="6" t="s">
        <v>244</v>
      </c>
      <c r="C152" t="s">
        <v>70</v>
      </c>
      <c r="D152" t="s">
        <v>24</v>
      </c>
      <c r="E152" t="s">
        <v>76</v>
      </c>
      <c r="F152">
        <v>38</v>
      </c>
      <c r="G152">
        <v>47346</v>
      </c>
      <c r="H152">
        <v>12</v>
      </c>
      <c r="I152">
        <v>12</v>
      </c>
      <c r="J152">
        <v>1773240.27</v>
      </c>
      <c r="K152" t="s">
        <v>46</v>
      </c>
      <c r="L152" t="s">
        <v>16</v>
      </c>
      <c r="M152" s="7">
        <v>45735</v>
      </c>
      <c r="N152" s="7">
        <v>45748</v>
      </c>
      <c r="O152" s="8">
        <v>13</v>
      </c>
      <c r="P152" t="str">
        <f t="shared" si="2"/>
        <v>Delayed</v>
      </c>
    </row>
    <row r="153" spans="1:16" x14ac:dyDescent="0.3">
      <c r="A153" t="s">
        <v>75</v>
      </c>
      <c r="B153" s="6" t="s">
        <v>240</v>
      </c>
      <c r="C153" t="s">
        <v>28</v>
      </c>
      <c r="D153" t="s">
        <v>24</v>
      </c>
      <c r="E153" t="s">
        <v>40</v>
      </c>
      <c r="F153">
        <v>33</v>
      </c>
      <c r="G153">
        <v>69399</v>
      </c>
      <c r="H153">
        <v>10</v>
      </c>
      <c r="I153">
        <v>28</v>
      </c>
      <c r="J153">
        <v>2638272.38</v>
      </c>
      <c r="K153" t="s">
        <v>21</v>
      </c>
      <c r="L153" t="s">
        <v>38</v>
      </c>
      <c r="M153" s="7">
        <v>45679</v>
      </c>
      <c r="N153" s="7">
        <v>45689</v>
      </c>
      <c r="O153" s="8">
        <v>10</v>
      </c>
      <c r="P153" t="str">
        <f t="shared" si="2"/>
        <v>Delayed</v>
      </c>
    </row>
    <row r="154" spans="1:16" x14ac:dyDescent="0.3">
      <c r="A154" t="s">
        <v>110</v>
      </c>
      <c r="B154" s="6" t="s">
        <v>238</v>
      </c>
      <c r="C154" t="s">
        <v>58</v>
      </c>
      <c r="D154" t="s">
        <v>44</v>
      </c>
      <c r="E154" t="s">
        <v>45</v>
      </c>
      <c r="F154">
        <v>19</v>
      </c>
      <c r="G154">
        <v>47530</v>
      </c>
      <c r="H154">
        <v>12</v>
      </c>
      <c r="I154">
        <v>28</v>
      </c>
      <c r="J154">
        <v>1017218.05</v>
      </c>
      <c r="K154" t="s">
        <v>46</v>
      </c>
      <c r="L154" t="s">
        <v>16</v>
      </c>
      <c r="M154" s="7">
        <v>45768</v>
      </c>
      <c r="N154" s="7">
        <v>45770</v>
      </c>
      <c r="O154" s="8">
        <v>2</v>
      </c>
      <c r="P154" t="str">
        <f t="shared" si="2"/>
        <v>On Delivery</v>
      </c>
    </row>
    <row r="155" spans="1:16" x14ac:dyDescent="0.3">
      <c r="A155" t="s">
        <v>39</v>
      </c>
      <c r="B155" s="6" t="s">
        <v>243</v>
      </c>
      <c r="C155" t="s">
        <v>53</v>
      </c>
      <c r="D155" t="s">
        <v>44</v>
      </c>
      <c r="E155" t="s">
        <v>51</v>
      </c>
      <c r="F155">
        <v>24</v>
      </c>
      <c r="G155">
        <v>75663</v>
      </c>
      <c r="H155">
        <v>5</v>
      </c>
      <c r="I155">
        <v>18</v>
      </c>
      <c r="J155">
        <v>2035637.35</v>
      </c>
      <c r="K155" t="s">
        <v>46</v>
      </c>
      <c r="L155" t="s">
        <v>16</v>
      </c>
      <c r="M155" s="7">
        <v>45734</v>
      </c>
      <c r="N155" s="7">
        <v>45735</v>
      </c>
      <c r="O155" s="8">
        <v>1</v>
      </c>
      <c r="P155" t="str">
        <f t="shared" si="2"/>
        <v>On Delivery</v>
      </c>
    </row>
    <row r="156" spans="1:16" x14ac:dyDescent="0.3">
      <c r="A156" t="s">
        <v>161</v>
      </c>
      <c r="B156" s="6" t="s">
        <v>238</v>
      </c>
      <c r="C156" t="s">
        <v>58</v>
      </c>
      <c r="D156" t="s">
        <v>44</v>
      </c>
      <c r="E156" t="s">
        <v>51</v>
      </c>
      <c r="F156">
        <v>2</v>
      </c>
      <c r="G156">
        <v>19923</v>
      </c>
      <c r="H156">
        <v>5</v>
      </c>
      <c r="I156">
        <v>12</v>
      </c>
      <c r="J156">
        <v>42396.14</v>
      </c>
      <c r="K156" t="s">
        <v>37</v>
      </c>
      <c r="L156" t="s">
        <v>38</v>
      </c>
      <c r="M156" s="7">
        <v>45722</v>
      </c>
      <c r="N156" s="7">
        <v>45732</v>
      </c>
      <c r="O156" s="8">
        <v>10</v>
      </c>
      <c r="P156" t="str">
        <f t="shared" si="2"/>
        <v>Delayed</v>
      </c>
    </row>
    <row r="157" spans="1:16" x14ac:dyDescent="0.3">
      <c r="A157" t="s">
        <v>118</v>
      </c>
      <c r="B157" s="6" t="s">
        <v>241</v>
      </c>
      <c r="C157" t="s">
        <v>42</v>
      </c>
      <c r="D157" t="s">
        <v>48</v>
      </c>
      <c r="E157" t="s">
        <v>49</v>
      </c>
      <c r="F157">
        <v>5</v>
      </c>
      <c r="G157">
        <v>26883</v>
      </c>
      <c r="H157">
        <v>10</v>
      </c>
      <c r="I157">
        <v>28</v>
      </c>
      <c r="J157">
        <v>154846.07999999999</v>
      </c>
      <c r="K157" t="s">
        <v>21</v>
      </c>
      <c r="L157" t="s">
        <v>38</v>
      </c>
      <c r="M157" s="7">
        <v>45708</v>
      </c>
      <c r="N157" s="7">
        <v>45709</v>
      </c>
      <c r="O157" s="8">
        <v>1</v>
      </c>
      <c r="P157" t="str">
        <f t="shared" si="2"/>
        <v>On Delivery</v>
      </c>
    </row>
    <row r="158" spans="1:16" x14ac:dyDescent="0.3">
      <c r="A158" t="s">
        <v>162</v>
      </c>
      <c r="B158" s="6" t="s">
        <v>246</v>
      </c>
      <c r="C158" t="s">
        <v>80</v>
      </c>
      <c r="D158" t="s">
        <v>35</v>
      </c>
      <c r="E158" t="s">
        <v>56</v>
      </c>
      <c r="F158">
        <v>26</v>
      </c>
      <c r="G158">
        <v>12463</v>
      </c>
      <c r="H158">
        <v>12</v>
      </c>
      <c r="I158">
        <v>18</v>
      </c>
      <c r="J158">
        <v>336481.06</v>
      </c>
      <c r="K158" t="s">
        <v>15</v>
      </c>
      <c r="L158" t="s">
        <v>38</v>
      </c>
      <c r="M158" s="7">
        <v>45795</v>
      </c>
      <c r="N158" s="7">
        <v>45802</v>
      </c>
      <c r="O158" s="8">
        <v>7</v>
      </c>
      <c r="P158" t="str">
        <f t="shared" si="2"/>
        <v>Delayed</v>
      </c>
    </row>
    <row r="159" spans="1:16" x14ac:dyDescent="0.3">
      <c r="A159" t="s">
        <v>163</v>
      </c>
      <c r="B159" s="6" t="s">
        <v>239</v>
      </c>
      <c r="C159" t="s">
        <v>23</v>
      </c>
      <c r="D159" t="s">
        <v>62</v>
      </c>
      <c r="E159" t="s">
        <v>63</v>
      </c>
      <c r="F159">
        <v>22</v>
      </c>
      <c r="G159">
        <v>70594</v>
      </c>
      <c r="H159">
        <v>12</v>
      </c>
      <c r="I159">
        <v>18</v>
      </c>
      <c r="J159">
        <v>1612705.81</v>
      </c>
      <c r="K159" t="s">
        <v>21</v>
      </c>
      <c r="L159" t="s">
        <v>33</v>
      </c>
      <c r="M159" s="7">
        <v>45712</v>
      </c>
      <c r="N159" s="7">
        <v>45713</v>
      </c>
      <c r="O159" s="8">
        <v>1</v>
      </c>
      <c r="P159" t="str">
        <f t="shared" si="2"/>
        <v>On Delivery</v>
      </c>
    </row>
    <row r="160" spans="1:16" x14ac:dyDescent="0.3">
      <c r="A160" t="s">
        <v>164</v>
      </c>
      <c r="B160" s="6" t="s">
        <v>239</v>
      </c>
      <c r="C160" t="s">
        <v>23</v>
      </c>
      <c r="D160" t="s">
        <v>29</v>
      </c>
      <c r="E160" t="s">
        <v>30</v>
      </c>
      <c r="F160">
        <v>15</v>
      </c>
      <c r="G160">
        <v>73834</v>
      </c>
      <c r="H160">
        <v>10</v>
      </c>
      <c r="I160">
        <v>28</v>
      </c>
      <c r="J160">
        <v>1275851.52</v>
      </c>
      <c r="K160" t="s">
        <v>37</v>
      </c>
      <c r="L160" t="s">
        <v>38</v>
      </c>
      <c r="M160" s="7">
        <v>45690</v>
      </c>
      <c r="N160" s="7">
        <v>45694</v>
      </c>
      <c r="O160" s="8">
        <v>4</v>
      </c>
      <c r="P160" t="str">
        <f t="shared" si="2"/>
        <v>Delayed</v>
      </c>
    </row>
    <row r="161" spans="1:16" x14ac:dyDescent="0.3">
      <c r="A161" t="s">
        <v>165</v>
      </c>
      <c r="B161" s="6" t="s">
        <v>238</v>
      </c>
      <c r="C161" t="s">
        <v>58</v>
      </c>
      <c r="D161" t="s">
        <v>44</v>
      </c>
      <c r="E161" t="s">
        <v>45</v>
      </c>
      <c r="F161">
        <v>10</v>
      </c>
      <c r="G161">
        <v>15854</v>
      </c>
      <c r="H161">
        <v>5</v>
      </c>
      <c r="I161">
        <v>28</v>
      </c>
      <c r="J161">
        <v>192784.64000000001</v>
      </c>
      <c r="K161" t="s">
        <v>46</v>
      </c>
      <c r="L161" t="s">
        <v>16</v>
      </c>
      <c r="M161" s="7">
        <v>45695</v>
      </c>
      <c r="N161" s="7">
        <v>45706</v>
      </c>
      <c r="O161" s="8">
        <v>11</v>
      </c>
      <c r="P161" t="str">
        <f t="shared" si="2"/>
        <v>Delayed</v>
      </c>
    </row>
    <row r="162" spans="1:16" x14ac:dyDescent="0.3">
      <c r="A162" t="s">
        <v>159</v>
      </c>
      <c r="B162" s="6" t="s">
        <v>243</v>
      </c>
      <c r="C162" t="s">
        <v>53</v>
      </c>
      <c r="D162" t="s">
        <v>48</v>
      </c>
      <c r="E162" t="s">
        <v>59</v>
      </c>
      <c r="F162">
        <v>30</v>
      </c>
      <c r="G162">
        <v>29060</v>
      </c>
      <c r="H162">
        <v>0</v>
      </c>
      <c r="I162">
        <v>28</v>
      </c>
      <c r="J162">
        <v>1115904</v>
      </c>
      <c r="K162" t="s">
        <v>15</v>
      </c>
      <c r="L162" t="s">
        <v>38</v>
      </c>
      <c r="M162" s="7">
        <v>45842</v>
      </c>
      <c r="N162" s="7">
        <v>45850</v>
      </c>
      <c r="O162" s="8">
        <v>8</v>
      </c>
      <c r="P162" t="str">
        <f t="shared" si="2"/>
        <v>Delayed</v>
      </c>
    </row>
    <row r="163" spans="1:16" x14ac:dyDescent="0.3">
      <c r="A163" t="s">
        <v>142</v>
      </c>
      <c r="B163" s="6" t="s">
        <v>245</v>
      </c>
      <c r="C163" t="s">
        <v>18</v>
      </c>
      <c r="D163" t="s">
        <v>19</v>
      </c>
      <c r="E163" t="s">
        <v>20</v>
      </c>
      <c r="F163">
        <v>12</v>
      </c>
      <c r="G163">
        <v>34851</v>
      </c>
      <c r="H163">
        <v>12</v>
      </c>
      <c r="I163">
        <v>12</v>
      </c>
      <c r="J163">
        <v>412189.75</v>
      </c>
      <c r="K163" t="s">
        <v>46</v>
      </c>
      <c r="L163" t="s">
        <v>38</v>
      </c>
      <c r="M163" s="7">
        <v>45759</v>
      </c>
      <c r="N163" s="7">
        <v>45765</v>
      </c>
      <c r="O163" s="8">
        <v>6</v>
      </c>
      <c r="P163" t="str">
        <f t="shared" si="2"/>
        <v>Delayed</v>
      </c>
    </row>
    <row r="164" spans="1:16" x14ac:dyDescent="0.3">
      <c r="A164" t="s">
        <v>152</v>
      </c>
      <c r="B164" s="6" t="s">
        <v>239</v>
      </c>
      <c r="C164" t="s">
        <v>23</v>
      </c>
      <c r="D164" t="s">
        <v>13</v>
      </c>
      <c r="E164" t="s">
        <v>14</v>
      </c>
      <c r="F164">
        <v>26</v>
      </c>
      <c r="G164">
        <v>48056</v>
      </c>
      <c r="H164">
        <v>10</v>
      </c>
      <c r="I164">
        <v>12</v>
      </c>
      <c r="J164">
        <v>1259451.6499999999</v>
      </c>
      <c r="K164" t="s">
        <v>37</v>
      </c>
      <c r="L164" t="s">
        <v>33</v>
      </c>
      <c r="M164" s="7">
        <v>45776</v>
      </c>
      <c r="N164" s="7">
        <v>45787</v>
      </c>
      <c r="O164" s="8">
        <v>11</v>
      </c>
      <c r="P164" t="str">
        <f t="shared" si="2"/>
        <v>Delayed</v>
      </c>
    </row>
    <row r="165" spans="1:16" x14ac:dyDescent="0.3">
      <c r="A165" t="s">
        <v>47</v>
      </c>
      <c r="B165" s="6" t="s">
        <v>239</v>
      </c>
      <c r="C165" t="s">
        <v>23</v>
      </c>
      <c r="D165" t="s">
        <v>13</v>
      </c>
      <c r="E165" t="s">
        <v>32</v>
      </c>
      <c r="F165">
        <v>31</v>
      </c>
      <c r="G165">
        <v>80370</v>
      </c>
      <c r="H165">
        <v>5</v>
      </c>
      <c r="I165">
        <v>18</v>
      </c>
      <c r="J165">
        <v>2792937.87</v>
      </c>
      <c r="K165" t="s">
        <v>46</v>
      </c>
      <c r="L165" t="s">
        <v>26</v>
      </c>
      <c r="M165" s="7">
        <v>45797</v>
      </c>
      <c r="N165" s="7">
        <v>45811</v>
      </c>
      <c r="O165" s="8">
        <v>14</v>
      </c>
      <c r="P165" t="str">
        <f t="shared" si="2"/>
        <v>Delayed</v>
      </c>
    </row>
    <row r="166" spans="1:16" x14ac:dyDescent="0.3">
      <c r="A166" t="s">
        <v>128</v>
      </c>
      <c r="B166" s="6" t="s">
        <v>243</v>
      </c>
      <c r="C166" t="s">
        <v>53</v>
      </c>
      <c r="D166" t="s">
        <v>24</v>
      </c>
      <c r="E166" t="s">
        <v>40</v>
      </c>
      <c r="F166">
        <v>32</v>
      </c>
      <c r="G166">
        <v>35204</v>
      </c>
      <c r="H166">
        <v>12</v>
      </c>
      <c r="I166">
        <v>28</v>
      </c>
      <c r="J166">
        <v>1268921.1399999999</v>
      </c>
      <c r="K166" t="s">
        <v>46</v>
      </c>
      <c r="L166" t="s">
        <v>33</v>
      </c>
      <c r="M166" s="7">
        <v>45793</v>
      </c>
      <c r="N166" s="7">
        <v>45802</v>
      </c>
      <c r="O166" s="8">
        <v>9</v>
      </c>
      <c r="P166" t="str">
        <f t="shared" si="2"/>
        <v>Delayed</v>
      </c>
    </row>
    <row r="167" spans="1:16" x14ac:dyDescent="0.3">
      <c r="A167" t="s">
        <v>105</v>
      </c>
      <c r="B167" s="6" t="s">
        <v>246</v>
      </c>
      <c r="C167" t="s">
        <v>80</v>
      </c>
      <c r="D167" t="s">
        <v>48</v>
      </c>
      <c r="E167" t="s">
        <v>59</v>
      </c>
      <c r="F167">
        <v>18</v>
      </c>
      <c r="G167">
        <v>43920</v>
      </c>
      <c r="H167">
        <v>12</v>
      </c>
      <c r="I167">
        <v>12</v>
      </c>
      <c r="J167">
        <v>779175.94</v>
      </c>
      <c r="K167" t="s">
        <v>21</v>
      </c>
      <c r="L167" t="s">
        <v>26</v>
      </c>
      <c r="M167" s="7">
        <v>45783</v>
      </c>
      <c r="N167" s="7">
        <v>45788</v>
      </c>
      <c r="O167" s="8">
        <v>5</v>
      </c>
      <c r="P167" t="str">
        <f t="shared" si="2"/>
        <v>Delayed</v>
      </c>
    </row>
    <row r="168" spans="1:16" x14ac:dyDescent="0.3">
      <c r="A168" t="s">
        <v>114</v>
      </c>
      <c r="B168" s="6" t="s">
        <v>241</v>
      </c>
      <c r="C168" t="s">
        <v>42</v>
      </c>
      <c r="D168" t="s">
        <v>62</v>
      </c>
      <c r="E168" t="s">
        <v>63</v>
      </c>
      <c r="F168">
        <v>24</v>
      </c>
      <c r="G168">
        <v>76086</v>
      </c>
      <c r="H168">
        <v>5</v>
      </c>
      <c r="I168">
        <v>28</v>
      </c>
      <c r="J168">
        <v>2220493.8199999998</v>
      </c>
      <c r="K168" t="s">
        <v>37</v>
      </c>
      <c r="L168" t="s">
        <v>16</v>
      </c>
      <c r="M168" s="7">
        <v>45744</v>
      </c>
      <c r="N168" s="7">
        <v>45748</v>
      </c>
      <c r="O168" s="8">
        <v>4</v>
      </c>
      <c r="P168" t="str">
        <f t="shared" si="2"/>
        <v>Delayed</v>
      </c>
    </row>
    <row r="169" spans="1:16" x14ac:dyDescent="0.3">
      <c r="A169" t="s">
        <v>166</v>
      </c>
      <c r="B169" s="6" t="s">
        <v>241</v>
      </c>
      <c r="C169" t="s">
        <v>42</v>
      </c>
      <c r="D169" t="s">
        <v>48</v>
      </c>
      <c r="E169" t="s">
        <v>59</v>
      </c>
      <c r="F169">
        <v>33</v>
      </c>
      <c r="G169">
        <v>28604</v>
      </c>
      <c r="H169">
        <v>0</v>
      </c>
      <c r="I169">
        <v>28</v>
      </c>
      <c r="J169">
        <v>1208232.96</v>
      </c>
      <c r="K169" t="s">
        <v>37</v>
      </c>
      <c r="L169" t="s">
        <v>38</v>
      </c>
      <c r="M169" s="7">
        <v>45759</v>
      </c>
      <c r="N169" s="7">
        <v>45759</v>
      </c>
      <c r="O169" s="8">
        <v>0</v>
      </c>
      <c r="P169" t="str">
        <f t="shared" si="2"/>
        <v>Delivered</v>
      </c>
    </row>
    <row r="170" spans="1:16" x14ac:dyDescent="0.3">
      <c r="A170" t="s">
        <v>145</v>
      </c>
      <c r="B170" s="6" t="s">
        <v>242</v>
      </c>
      <c r="C170" t="s">
        <v>12</v>
      </c>
      <c r="D170" t="s">
        <v>24</v>
      </c>
      <c r="E170" t="s">
        <v>76</v>
      </c>
      <c r="F170">
        <v>40</v>
      </c>
      <c r="G170">
        <v>39849</v>
      </c>
      <c r="H170">
        <v>5</v>
      </c>
      <c r="I170">
        <v>12</v>
      </c>
      <c r="J170">
        <v>1695973.44</v>
      </c>
      <c r="K170" t="s">
        <v>15</v>
      </c>
      <c r="L170" t="s">
        <v>26</v>
      </c>
      <c r="M170" s="7">
        <v>45721</v>
      </c>
      <c r="N170" s="7">
        <v>45734</v>
      </c>
      <c r="O170" s="8">
        <v>13</v>
      </c>
      <c r="P170" t="str">
        <f t="shared" si="2"/>
        <v>Delayed</v>
      </c>
    </row>
    <row r="171" spans="1:16" x14ac:dyDescent="0.3">
      <c r="A171" t="s">
        <v>123</v>
      </c>
      <c r="B171" s="6" t="s">
        <v>242</v>
      </c>
      <c r="C171" t="s">
        <v>12</v>
      </c>
      <c r="D171" t="s">
        <v>48</v>
      </c>
      <c r="E171" t="s">
        <v>59</v>
      </c>
      <c r="F171">
        <v>30</v>
      </c>
      <c r="G171">
        <v>79060</v>
      </c>
      <c r="H171">
        <v>0</v>
      </c>
      <c r="I171">
        <v>28</v>
      </c>
      <c r="J171">
        <v>3035904</v>
      </c>
      <c r="K171" t="s">
        <v>15</v>
      </c>
      <c r="L171" t="s">
        <v>38</v>
      </c>
      <c r="M171" s="7">
        <v>45730</v>
      </c>
      <c r="N171" s="7">
        <v>45735</v>
      </c>
      <c r="O171" s="8">
        <v>5</v>
      </c>
      <c r="P171" t="str">
        <f t="shared" si="2"/>
        <v>Delayed</v>
      </c>
    </row>
    <row r="172" spans="1:16" x14ac:dyDescent="0.3">
      <c r="A172" t="s">
        <v>167</v>
      </c>
      <c r="B172" s="6" t="s">
        <v>244</v>
      </c>
      <c r="C172" t="s">
        <v>70</v>
      </c>
      <c r="D172" t="s">
        <v>29</v>
      </c>
      <c r="E172" t="s">
        <v>30</v>
      </c>
      <c r="F172">
        <v>23</v>
      </c>
      <c r="G172">
        <v>42622</v>
      </c>
      <c r="H172">
        <v>5</v>
      </c>
      <c r="I172">
        <v>28</v>
      </c>
      <c r="J172">
        <v>1192052.1000000001</v>
      </c>
      <c r="K172" t="s">
        <v>46</v>
      </c>
      <c r="L172" t="s">
        <v>16</v>
      </c>
      <c r="M172" s="7">
        <v>45827</v>
      </c>
      <c r="N172" s="7">
        <v>45836</v>
      </c>
      <c r="O172" s="8">
        <v>9</v>
      </c>
      <c r="P172" t="str">
        <f t="shared" si="2"/>
        <v>Delayed</v>
      </c>
    </row>
    <row r="173" spans="1:16" x14ac:dyDescent="0.3">
      <c r="A173" t="s">
        <v>136</v>
      </c>
      <c r="B173" s="6" t="s">
        <v>244</v>
      </c>
      <c r="C173" t="s">
        <v>70</v>
      </c>
      <c r="D173" t="s">
        <v>13</v>
      </c>
      <c r="E173" t="s">
        <v>32</v>
      </c>
      <c r="F173">
        <v>40</v>
      </c>
      <c r="G173">
        <v>73862</v>
      </c>
      <c r="H173">
        <v>0</v>
      </c>
      <c r="I173">
        <v>12</v>
      </c>
      <c r="J173">
        <v>3309017.6</v>
      </c>
      <c r="K173" t="s">
        <v>37</v>
      </c>
      <c r="L173" t="s">
        <v>26</v>
      </c>
      <c r="M173" s="7">
        <v>45706</v>
      </c>
      <c r="N173" s="7">
        <v>45714</v>
      </c>
      <c r="O173" s="8">
        <v>8</v>
      </c>
      <c r="P173" t="str">
        <f t="shared" si="2"/>
        <v>Delayed</v>
      </c>
    </row>
    <row r="174" spans="1:16" x14ac:dyDescent="0.3">
      <c r="A174" t="s">
        <v>168</v>
      </c>
      <c r="B174" s="6" t="s">
        <v>242</v>
      </c>
      <c r="C174" t="s">
        <v>12</v>
      </c>
      <c r="D174" t="s">
        <v>29</v>
      </c>
      <c r="E174" t="s">
        <v>30</v>
      </c>
      <c r="F174">
        <v>12</v>
      </c>
      <c r="G174">
        <v>77674</v>
      </c>
      <c r="H174">
        <v>10</v>
      </c>
      <c r="I174">
        <v>18</v>
      </c>
      <c r="J174">
        <v>989877.46</v>
      </c>
      <c r="K174" t="s">
        <v>15</v>
      </c>
      <c r="L174" t="s">
        <v>16</v>
      </c>
      <c r="M174" s="7">
        <v>45765</v>
      </c>
      <c r="N174" s="7">
        <v>45768</v>
      </c>
      <c r="O174" s="8">
        <v>3</v>
      </c>
      <c r="P174" t="str">
        <f t="shared" si="2"/>
        <v>On Delivery</v>
      </c>
    </row>
    <row r="175" spans="1:16" x14ac:dyDescent="0.3">
      <c r="A175" t="s">
        <v>169</v>
      </c>
      <c r="B175" s="6" t="s">
        <v>241</v>
      </c>
      <c r="C175" t="s">
        <v>42</v>
      </c>
      <c r="D175" t="s">
        <v>35</v>
      </c>
      <c r="E175" t="s">
        <v>36</v>
      </c>
      <c r="F175">
        <v>31</v>
      </c>
      <c r="G175">
        <v>67173</v>
      </c>
      <c r="H175">
        <v>0</v>
      </c>
      <c r="I175">
        <v>18</v>
      </c>
      <c r="J175">
        <v>2457188.34</v>
      </c>
      <c r="K175" t="s">
        <v>15</v>
      </c>
      <c r="L175" t="s">
        <v>38</v>
      </c>
      <c r="M175" s="7">
        <v>45684</v>
      </c>
      <c r="N175" s="7">
        <v>45690</v>
      </c>
      <c r="O175" s="8">
        <v>6</v>
      </c>
      <c r="P175" t="str">
        <f t="shared" si="2"/>
        <v>Delayed</v>
      </c>
    </row>
    <row r="176" spans="1:16" x14ac:dyDescent="0.3">
      <c r="A176" t="s">
        <v>170</v>
      </c>
      <c r="B176" s="6" t="s">
        <v>244</v>
      </c>
      <c r="C176" t="s">
        <v>70</v>
      </c>
      <c r="D176" t="s">
        <v>29</v>
      </c>
      <c r="E176" t="s">
        <v>30</v>
      </c>
      <c r="F176">
        <v>20</v>
      </c>
      <c r="G176">
        <v>25349</v>
      </c>
      <c r="H176">
        <v>10</v>
      </c>
      <c r="I176">
        <v>28</v>
      </c>
      <c r="J176">
        <v>584040.95999999996</v>
      </c>
      <c r="K176" t="s">
        <v>21</v>
      </c>
      <c r="L176" t="s">
        <v>33</v>
      </c>
      <c r="M176" s="7">
        <v>45754</v>
      </c>
      <c r="N176" s="7">
        <v>45755</v>
      </c>
      <c r="O176" s="8">
        <v>1</v>
      </c>
      <c r="P176" t="str">
        <f t="shared" si="2"/>
        <v>On Delivery</v>
      </c>
    </row>
    <row r="177" spans="1:16" x14ac:dyDescent="0.3">
      <c r="A177" t="s">
        <v>156</v>
      </c>
      <c r="B177" s="6" t="s">
        <v>239</v>
      </c>
      <c r="C177" t="s">
        <v>23</v>
      </c>
      <c r="D177" t="s">
        <v>35</v>
      </c>
      <c r="E177" t="s">
        <v>77</v>
      </c>
      <c r="F177">
        <v>22</v>
      </c>
      <c r="G177">
        <v>43111</v>
      </c>
      <c r="H177">
        <v>0</v>
      </c>
      <c r="I177">
        <v>18</v>
      </c>
      <c r="J177">
        <v>1119161.56</v>
      </c>
      <c r="K177" t="s">
        <v>15</v>
      </c>
      <c r="L177" t="s">
        <v>38</v>
      </c>
      <c r="M177" s="7">
        <v>45825</v>
      </c>
      <c r="N177" s="7">
        <v>45837</v>
      </c>
      <c r="O177" s="8">
        <v>12</v>
      </c>
      <c r="P177" t="str">
        <f t="shared" si="2"/>
        <v>Delayed</v>
      </c>
    </row>
    <row r="178" spans="1:16" x14ac:dyDescent="0.3">
      <c r="A178" t="s">
        <v>164</v>
      </c>
      <c r="B178" s="6" t="s">
        <v>245</v>
      </c>
      <c r="C178" t="s">
        <v>18</v>
      </c>
      <c r="D178" t="s">
        <v>13</v>
      </c>
      <c r="E178" t="s">
        <v>14</v>
      </c>
      <c r="F178">
        <v>1</v>
      </c>
      <c r="G178">
        <v>27870</v>
      </c>
      <c r="H178">
        <v>12</v>
      </c>
      <c r="I178">
        <v>12</v>
      </c>
      <c r="J178">
        <v>27468.67</v>
      </c>
      <c r="K178" t="s">
        <v>15</v>
      </c>
      <c r="L178" t="s">
        <v>26</v>
      </c>
      <c r="M178" s="7">
        <v>45689</v>
      </c>
      <c r="N178" s="7">
        <v>45692</v>
      </c>
      <c r="O178" s="8">
        <v>3</v>
      </c>
      <c r="P178" t="str">
        <f t="shared" si="2"/>
        <v>On Delivery</v>
      </c>
    </row>
    <row r="179" spans="1:16" x14ac:dyDescent="0.3">
      <c r="A179" t="s">
        <v>74</v>
      </c>
      <c r="B179" s="6" t="s">
        <v>246</v>
      </c>
      <c r="C179" t="s">
        <v>80</v>
      </c>
      <c r="D179" t="s">
        <v>24</v>
      </c>
      <c r="E179" t="s">
        <v>40</v>
      </c>
      <c r="F179">
        <v>19</v>
      </c>
      <c r="G179">
        <v>42778</v>
      </c>
      <c r="H179">
        <v>12</v>
      </c>
      <c r="I179">
        <v>18</v>
      </c>
      <c r="J179">
        <v>843992.83</v>
      </c>
      <c r="K179" t="s">
        <v>15</v>
      </c>
      <c r="L179" t="s">
        <v>33</v>
      </c>
      <c r="M179" s="7">
        <v>45838</v>
      </c>
      <c r="N179" s="7">
        <v>45842</v>
      </c>
      <c r="O179" s="8">
        <v>4</v>
      </c>
      <c r="P179" t="str">
        <f t="shared" si="2"/>
        <v>Delayed</v>
      </c>
    </row>
    <row r="180" spans="1:16" x14ac:dyDescent="0.3">
      <c r="A180" t="s">
        <v>124</v>
      </c>
      <c r="B180" s="6" t="s">
        <v>240</v>
      </c>
      <c r="C180" t="s">
        <v>28</v>
      </c>
      <c r="D180" t="s">
        <v>44</v>
      </c>
      <c r="E180" t="s">
        <v>51</v>
      </c>
      <c r="F180">
        <v>2</v>
      </c>
      <c r="G180">
        <v>2489</v>
      </c>
      <c r="H180">
        <v>12</v>
      </c>
      <c r="I180">
        <v>12</v>
      </c>
      <c r="J180">
        <v>4906.32</v>
      </c>
      <c r="K180" t="s">
        <v>37</v>
      </c>
      <c r="L180" t="s">
        <v>16</v>
      </c>
      <c r="M180" s="7">
        <v>45818</v>
      </c>
      <c r="N180" s="7">
        <v>45828</v>
      </c>
      <c r="O180" s="8">
        <v>10</v>
      </c>
      <c r="P180" t="str">
        <f t="shared" si="2"/>
        <v>Delayed</v>
      </c>
    </row>
    <row r="181" spans="1:16" x14ac:dyDescent="0.3">
      <c r="A181" t="s">
        <v>113</v>
      </c>
      <c r="B181" s="6" t="s">
        <v>242</v>
      </c>
      <c r="C181" t="s">
        <v>12</v>
      </c>
      <c r="D181" t="s">
        <v>35</v>
      </c>
      <c r="E181" t="s">
        <v>36</v>
      </c>
      <c r="F181">
        <v>33</v>
      </c>
      <c r="G181">
        <v>34053</v>
      </c>
      <c r="H181">
        <v>12</v>
      </c>
      <c r="I181">
        <v>12</v>
      </c>
      <c r="J181">
        <v>1107567.01</v>
      </c>
      <c r="K181" t="s">
        <v>37</v>
      </c>
      <c r="L181" t="s">
        <v>33</v>
      </c>
      <c r="M181" s="7">
        <v>45667</v>
      </c>
      <c r="N181" s="7">
        <v>45676</v>
      </c>
      <c r="O181" s="8">
        <v>9</v>
      </c>
      <c r="P181" t="str">
        <f t="shared" si="2"/>
        <v>Delayed</v>
      </c>
    </row>
    <row r="182" spans="1:16" x14ac:dyDescent="0.3">
      <c r="A182" t="s">
        <v>82</v>
      </c>
      <c r="B182" s="6" t="s">
        <v>243</v>
      </c>
      <c r="C182" t="s">
        <v>53</v>
      </c>
      <c r="D182" t="s">
        <v>24</v>
      </c>
      <c r="E182" t="s">
        <v>76</v>
      </c>
      <c r="F182">
        <v>19</v>
      </c>
      <c r="G182">
        <v>19249</v>
      </c>
      <c r="H182">
        <v>10</v>
      </c>
      <c r="I182">
        <v>28</v>
      </c>
      <c r="J182">
        <v>421322.11</v>
      </c>
      <c r="K182" t="s">
        <v>37</v>
      </c>
      <c r="L182" t="s">
        <v>26</v>
      </c>
      <c r="M182" s="7">
        <v>45840</v>
      </c>
      <c r="N182" s="7">
        <v>45846</v>
      </c>
      <c r="O182" s="8">
        <v>6</v>
      </c>
      <c r="P182" t="str">
        <f t="shared" si="2"/>
        <v>Delayed</v>
      </c>
    </row>
    <row r="183" spans="1:16" x14ac:dyDescent="0.3">
      <c r="A183" t="s">
        <v>133</v>
      </c>
      <c r="B183" s="6" t="s">
        <v>240</v>
      </c>
      <c r="C183" t="s">
        <v>28</v>
      </c>
      <c r="D183" t="s">
        <v>19</v>
      </c>
      <c r="E183" t="s">
        <v>20</v>
      </c>
      <c r="F183">
        <v>31</v>
      </c>
      <c r="G183">
        <v>65685</v>
      </c>
      <c r="H183">
        <v>10</v>
      </c>
      <c r="I183">
        <v>12</v>
      </c>
      <c r="J183">
        <v>2052524.88</v>
      </c>
      <c r="K183" t="s">
        <v>37</v>
      </c>
      <c r="L183" t="s">
        <v>33</v>
      </c>
      <c r="M183" s="7">
        <v>45772</v>
      </c>
      <c r="N183" s="7">
        <v>45781</v>
      </c>
      <c r="O183" s="8">
        <v>9</v>
      </c>
      <c r="P183" t="str">
        <f t="shared" si="2"/>
        <v>Delayed</v>
      </c>
    </row>
    <row r="184" spans="1:16" x14ac:dyDescent="0.3">
      <c r="A184" t="s">
        <v>96</v>
      </c>
      <c r="B184" s="6" t="s">
        <v>241</v>
      </c>
      <c r="C184" t="s">
        <v>42</v>
      </c>
      <c r="D184" t="s">
        <v>48</v>
      </c>
      <c r="E184" t="s">
        <v>49</v>
      </c>
      <c r="F184">
        <v>34</v>
      </c>
      <c r="G184">
        <v>71474</v>
      </c>
      <c r="H184">
        <v>0</v>
      </c>
      <c r="I184">
        <v>28</v>
      </c>
      <c r="J184">
        <v>3110548.48</v>
      </c>
      <c r="K184" t="s">
        <v>37</v>
      </c>
      <c r="L184" t="s">
        <v>16</v>
      </c>
      <c r="M184" s="7">
        <v>45750</v>
      </c>
      <c r="N184" s="7">
        <v>45759</v>
      </c>
      <c r="O184" s="8">
        <v>9</v>
      </c>
      <c r="P184" t="str">
        <f t="shared" si="2"/>
        <v>Delayed</v>
      </c>
    </row>
    <row r="185" spans="1:16" x14ac:dyDescent="0.3">
      <c r="A185" t="s">
        <v>133</v>
      </c>
      <c r="B185" s="6" t="s">
        <v>239</v>
      </c>
      <c r="C185" t="s">
        <v>23</v>
      </c>
      <c r="D185" t="s">
        <v>24</v>
      </c>
      <c r="E185" t="s">
        <v>40</v>
      </c>
      <c r="F185">
        <v>22</v>
      </c>
      <c r="G185">
        <v>43450</v>
      </c>
      <c r="H185">
        <v>10</v>
      </c>
      <c r="I185">
        <v>18</v>
      </c>
      <c r="J185">
        <v>1015165.8</v>
      </c>
      <c r="K185" t="s">
        <v>15</v>
      </c>
      <c r="L185" t="s">
        <v>16</v>
      </c>
      <c r="M185" s="7">
        <v>45775</v>
      </c>
      <c r="N185" s="7">
        <v>45779</v>
      </c>
      <c r="O185" s="8">
        <v>4</v>
      </c>
      <c r="P185" t="str">
        <f t="shared" si="2"/>
        <v>Delayed</v>
      </c>
    </row>
    <row r="186" spans="1:16" x14ac:dyDescent="0.3">
      <c r="A186" t="s">
        <v>171</v>
      </c>
      <c r="B186" s="6" t="s">
        <v>244</v>
      </c>
      <c r="C186" t="s">
        <v>70</v>
      </c>
      <c r="D186" t="s">
        <v>62</v>
      </c>
      <c r="E186" t="s">
        <v>92</v>
      </c>
      <c r="F186">
        <v>28</v>
      </c>
      <c r="G186">
        <v>59023</v>
      </c>
      <c r="H186">
        <v>10</v>
      </c>
      <c r="I186">
        <v>18</v>
      </c>
      <c r="J186">
        <v>1755107.93</v>
      </c>
      <c r="K186" t="s">
        <v>15</v>
      </c>
      <c r="L186" t="s">
        <v>38</v>
      </c>
      <c r="M186" s="7">
        <v>45723</v>
      </c>
      <c r="N186" s="7">
        <v>45729</v>
      </c>
      <c r="O186" s="8">
        <v>6</v>
      </c>
      <c r="P186" t="str">
        <f t="shared" si="2"/>
        <v>Delayed</v>
      </c>
    </row>
    <row r="187" spans="1:16" x14ac:dyDescent="0.3">
      <c r="A187" t="s">
        <v>172</v>
      </c>
      <c r="B187" s="6" t="s">
        <v>239</v>
      </c>
      <c r="C187" t="s">
        <v>23</v>
      </c>
      <c r="D187" t="s">
        <v>44</v>
      </c>
      <c r="E187" t="s">
        <v>51</v>
      </c>
      <c r="F187">
        <v>18</v>
      </c>
      <c r="G187">
        <v>75498</v>
      </c>
      <c r="H187">
        <v>0</v>
      </c>
      <c r="I187">
        <v>28</v>
      </c>
      <c r="J187">
        <v>1739473.9199999999</v>
      </c>
      <c r="K187" t="s">
        <v>46</v>
      </c>
      <c r="L187" t="s">
        <v>38</v>
      </c>
      <c r="M187" s="7">
        <v>45834</v>
      </c>
      <c r="N187" s="7">
        <v>45849</v>
      </c>
      <c r="O187" s="8">
        <v>15</v>
      </c>
      <c r="P187" t="str">
        <f t="shared" si="2"/>
        <v>Delayed</v>
      </c>
    </row>
    <row r="188" spans="1:16" x14ac:dyDescent="0.3">
      <c r="A188" t="s">
        <v>147</v>
      </c>
      <c r="B188" s="6" t="s">
        <v>238</v>
      </c>
      <c r="C188" t="s">
        <v>58</v>
      </c>
      <c r="D188" t="s">
        <v>48</v>
      </c>
      <c r="E188" t="s">
        <v>59</v>
      </c>
      <c r="F188">
        <v>36</v>
      </c>
      <c r="G188">
        <v>23150</v>
      </c>
      <c r="H188">
        <v>12</v>
      </c>
      <c r="I188">
        <v>18</v>
      </c>
      <c r="J188">
        <v>865402.56</v>
      </c>
      <c r="K188" t="s">
        <v>21</v>
      </c>
      <c r="L188" t="s">
        <v>26</v>
      </c>
      <c r="M188" s="7">
        <v>45699</v>
      </c>
      <c r="N188" s="7">
        <v>45710</v>
      </c>
      <c r="O188" s="8">
        <v>11</v>
      </c>
      <c r="P188" t="str">
        <f t="shared" si="2"/>
        <v>Delayed</v>
      </c>
    </row>
    <row r="189" spans="1:16" x14ac:dyDescent="0.3">
      <c r="A189" t="s">
        <v>139</v>
      </c>
      <c r="B189" s="6" t="s">
        <v>241</v>
      </c>
      <c r="C189" t="s">
        <v>42</v>
      </c>
      <c r="D189" t="s">
        <v>24</v>
      </c>
      <c r="E189" t="s">
        <v>76</v>
      </c>
      <c r="F189">
        <v>25</v>
      </c>
      <c r="G189">
        <v>16476</v>
      </c>
      <c r="H189">
        <v>5</v>
      </c>
      <c r="I189">
        <v>18</v>
      </c>
      <c r="J189">
        <v>461739.9</v>
      </c>
      <c r="K189" t="s">
        <v>46</v>
      </c>
      <c r="L189" t="s">
        <v>16</v>
      </c>
      <c r="M189" s="7">
        <v>45789</v>
      </c>
      <c r="N189" s="7">
        <v>45789</v>
      </c>
      <c r="O189" s="8">
        <v>0</v>
      </c>
      <c r="P189" t="str">
        <f t="shared" si="2"/>
        <v>Delivered</v>
      </c>
    </row>
    <row r="190" spans="1:16" x14ac:dyDescent="0.3">
      <c r="A190" t="s">
        <v>159</v>
      </c>
      <c r="B190" s="6" t="s">
        <v>242</v>
      </c>
      <c r="C190" t="s">
        <v>12</v>
      </c>
      <c r="D190" t="s">
        <v>13</v>
      </c>
      <c r="E190" t="s">
        <v>32</v>
      </c>
      <c r="F190">
        <v>2</v>
      </c>
      <c r="G190">
        <v>54338</v>
      </c>
      <c r="H190">
        <v>5</v>
      </c>
      <c r="I190">
        <v>18</v>
      </c>
      <c r="J190">
        <v>121825.8</v>
      </c>
      <c r="K190" t="s">
        <v>15</v>
      </c>
      <c r="L190" t="s">
        <v>38</v>
      </c>
      <c r="M190" s="7">
        <v>45841</v>
      </c>
      <c r="N190" s="7">
        <v>45851</v>
      </c>
      <c r="O190" s="8">
        <v>10</v>
      </c>
      <c r="P190" t="str">
        <f t="shared" si="2"/>
        <v>Delayed</v>
      </c>
    </row>
    <row r="191" spans="1:16" x14ac:dyDescent="0.3">
      <c r="A191" t="s">
        <v>111</v>
      </c>
      <c r="B191" s="6" t="s">
        <v>243</v>
      </c>
      <c r="C191" t="s">
        <v>53</v>
      </c>
      <c r="D191" t="s">
        <v>48</v>
      </c>
      <c r="E191" t="s">
        <v>59</v>
      </c>
      <c r="F191">
        <v>15</v>
      </c>
      <c r="G191">
        <v>24550</v>
      </c>
      <c r="H191">
        <v>0</v>
      </c>
      <c r="I191">
        <v>28</v>
      </c>
      <c r="J191">
        <v>471360</v>
      </c>
      <c r="K191" t="s">
        <v>21</v>
      </c>
      <c r="L191" t="s">
        <v>16</v>
      </c>
      <c r="M191" s="7">
        <v>45731</v>
      </c>
      <c r="N191" s="7">
        <v>45736</v>
      </c>
      <c r="O191" s="8">
        <v>5</v>
      </c>
      <c r="P191" t="str">
        <f t="shared" si="2"/>
        <v>Delayed</v>
      </c>
    </row>
    <row r="192" spans="1:16" x14ac:dyDescent="0.3">
      <c r="A192" t="s">
        <v>146</v>
      </c>
      <c r="B192" s="6" t="s">
        <v>238</v>
      </c>
      <c r="C192" t="s">
        <v>58</v>
      </c>
      <c r="D192" t="s">
        <v>44</v>
      </c>
      <c r="E192" t="s">
        <v>45</v>
      </c>
      <c r="F192">
        <v>33</v>
      </c>
      <c r="G192">
        <v>74536</v>
      </c>
      <c r="H192">
        <v>5</v>
      </c>
      <c r="I192">
        <v>18</v>
      </c>
      <c r="J192">
        <v>2757310.25</v>
      </c>
      <c r="K192" t="s">
        <v>21</v>
      </c>
      <c r="L192" t="s">
        <v>26</v>
      </c>
      <c r="M192" s="7">
        <v>45804</v>
      </c>
      <c r="N192" s="7">
        <v>45807</v>
      </c>
      <c r="O192" s="8">
        <v>3</v>
      </c>
      <c r="P192" t="str">
        <f t="shared" si="2"/>
        <v>On Delivery</v>
      </c>
    </row>
    <row r="193" spans="1:16" x14ac:dyDescent="0.3">
      <c r="A193" t="s">
        <v>79</v>
      </c>
      <c r="B193" s="6" t="s">
        <v>246</v>
      </c>
      <c r="C193" t="s">
        <v>80</v>
      </c>
      <c r="D193" t="s">
        <v>29</v>
      </c>
      <c r="E193" t="s">
        <v>30</v>
      </c>
      <c r="F193">
        <v>25</v>
      </c>
      <c r="G193">
        <v>25590</v>
      </c>
      <c r="H193">
        <v>12</v>
      </c>
      <c r="I193">
        <v>28</v>
      </c>
      <c r="J193">
        <v>720614.40000000002</v>
      </c>
      <c r="K193" t="s">
        <v>46</v>
      </c>
      <c r="L193" t="s">
        <v>26</v>
      </c>
      <c r="M193" s="7">
        <v>45681</v>
      </c>
      <c r="N193" s="7">
        <v>45692</v>
      </c>
      <c r="O193" s="8">
        <v>11</v>
      </c>
      <c r="P193" t="str">
        <f t="shared" si="2"/>
        <v>Delayed</v>
      </c>
    </row>
    <row r="194" spans="1:16" x14ac:dyDescent="0.3">
      <c r="A194" t="s">
        <v>121</v>
      </c>
      <c r="B194" s="6" t="s">
        <v>243</v>
      </c>
      <c r="C194" t="s">
        <v>53</v>
      </c>
      <c r="D194" t="s">
        <v>48</v>
      </c>
      <c r="E194" t="s">
        <v>49</v>
      </c>
      <c r="F194">
        <v>14</v>
      </c>
      <c r="G194">
        <v>84889</v>
      </c>
      <c r="H194">
        <v>5</v>
      </c>
      <c r="I194">
        <v>12</v>
      </c>
      <c r="J194">
        <v>1264506.54</v>
      </c>
      <c r="K194" t="s">
        <v>37</v>
      </c>
      <c r="L194" t="s">
        <v>33</v>
      </c>
      <c r="M194" s="7">
        <v>45783</v>
      </c>
      <c r="N194" s="7">
        <v>45794</v>
      </c>
      <c r="O194" s="8">
        <v>11</v>
      </c>
      <c r="P194" t="str">
        <f t="shared" ref="P194:P257" si="3">IF(O194="","Pending",IF(O194=0,"Delivered",IF(O194&lt;=3,"On Delivery","Delayed")))</f>
        <v>Delayed</v>
      </c>
    </row>
    <row r="195" spans="1:16" x14ac:dyDescent="0.3">
      <c r="A195" t="s">
        <v>173</v>
      </c>
      <c r="B195" s="6" t="s">
        <v>238</v>
      </c>
      <c r="C195" t="s">
        <v>58</v>
      </c>
      <c r="D195" t="s">
        <v>13</v>
      </c>
      <c r="E195" t="s">
        <v>32</v>
      </c>
      <c r="F195">
        <v>37</v>
      </c>
      <c r="G195">
        <v>64933</v>
      </c>
      <c r="H195">
        <v>0</v>
      </c>
      <c r="I195">
        <v>12</v>
      </c>
      <c r="J195">
        <v>2690823.52</v>
      </c>
      <c r="K195" t="s">
        <v>15</v>
      </c>
      <c r="L195" t="s">
        <v>33</v>
      </c>
      <c r="M195" s="7">
        <v>45704</v>
      </c>
      <c r="N195" s="7">
        <v>45710</v>
      </c>
      <c r="O195" s="8">
        <v>6</v>
      </c>
      <c r="P195" t="str">
        <f t="shared" si="3"/>
        <v>Delayed</v>
      </c>
    </row>
    <row r="196" spans="1:16" x14ac:dyDescent="0.3">
      <c r="A196" t="s">
        <v>174</v>
      </c>
      <c r="B196" s="6" t="s">
        <v>239</v>
      </c>
      <c r="C196" t="s">
        <v>23</v>
      </c>
      <c r="D196" t="s">
        <v>35</v>
      </c>
      <c r="E196" t="s">
        <v>56</v>
      </c>
      <c r="F196">
        <v>3</v>
      </c>
      <c r="G196">
        <v>75300</v>
      </c>
      <c r="H196">
        <v>12</v>
      </c>
      <c r="I196">
        <v>18</v>
      </c>
      <c r="J196">
        <v>234574.56</v>
      </c>
      <c r="K196" t="s">
        <v>21</v>
      </c>
      <c r="L196" t="s">
        <v>16</v>
      </c>
      <c r="M196" s="7">
        <v>45671</v>
      </c>
      <c r="N196" s="7">
        <v>45678</v>
      </c>
      <c r="O196" s="8">
        <v>7</v>
      </c>
      <c r="P196" t="str">
        <f t="shared" si="3"/>
        <v>Delayed</v>
      </c>
    </row>
    <row r="197" spans="1:16" x14ac:dyDescent="0.3">
      <c r="A197" t="s">
        <v>170</v>
      </c>
      <c r="B197" s="6" t="s">
        <v>244</v>
      </c>
      <c r="C197" t="s">
        <v>70</v>
      </c>
      <c r="D197" t="s">
        <v>24</v>
      </c>
      <c r="E197" t="s">
        <v>40</v>
      </c>
      <c r="F197">
        <v>9</v>
      </c>
      <c r="G197">
        <v>12001</v>
      </c>
      <c r="H197">
        <v>0</v>
      </c>
      <c r="I197">
        <v>28</v>
      </c>
      <c r="J197">
        <v>138251.51999999999</v>
      </c>
      <c r="K197" t="s">
        <v>46</v>
      </c>
      <c r="L197" t="s">
        <v>16</v>
      </c>
      <c r="M197" s="7">
        <v>45752</v>
      </c>
      <c r="N197" s="7">
        <v>45755</v>
      </c>
      <c r="O197" s="8">
        <v>3</v>
      </c>
      <c r="P197" t="str">
        <f t="shared" si="3"/>
        <v>On Delivery</v>
      </c>
    </row>
    <row r="198" spans="1:16" x14ac:dyDescent="0.3">
      <c r="A198" t="s">
        <v>69</v>
      </c>
      <c r="B198" s="6" t="s">
        <v>245</v>
      </c>
      <c r="C198" t="s">
        <v>18</v>
      </c>
      <c r="D198" t="s">
        <v>44</v>
      </c>
      <c r="E198" t="s">
        <v>45</v>
      </c>
      <c r="F198">
        <v>7</v>
      </c>
      <c r="G198">
        <v>54724</v>
      </c>
      <c r="H198">
        <v>10</v>
      </c>
      <c r="I198">
        <v>12</v>
      </c>
      <c r="J198">
        <v>386132.54</v>
      </c>
      <c r="K198" t="s">
        <v>21</v>
      </c>
      <c r="L198" t="s">
        <v>38</v>
      </c>
      <c r="M198" s="7">
        <v>45808</v>
      </c>
      <c r="N198" s="7">
        <v>45823</v>
      </c>
      <c r="O198" s="8">
        <v>15</v>
      </c>
      <c r="P198" t="str">
        <f t="shared" si="3"/>
        <v>Delayed</v>
      </c>
    </row>
    <row r="199" spans="1:16" x14ac:dyDescent="0.3">
      <c r="A199" t="s">
        <v>61</v>
      </c>
      <c r="B199" s="6" t="s">
        <v>246</v>
      </c>
      <c r="C199" t="s">
        <v>80</v>
      </c>
      <c r="D199" t="s">
        <v>35</v>
      </c>
      <c r="E199" t="s">
        <v>36</v>
      </c>
      <c r="F199">
        <v>13</v>
      </c>
      <c r="G199">
        <v>63644</v>
      </c>
      <c r="H199">
        <v>10</v>
      </c>
      <c r="I199">
        <v>12</v>
      </c>
      <c r="J199">
        <v>833990.98</v>
      </c>
      <c r="K199" t="s">
        <v>15</v>
      </c>
      <c r="L199" t="s">
        <v>33</v>
      </c>
      <c r="M199" s="7">
        <v>45770</v>
      </c>
      <c r="N199" s="7">
        <v>45772</v>
      </c>
      <c r="O199" s="8">
        <v>2</v>
      </c>
      <c r="P199" t="str">
        <f t="shared" si="3"/>
        <v>On Delivery</v>
      </c>
    </row>
    <row r="200" spans="1:16" x14ac:dyDescent="0.3">
      <c r="A200" t="s">
        <v>144</v>
      </c>
      <c r="B200" s="6" t="s">
        <v>238</v>
      </c>
      <c r="C200" t="s">
        <v>58</v>
      </c>
      <c r="D200" t="s">
        <v>48</v>
      </c>
      <c r="E200" t="s">
        <v>49</v>
      </c>
      <c r="F200">
        <v>17</v>
      </c>
      <c r="G200">
        <v>25082</v>
      </c>
      <c r="H200">
        <v>0</v>
      </c>
      <c r="I200">
        <v>12</v>
      </c>
      <c r="J200">
        <v>477561.28</v>
      </c>
      <c r="K200" t="s">
        <v>37</v>
      </c>
      <c r="L200" t="s">
        <v>33</v>
      </c>
      <c r="M200" s="7">
        <v>45698</v>
      </c>
      <c r="N200" s="7">
        <v>45706</v>
      </c>
      <c r="O200" s="8">
        <v>8</v>
      </c>
      <c r="P200" t="str">
        <f t="shared" si="3"/>
        <v>Delayed</v>
      </c>
    </row>
    <row r="201" spans="1:16" x14ac:dyDescent="0.3">
      <c r="A201" t="s">
        <v>43</v>
      </c>
      <c r="B201" s="6" t="s">
        <v>240</v>
      </c>
      <c r="C201" t="s">
        <v>28</v>
      </c>
      <c r="D201" t="s">
        <v>62</v>
      </c>
      <c r="E201" t="s">
        <v>63</v>
      </c>
      <c r="F201">
        <v>1</v>
      </c>
      <c r="G201">
        <v>7463</v>
      </c>
      <c r="H201">
        <v>5</v>
      </c>
      <c r="I201">
        <v>28</v>
      </c>
      <c r="J201">
        <v>9075.01</v>
      </c>
      <c r="K201" t="s">
        <v>37</v>
      </c>
      <c r="L201" t="s">
        <v>26</v>
      </c>
      <c r="M201" s="7">
        <v>45723</v>
      </c>
      <c r="N201" s="7">
        <v>45726</v>
      </c>
      <c r="O201" s="8">
        <v>3</v>
      </c>
      <c r="P201" t="str">
        <f t="shared" si="3"/>
        <v>On Delivery</v>
      </c>
    </row>
    <row r="202" spans="1:16" x14ac:dyDescent="0.3">
      <c r="A202" t="s">
        <v>132</v>
      </c>
      <c r="B202" s="6" t="s">
        <v>238</v>
      </c>
      <c r="C202" t="s">
        <v>58</v>
      </c>
      <c r="D202" t="s">
        <v>24</v>
      </c>
      <c r="E202" t="s">
        <v>40</v>
      </c>
      <c r="F202">
        <v>14</v>
      </c>
      <c r="G202">
        <v>5106</v>
      </c>
      <c r="H202">
        <v>5</v>
      </c>
      <c r="I202">
        <v>28</v>
      </c>
      <c r="J202">
        <v>86924.54</v>
      </c>
      <c r="K202" t="s">
        <v>15</v>
      </c>
      <c r="L202" t="s">
        <v>38</v>
      </c>
      <c r="M202" s="7">
        <v>45676</v>
      </c>
      <c r="N202" s="7">
        <v>45691</v>
      </c>
      <c r="O202" s="8">
        <v>15</v>
      </c>
      <c r="P202" t="str">
        <f t="shared" si="3"/>
        <v>Delayed</v>
      </c>
    </row>
    <row r="203" spans="1:16" x14ac:dyDescent="0.3">
      <c r="A203" t="s">
        <v>11</v>
      </c>
      <c r="B203" s="6" t="s">
        <v>245</v>
      </c>
      <c r="C203" t="s">
        <v>18</v>
      </c>
      <c r="D203" t="s">
        <v>13</v>
      </c>
      <c r="E203" t="s">
        <v>14</v>
      </c>
      <c r="F203">
        <v>20</v>
      </c>
      <c r="G203">
        <v>58063</v>
      </c>
      <c r="H203">
        <v>0</v>
      </c>
      <c r="I203">
        <v>18</v>
      </c>
      <c r="J203">
        <v>1370286.8</v>
      </c>
      <c r="K203" t="s">
        <v>15</v>
      </c>
      <c r="L203" t="s">
        <v>33</v>
      </c>
      <c r="M203" s="7">
        <v>45686</v>
      </c>
      <c r="N203" s="7">
        <v>45689</v>
      </c>
      <c r="O203" s="8">
        <v>3</v>
      </c>
      <c r="P203" t="str">
        <f t="shared" si="3"/>
        <v>On Delivery</v>
      </c>
    </row>
    <row r="204" spans="1:16" x14ac:dyDescent="0.3">
      <c r="A204" t="s">
        <v>175</v>
      </c>
      <c r="B204" s="6" t="s">
        <v>245</v>
      </c>
      <c r="C204" t="s">
        <v>18</v>
      </c>
      <c r="D204" t="s">
        <v>24</v>
      </c>
      <c r="E204" t="s">
        <v>25</v>
      </c>
      <c r="F204">
        <v>8</v>
      </c>
      <c r="G204">
        <v>45211</v>
      </c>
      <c r="H204">
        <v>0</v>
      </c>
      <c r="I204">
        <v>28</v>
      </c>
      <c r="J204">
        <v>462960.64000000001</v>
      </c>
      <c r="K204" t="s">
        <v>37</v>
      </c>
      <c r="L204" t="s">
        <v>16</v>
      </c>
      <c r="M204" s="7">
        <v>45683</v>
      </c>
      <c r="N204" s="7">
        <v>45694</v>
      </c>
      <c r="O204" s="8">
        <v>11</v>
      </c>
      <c r="P204" t="str">
        <f t="shared" si="3"/>
        <v>Delayed</v>
      </c>
    </row>
    <row r="205" spans="1:16" x14ac:dyDescent="0.3">
      <c r="A205" t="s">
        <v>176</v>
      </c>
      <c r="B205" s="6" t="s">
        <v>242</v>
      </c>
      <c r="C205" t="s">
        <v>12</v>
      </c>
      <c r="D205" t="s">
        <v>48</v>
      </c>
      <c r="E205" t="s">
        <v>59</v>
      </c>
      <c r="F205">
        <v>28</v>
      </c>
      <c r="G205">
        <v>84496</v>
      </c>
      <c r="H205">
        <v>0</v>
      </c>
      <c r="I205">
        <v>12</v>
      </c>
      <c r="J205">
        <v>2649794.5600000001</v>
      </c>
      <c r="K205" t="s">
        <v>15</v>
      </c>
      <c r="L205" t="s">
        <v>38</v>
      </c>
      <c r="M205" s="7">
        <v>45782</v>
      </c>
      <c r="N205" s="7">
        <v>45793</v>
      </c>
      <c r="O205" s="8">
        <v>11</v>
      </c>
      <c r="P205" t="str">
        <f t="shared" si="3"/>
        <v>Delayed</v>
      </c>
    </row>
    <row r="206" spans="1:16" x14ac:dyDescent="0.3">
      <c r="A206" t="s">
        <v>175</v>
      </c>
      <c r="B206" s="6" t="s">
        <v>243</v>
      </c>
      <c r="C206" t="s">
        <v>53</v>
      </c>
      <c r="D206" t="s">
        <v>48</v>
      </c>
      <c r="E206" t="s">
        <v>59</v>
      </c>
      <c r="F206">
        <v>38</v>
      </c>
      <c r="G206">
        <v>73470</v>
      </c>
      <c r="H206">
        <v>5</v>
      </c>
      <c r="I206">
        <v>12</v>
      </c>
      <c r="J206">
        <v>2970539.04</v>
      </c>
      <c r="K206" t="s">
        <v>37</v>
      </c>
      <c r="L206" t="s">
        <v>16</v>
      </c>
      <c r="M206" s="7">
        <v>45681</v>
      </c>
      <c r="N206" s="7">
        <v>45683</v>
      </c>
      <c r="O206" s="8">
        <v>2</v>
      </c>
      <c r="P206" t="str">
        <f t="shared" si="3"/>
        <v>On Delivery</v>
      </c>
    </row>
    <row r="207" spans="1:16" x14ac:dyDescent="0.3">
      <c r="A207" t="s">
        <v>69</v>
      </c>
      <c r="B207" s="6" t="s">
        <v>240</v>
      </c>
      <c r="C207" t="s">
        <v>28</v>
      </c>
      <c r="D207" t="s">
        <v>35</v>
      </c>
      <c r="E207" t="s">
        <v>36</v>
      </c>
      <c r="F207">
        <v>17</v>
      </c>
      <c r="G207">
        <v>71321</v>
      </c>
      <c r="H207">
        <v>10</v>
      </c>
      <c r="I207">
        <v>18</v>
      </c>
      <c r="J207">
        <v>1287629.33</v>
      </c>
      <c r="K207" t="s">
        <v>15</v>
      </c>
      <c r="L207" t="s">
        <v>33</v>
      </c>
      <c r="M207" s="7">
        <v>45804</v>
      </c>
      <c r="N207" s="7">
        <v>45819</v>
      </c>
      <c r="O207" s="8">
        <v>15</v>
      </c>
      <c r="P207" t="str">
        <f t="shared" si="3"/>
        <v>Delayed</v>
      </c>
    </row>
    <row r="208" spans="1:16" x14ac:dyDescent="0.3">
      <c r="A208" t="s">
        <v>156</v>
      </c>
      <c r="B208" s="6" t="s">
        <v>243</v>
      </c>
      <c r="C208" t="s">
        <v>53</v>
      </c>
      <c r="D208" t="s">
        <v>62</v>
      </c>
      <c r="E208" t="s">
        <v>63</v>
      </c>
      <c r="F208">
        <v>23</v>
      </c>
      <c r="G208">
        <v>17924</v>
      </c>
      <c r="H208">
        <v>0</v>
      </c>
      <c r="I208">
        <v>18</v>
      </c>
      <c r="J208">
        <v>486457.36</v>
      </c>
      <c r="K208" t="s">
        <v>37</v>
      </c>
      <c r="L208" t="s">
        <v>38</v>
      </c>
      <c r="M208" s="7">
        <v>45823</v>
      </c>
      <c r="N208" s="7">
        <v>45831</v>
      </c>
      <c r="O208" s="8">
        <v>8</v>
      </c>
      <c r="P208" t="str">
        <f t="shared" si="3"/>
        <v>Delayed</v>
      </c>
    </row>
    <row r="209" spans="1:16" x14ac:dyDescent="0.3">
      <c r="A209" t="s">
        <v>112</v>
      </c>
      <c r="B209" s="6" t="s">
        <v>245</v>
      </c>
      <c r="C209" t="s">
        <v>18</v>
      </c>
      <c r="D209" t="s">
        <v>48</v>
      </c>
      <c r="E209" t="s">
        <v>59</v>
      </c>
      <c r="F209">
        <v>1</v>
      </c>
      <c r="G209">
        <v>45808</v>
      </c>
      <c r="H209">
        <v>5</v>
      </c>
      <c r="I209">
        <v>18</v>
      </c>
      <c r="J209">
        <v>51350.77</v>
      </c>
      <c r="K209" t="s">
        <v>21</v>
      </c>
      <c r="L209" t="s">
        <v>33</v>
      </c>
      <c r="M209" s="7">
        <v>45804</v>
      </c>
      <c r="N209" s="7">
        <v>45809</v>
      </c>
      <c r="O209" s="8">
        <v>5</v>
      </c>
      <c r="P209" t="str">
        <f t="shared" si="3"/>
        <v>Delayed</v>
      </c>
    </row>
    <row r="210" spans="1:16" x14ac:dyDescent="0.3">
      <c r="A210" t="s">
        <v>177</v>
      </c>
      <c r="B210" s="6" t="s">
        <v>238</v>
      </c>
      <c r="C210" t="s">
        <v>58</v>
      </c>
      <c r="D210" t="s">
        <v>44</v>
      </c>
      <c r="E210" t="s">
        <v>51</v>
      </c>
      <c r="F210">
        <v>26</v>
      </c>
      <c r="G210">
        <v>7331</v>
      </c>
      <c r="H210">
        <v>5</v>
      </c>
      <c r="I210">
        <v>12</v>
      </c>
      <c r="J210">
        <v>202804.78</v>
      </c>
      <c r="K210" t="s">
        <v>15</v>
      </c>
      <c r="L210" t="s">
        <v>16</v>
      </c>
      <c r="M210" s="7">
        <v>45823</v>
      </c>
      <c r="N210" s="7">
        <v>45836</v>
      </c>
      <c r="O210" s="8">
        <v>13</v>
      </c>
      <c r="P210" t="str">
        <f t="shared" si="3"/>
        <v>Delayed</v>
      </c>
    </row>
    <row r="211" spans="1:16" x14ac:dyDescent="0.3">
      <c r="A211" t="s">
        <v>102</v>
      </c>
      <c r="B211" s="6" t="s">
        <v>246</v>
      </c>
      <c r="C211" t="s">
        <v>80</v>
      </c>
      <c r="D211" t="s">
        <v>44</v>
      </c>
      <c r="E211" t="s">
        <v>45</v>
      </c>
      <c r="F211">
        <v>30</v>
      </c>
      <c r="G211">
        <v>36287</v>
      </c>
      <c r="H211">
        <v>12</v>
      </c>
      <c r="I211">
        <v>18</v>
      </c>
      <c r="J211">
        <v>1130412.6200000001</v>
      </c>
      <c r="K211" t="s">
        <v>15</v>
      </c>
      <c r="L211" t="s">
        <v>38</v>
      </c>
      <c r="M211" s="7">
        <v>45745</v>
      </c>
      <c r="N211" s="7">
        <v>45755</v>
      </c>
      <c r="O211" s="8">
        <v>10</v>
      </c>
      <c r="P211" t="str">
        <f t="shared" si="3"/>
        <v>Delayed</v>
      </c>
    </row>
    <row r="212" spans="1:16" x14ac:dyDescent="0.3">
      <c r="A212" t="s">
        <v>153</v>
      </c>
      <c r="B212" s="6" t="s">
        <v>246</v>
      </c>
      <c r="C212" t="s">
        <v>80</v>
      </c>
      <c r="D212" t="s">
        <v>62</v>
      </c>
      <c r="E212" t="s">
        <v>63</v>
      </c>
      <c r="F212">
        <v>15</v>
      </c>
      <c r="G212">
        <v>46089</v>
      </c>
      <c r="H212">
        <v>5</v>
      </c>
      <c r="I212">
        <v>12</v>
      </c>
      <c r="J212">
        <v>735580.44</v>
      </c>
      <c r="K212" t="s">
        <v>15</v>
      </c>
      <c r="L212" t="s">
        <v>26</v>
      </c>
      <c r="M212" s="7">
        <v>45834</v>
      </c>
      <c r="N212" s="7">
        <v>45846</v>
      </c>
      <c r="O212" s="8">
        <v>12</v>
      </c>
      <c r="P212" t="str">
        <f t="shared" si="3"/>
        <v>Delayed</v>
      </c>
    </row>
    <row r="213" spans="1:16" x14ac:dyDescent="0.3">
      <c r="A213" t="s">
        <v>102</v>
      </c>
      <c r="B213" s="6" t="s">
        <v>242</v>
      </c>
      <c r="C213" t="s">
        <v>12</v>
      </c>
      <c r="D213" t="s">
        <v>62</v>
      </c>
      <c r="E213" t="s">
        <v>92</v>
      </c>
      <c r="F213">
        <v>28</v>
      </c>
      <c r="G213">
        <v>8634</v>
      </c>
      <c r="H213">
        <v>10</v>
      </c>
      <c r="I213">
        <v>28</v>
      </c>
      <c r="J213">
        <v>278498.3</v>
      </c>
      <c r="K213" t="s">
        <v>46</v>
      </c>
      <c r="L213" t="s">
        <v>16</v>
      </c>
      <c r="M213" s="7">
        <v>45745</v>
      </c>
      <c r="N213" s="7">
        <v>45750</v>
      </c>
      <c r="O213" s="8">
        <v>5</v>
      </c>
      <c r="P213" t="str">
        <f t="shared" si="3"/>
        <v>Delayed</v>
      </c>
    </row>
    <row r="214" spans="1:16" x14ac:dyDescent="0.3">
      <c r="A214" t="s">
        <v>164</v>
      </c>
      <c r="B214" s="6" t="s">
        <v>239</v>
      </c>
      <c r="C214" t="s">
        <v>23</v>
      </c>
      <c r="D214" t="s">
        <v>24</v>
      </c>
      <c r="E214" t="s">
        <v>76</v>
      </c>
      <c r="F214">
        <v>32</v>
      </c>
      <c r="G214">
        <v>53758</v>
      </c>
      <c r="H214">
        <v>12</v>
      </c>
      <c r="I214">
        <v>28</v>
      </c>
      <c r="J214">
        <v>1937696.36</v>
      </c>
      <c r="K214" t="s">
        <v>46</v>
      </c>
      <c r="L214" t="s">
        <v>26</v>
      </c>
      <c r="M214" s="7">
        <v>45690</v>
      </c>
      <c r="N214" s="7">
        <v>45704</v>
      </c>
      <c r="O214" s="8">
        <v>14</v>
      </c>
      <c r="P214" t="str">
        <f t="shared" si="3"/>
        <v>Delayed</v>
      </c>
    </row>
    <row r="215" spans="1:16" x14ac:dyDescent="0.3">
      <c r="A215" t="s">
        <v>67</v>
      </c>
      <c r="B215" s="6" t="s">
        <v>244</v>
      </c>
      <c r="C215" t="s">
        <v>70</v>
      </c>
      <c r="D215" t="s">
        <v>35</v>
      </c>
      <c r="E215" t="s">
        <v>36</v>
      </c>
      <c r="F215">
        <v>18</v>
      </c>
      <c r="G215">
        <v>57161</v>
      </c>
      <c r="H215">
        <v>10</v>
      </c>
      <c r="I215">
        <v>28</v>
      </c>
      <c r="J215">
        <v>1185290.5</v>
      </c>
      <c r="K215" t="s">
        <v>37</v>
      </c>
      <c r="L215" t="s">
        <v>26</v>
      </c>
      <c r="M215" s="7">
        <v>45809</v>
      </c>
      <c r="N215" s="7">
        <v>45820</v>
      </c>
      <c r="O215" s="8">
        <v>11</v>
      </c>
      <c r="P215" t="str">
        <f t="shared" si="3"/>
        <v>Delayed</v>
      </c>
    </row>
    <row r="216" spans="1:16" x14ac:dyDescent="0.3">
      <c r="A216" t="s">
        <v>119</v>
      </c>
      <c r="B216" s="6" t="s">
        <v>240</v>
      </c>
      <c r="C216" t="s">
        <v>28</v>
      </c>
      <c r="D216" t="s">
        <v>44</v>
      </c>
      <c r="E216" t="s">
        <v>51</v>
      </c>
      <c r="F216">
        <v>12</v>
      </c>
      <c r="G216">
        <v>82292</v>
      </c>
      <c r="H216">
        <v>0</v>
      </c>
      <c r="I216">
        <v>28</v>
      </c>
      <c r="J216">
        <v>1264005.1200000001</v>
      </c>
      <c r="K216" t="s">
        <v>46</v>
      </c>
      <c r="L216" t="s">
        <v>33</v>
      </c>
      <c r="M216" s="7">
        <v>45799</v>
      </c>
      <c r="N216" s="7">
        <v>45812</v>
      </c>
      <c r="O216" s="8">
        <v>13</v>
      </c>
      <c r="P216" t="str">
        <f t="shared" si="3"/>
        <v>Delayed</v>
      </c>
    </row>
    <row r="217" spans="1:16" x14ac:dyDescent="0.3">
      <c r="A217" t="s">
        <v>115</v>
      </c>
      <c r="B217" s="6" t="s">
        <v>244</v>
      </c>
      <c r="C217" t="s">
        <v>70</v>
      </c>
      <c r="D217" t="s">
        <v>24</v>
      </c>
      <c r="E217" t="s">
        <v>25</v>
      </c>
      <c r="F217">
        <v>15</v>
      </c>
      <c r="G217">
        <v>1904</v>
      </c>
      <c r="H217">
        <v>0</v>
      </c>
      <c r="I217">
        <v>18</v>
      </c>
      <c r="J217">
        <v>33700.800000000003</v>
      </c>
      <c r="K217" t="s">
        <v>15</v>
      </c>
      <c r="L217" t="s">
        <v>26</v>
      </c>
      <c r="M217" s="7">
        <v>45794</v>
      </c>
      <c r="N217" s="7">
        <v>45800</v>
      </c>
      <c r="O217" s="8">
        <v>6</v>
      </c>
      <c r="P217" t="str">
        <f t="shared" si="3"/>
        <v>Delayed</v>
      </c>
    </row>
    <row r="218" spans="1:16" x14ac:dyDescent="0.3">
      <c r="A218" t="s">
        <v>55</v>
      </c>
      <c r="B218" s="6" t="s">
        <v>246</v>
      </c>
      <c r="C218" t="s">
        <v>80</v>
      </c>
      <c r="D218" t="s">
        <v>24</v>
      </c>
      <c r="E218" t="s">
        <v>25</v>
      </c>
      <c r="F218">
        <v>23</v>
      </c>
      <c r="G218">
        <v>73943</v>
      </c>
      <c r="H218">
        <v>0</v>
      </c>
      <c r="I218">
        <v>28</v>
      </c>
      <c r="J218">
        <v>2176881.92</v>
      </c>
      <c r="K218" t="s">
        <v>21</v>
      </c>
      <c r="L218" t="s">
        <v>33</v>
      </c>
      <c r="M218" s="7">
        <v>45760</v>
      </c>
      <c r="N218" s="7">
        <v>45774</v>
      </c>
      <c r="O218" s="8">
        <v>14</v>
      </c>
      <c r="P218" t="str">
        <f t="shared" si="3"/>
        <v>Delayed</v>
      </c>
    </row>
    <row r="219" spans="1:16" x14ac:dyDescent="0.3">
      <c r="A219" t="s">
        <v>178</v>
      </c>
      <c r="B219" s="6" t="s">
        <v>238</v>
      </c>
      <c r="C219" t="s">
        <v>58</v>
      </c>
      <c r="D219" t="s">
        <v>35</v>
      </c>
      <c r="E219" t="s">
        <v>36</v>
      </c>
      <c r="F219">
        <v>8</v>
      </c>
      <c r="G219">
        <v>1655</v>
      </c>
      <c r="H219">
        <v>0</v>
      </c>
      <c r="I219">
        <v>12</v>
      </c>
      <c r="J219">
        <v>14828.8</v>
      </c>
      <c r="K219" t="s">
        <v>46</v>
      </c>
      <c r="L219" t="s">
        <v>16</v>
      </c>
      <c r="M219" s="7">
        <v>45749</v>
      </c>
      <c r="N219" s="7">
        <v>45762</v>
      </c>
      <c r="O219" s="8">
        <v>13</v>
      </c>
      <c r="P219" t="str">
        <f t="shared" si="3"/>
        <v>Delayed</v>
      </c>
    </row>
    <row r="220" spans="1:16" x14ac:dyDescent="0.3">
      <c r="A220" t="s">
        <v>157</v>
      </c>
      <c r="B220" s="6" t="s">
        <v>245</v>
      </c>
      <c r="C220" t="s">
        <v>18</v>
      </c>
      <c r="D220" t="s">
        <v>48</v>
      </c>
      <c r="E220" t="s">
        <v>59</v>
      </c>
      <c r="F220">
        <v>7</v>
      </c>
      <c r="G220">
        <v>63940</v>
      </c>
      <c r="H220">
        <v>0</v>
      </c>
      <c r="I220">
        <v>28</v>
      </c>
      <c r="J220">
        <v>572902.40000000002</v>
      </c>
      <c r="K220" t="s">
        <v>37</v>
      </c>
      <c r="L220" t="s">
        <v>16</v>
      </c>
      <c r="M220" s="7">
        <v>45703</v>
      </c>
      <c r="N220" s="7">
        <v>45713</v>
      </c>
      <c r="O220" s="8">
        <v>10</v>
      </c>
      <c r="P220" t="str">
        <f t="shared" si="3"/>
        <v>Delayed</v>
      </c>
    </row>
    <row r="221" spans="1:16" x14ac:dyDescent="0.3">
      <c r="A221" t="s">
        <v>34</v>
      </c>
      <c r="B221" s="6" t="s">
        <v>245</v>
      </c>
      <c r="C221" t="s">
        <v>18</v>
      </c>
      <c r="D221" t="s">
        <v>24</v>
      </c>
      <c r="E221" t="s">
        <v>40</v>
      </c>
      <c r="F221">
        <v>25</v>
      </c>
      <c r="G221">
        <v>40901</v>
      </c>
      <c r="H221">
        <v>0</v>
      </c>
      <c r="I221">
        <v>28</v>
      </c>
      <c r="J221">
        <v>1308832</v>
      </c>
      <c r="K221" t="s">
        <v>15</v>
      </c>
      <c r="L221" t="s">
        <v>16</v>
      </c>
      <c r="M221" s="7">
        <v>45780</v>
      </c>
      <c r="N221" s="7">
        <v>45790</v>
      </c>
      <c r="O221" s="8">
        <v>10</v>
      </c>
      <c r="P221" t="str">
        <f t="shared" si="3"/>
        <v>Delayed</v>
      </c>
    </row>
    <row r="222" spans="1:16" x14ac:dyDescent="0.3">
      <c r="A222" t="s">
        <v>85</v>
      </c>
      <c r="B222" s="6" t="s">
        <v>242</v>
      </c>
      <c r="C222" t="s">
        <v>12</v>
      </c>
      <c r="D222" t="s">
        <v>24</v>
      </c>
      <c r="E222" t="s">
        <v>25</v>
      </c>
      <c r="F222">
        <v>35</v>
      </c>
      <c r="G222">
        <v>50590</v>
      </c>
      <c r="H222">
        <v>10</v>
      </c>
      <c r="I222">
        <v>18</v>
      </c>
      <c r="J222">
        <v>1880430.3</v>
      </c>
      <c r="K222" t="s">
        <v>37</v>
      </c>
      <c r="L222" t="s">
        <v>26</v>
      </c>
      <c r="M222" s="7">
        <v>45765</v>
      </c>
      <c r="N222" s="7">
        <v>45779</v>
      </c>
      <c r="O222" s="8">
        <v>14</v>
      </c>
      <c r="P222" t="str">
        <f t="shared" si="3"/>
        <v>Delayed</v>
      </c>
    </row>
    <row r="223" spans="1:16" x14ac:dyDescent="0.3">
      <c r="A223" t="s">
        <v>149</v>
      </c>
      <c r="B223" s="6" t="s">
        <v>246</v>
      </c>
      <c r="C223" t="s">
        <v>80</v>
      </c>
      <c r="D223" t="s">
        <v>44</v>
      </c>
      <c r="E223" t="s">
        <v>51</v>
      </c>
      <c r="F223">
        <v>14</v>
      </c>
      <c r="G223">
        <v>72153</v>
      </c>
      <c r="H223">
        <v>5</v>
      </c>
      <c r="I223">
        <v>18</v>
      </c>
      <c r="J223">
        <v>1132369.18</v>
      </c>
      <c r="K223" t="s">
        <v>37</v>
      </c>
      <c r="L223" t="s">
        <v>16</v>
      </c>
      <c r="M223" s="7">
        <v>45788</v>
      </c>
      <c r="N223" s="7">
        <v>45792</v>
      </c>
      <c r="O223" s="8">
        <v>4</v>
      </c>
      <c r="P223" t="str">
        <f t="shared" si="3"/>
        <v>Delayed</v>
      </c>
    </row>
    <row r="224" spans="1:16" x14ac:dyDescent="0.3">
      <c r="A224" t="s">
        <v>179</v>
      </c>
      <c r="B224" s="6" t="s">
        <v>246</v>
      </c>
      <c r="C224" t="s">
        <v>80</v>
      </c>
      <c r="D224" t="s">
        <v>24</v>
      </c>
      <c r="E224" t="s">
        <v>76</v>
      </c>
      <c r="F224">
        <v>2</v>
      </c>
      <c r="G224">
        <v>3154</v>
      </c>
      <c r="H224">
        <v>12</v>
      </c>
      <c r="I224">
        <v>28</v>
      </c>
      <c r="J224">
        <v>7105.33</v>
      </c>
      <c r="K224" t="s">
        <v>46</v>
      </c>
      <c r="L224" t="s">
        <v>16</v>
      </c>
      <c r="M224" s="7">
        <v>45839</v>
      </c>
      <c r="N224" s="7">
        <v>45846</v>
      </c>
      <c r="O224" s="8">
        <v>7</v>
      </c>
      <c r="P224" t="str">
        <f t="shared" si="3"/>
        <v>Delayed</v>
      </c>
    </row>
    <row r="225" spans="1:16" x14ac:dyDescent="0.3">
      <c r="A225" t="s">
        <v>180</v>
      </c>
      <c r="B225" s="6" t="s">
        <v>240</v>
      </c>
      <c r="C225" t="s">
        <v>28</v>
      </c>
      <c r="D225" t="s">
        <v>24</v>
      </c>
      <c r="E225" t="s">
        <v>25</v>
      </c>
      <c r="F225">
        <v>3</v>
      </c>
      <c r="G225">
        <v>14534</v>
      </c>
      <c r="H225">
        <v>0</v>
      </c>
      <c r="I225">
        <v>12</v>
      </c>
      <c r="J225">
        <v>48834.239999999998</v>
      </c>
      <c r="K225" t="s">
        <v>15</v>
      </c>
      <c r="L225" t="s">
        <v>33</v>
      </c>
      <c r="M225" s="7">
        <v>45725</v>
      </c>
      <c r="N225" s="7">
        <v>45729</v>
      </c>
      <c r="O225" s="8">
        <v>4</v>
      </c>
      <c r="P225" t="str">
        <f t="shared" si="3"/>
        <v>Delayed</v>
      </c>
    </row>
    <row r="226" spans="1:16" x14ac:dyDescent="0.3">
      <c r="A226" t="s">
        <v>116</v>
      </c>
      <c r="B226" s="6" t="s">
        <v>246</v>
      </c>
      <c r="C226" t="s">
        <v>80</v>
      </c>
      <c r="D226" t="s">
        <v>19</v>
      </c>
      <c r="E226" t="s">
        <v>20</v>
      </c>
      <c r="F226">
        <v>9</v>
      </c>
      <c r="G226">
        <v>75067</v>
      </c>
      <c r="H226">
        <v>12</v>
      </c>
      <c r="I226">
        <v>18</v>
      </c>
      <c r="J226">
        <v>701546.16</v>
      </c>
      <c r="K226" t="s">
        <v>21</v>
      </c>
      <c r="L226" t="s">
        <v>38</v>
      </c>
      <c r="M226" s="7">
        <v>45784</v>
      </c>
      <c r="N226" s="7">
        <v>45792</v>
      </c>
      <c r="O226" s="8">
        <v>8</v>
      </c>
      <c r="P226" t="str">
        <f t="shared" si="3"/>
        <v>Delayed</v>
      </c>
    </row>
    <row r="227" spans="1:16" x14ac:dyDescent="0.3">
      <c r="A227" t="s">
        <v>132</v>
      </c>
      <c r="B227" s="6" t="s">
        <v>244</v>
      </c>
      <c r="C227" t="s">
        <v>70</v>
      </c>
      <c r="D227" t="s">
        <v>13</v>
      </c>
      <c r="E227" t="s">
        <v>14</v>
      </c>
      <c r="F227">
        <v>3</v>
      </c>
      <c r="G227">
        <v>80629</v>
      </c>
      <c r="H227">
        <v>10</v>
      </c>
      <c r="I227">
        <v>12</v>
      </c>
      <c r="J227">
        <v>243822.1</v>
      </c>
      <c r="K227" t="s">
        <v>21</v>
      </c>
      <c r="L227" t="s">
        <v>16</v>
      </c>
      <c r="M227" s="7">
        <v>45675</v>
      </c>
      <c r="N227" s="7">
        <v>45689</v>
      </c>
      <c r="O227" s="8">
        <v>14</v>
      </c>
      <c r="P227" t="str">
        <f t="shared" si="3"/>
        <v>Delayed</v>
      </c>
    </row>
    <row r="228" spans="1:16" x14ac:dyDescent="0.3">
      <c r="A228" t="s">
        <v>173</v>
      </c>
      <c r="B228" s="6" t="s">
        <v>245</v>
      </c>
      <c r="C228" t="s">
        <v>18</v>
      </c>
      <c r="D228" t="s">
        <v>24</v>
      </c>
      <c r="E228" t="s">
        <v>40</v>
      </c>
      <c r="F228">
        <v>2</v>
      </c>
      <c r="G228">
        <v>6911</v>
      </c>
      <c r="H228">
        <v>0</v>
      </c>
      <c r="I228">
        <v>18</v>
      </c>
      <c r="J228">
        <v>16309.96</v>
      </c>
      <c r="K228" t="s">
        <v>21</v>
      </c>
      <c r="L228" t="s">
        <v>16</v>
      </c>
      <c r="M228" s="7">
        <v>45706</v>
      </c>
      <c r="N228" s="7">
        <v>45718</v>
      </c>
      <c r="O228" s="8">
        <v>12</v>
      </c>
      <c r="P228" t="str">
        <f t="shared" si="3"/>
        <v>Delayed</v>
      </c>
    </row>
    <row r="229" spans="1:16" x14ac:dyDescent="0.3">
      <c r="A229" t="s">
        <v>178</v>
      </c>
      <c r="B229" s="6" t="s">
        <v>238</v>
      </c>
      <c r="C229" t="s">
        <v>58</v>
      </c>
      <c r="D229" t="s">
        <v>35</v>
      </c>
      <c r="E229" t="s">
        <v>77</v>
      </c>
      <c r="F229">
        <v>40</v>
      </c>
      <c r="G229">
        <v>50576</v>
      </c>
      <c r="H229">
        <v>12</v>
      </c>
      <c r="I229">
        <v>28</v>
      </c>
      <c r="J229">
        <v>2278752.2599999998</v>
      </c>
      <c r="K229" t="s">
        <v>46</v>
      </c>
      <c r="L229" t="s">
        <v>26</v>
      </c>
      <c r="M229" s="7">
        <v>45747</v>
      </c>
      <c r="N229" s="7">
        <v>45757</v>
      </c>
      <c r="O229" s="8">
        <v>10</v>
      </c>
      <c r="P229" t="str">
        <f t="shared" si="3"/>
        <v>Delayed</v>
      </c>
    </row>
    <row r="230" spans="1:16" x14ac:dyDescent="0.3">
      <c r="A230" t="s">
        <v>181</v>
      </c>
      <c r="B230" s="6" t="s">
        <v>242</v>
      </c>
      <c r="C230" t="s">
        <v>12</v>
      </c>
      <c r="D230" t="s">
        <v>44</v>
      </c>
      <c r="E230" t="s">
        <v>51</v>
      </c>
      <c r="F230">
        <v>14</v>
      </c>
      <c r="G230">
        <v>57443</v>
      </c>
      <c r="H230">
        <v>5</v>
      </c>
      <c r="I230">
        <v>12</v>
      </c>
      <c r="J230">
        <v>855670.93</v>
      </c>
      <c r="K230" t="s">
        <v>21</v>
      </c>
      <c r="L230" t="s">
        <v>26</v>
      </c>
      <c r="M230" s="7">
        <v>45671</v>
      </c>
      <c r="N230" s="7">
        <v>45681</v>
      </c>
      <c r="O230" s="8">
        <v>10</v>
      </c>
      <c r="P230" t="str">
        <f t="shared" si="3"/>
        <v>Delayed</v>
      </c>
    </row>
    <row r="231" spans="1:16" x14ac:dyDescent="0.3">
      <c r="A231" t="s">
        <v>99</v>
      </c>
      <c r="B231" s="6" t="s">
        <v>246</v>
      </c>
      <c r="C231" t="s">
        <v>80</v>
      </c>
      <c r="D231" t="s">
        <v>24</v>
      </c>
      <c r="E231" t="s">
        <v>25</v>
      </c>
      <c r="F231">
        <v>2</v>
      </c>
      <c r="G231">
        <v>39474</v>
      </c>
      <c r="H231">
        <v>5</v>
      </c>
      <c r="I231">
        <v>12</v>
      </c>
      <c r="J231">
        <v>84000.67</v>
      </c>
      <c r="K231" t="s">
        <v>37</v>
      </c>
      <c r="L231" t="s">
        <v>33</v>
      </c>
      <c r="M231" s="7">
        <v>45752</v>
      </c>
      <c r="N231" s="7">
        <v>45767</v>
      </c>
      <c r="O231" s="8">
        <v>15</v>
      </c>
      <c r="P231" t="str">
        <f t="shared" si="3"/>
        <v>Delayed</v>
      </c>
    </row>
    <row r="232" spans="1:16" x14ac:dyDescent="0.3">
      <c r="A232" t="s">
        <v>173</v>
      </c>
      <c r="B232" s="6" t="s">
        <v>246</v>
      </c>
      <c r="C232" t="s">
        <v>80</v>
      </c>
      <c r="D232" t="s">
        <v>44</v>
      </c>
      <c r="E232" t="s">
        <v>51</v>
      </c>
      <c r="F232">
        <v>33</v>
      </c>
      <c r="G232">
        <v>72674</v>
      </c>
      <c r="H232">
        <v>10</v>
      </c>
      <c r="I232">
        <v>18</v>
      </c>
      <c r="J232">
        <v>2546933</v>
      </c>
      <c r="K232" t="s">
        <v>21</v>
      </c>
      <c r="L232" t="s">
        <v>16</v>
      </c>
      <c r="M232" s="7">
        <v>45703</v>
      </c>
      <c r="N232" s="7">
        <v>45716</v>
      </c>
      <c r="O232" s="8">
        <v>13</v>
      </c>
      <c r="P232" t="str">
        <f t="shared" si="3"/>
        <v>Delayed</v>
      </c>
    </row>
    <row r="233" spans="1:16" x14ac:dyDescent="0.3">
      <c r="A233" t="s">
        <v>123</v>
      </c>
      <c r="B233" s="6" t="s">
        <v>246</v>
      </c>
      <c r="C233" t="s">
        <v>80</v>
      </c>
      <c r="D233" t="s">
        <v>44</v>
      </c>
      <c r="E233" t="s">
        <v>45</v>
      </c>
      <c r="F233">
        <v>8</v>
      </c>
      <c r="G233">
        <v>17255</v>
      </c>
      <c r="H233">
        <v>10</v>
      </c>
      <c r="I233">
        <v>18</v>
      </c>
      <c r="J233">
        <v>146598.48000000001</v>
      </c>
      <c r="K233" t="s">
        <v>37</v>
      </c>
      <c r="L233" t="s">
        <v>33</v>
      </c>
      <c r="M233" s="7">
        <v>45735</v>
      </c>
      <c r="N233" s="7">
        <v>45745</v>
      </c>
      <c r="O233" s="8">
        <v>10</v>
      </c>
      <c r="P233" t="str">
        <f t="shared" si="3"/>
        <v>Delayed</v>
      </c>
    </row>
    <row r="234" spans="1:16" x14ac:dyDescent="0.3">
      <c r="A234" t="s">
        <v>96</v>
      </c>
      <c r="B234" s="6" t="s">
        <v>244</v>
      </c>
      <c r="C234" t="s">
        <v>70</v>
      </c>
      <c r="D234" t="s">
        <v>44</v>
      </c>
      <c r="E234" t="s">
        <v>51</v>
      </c>
      <c r="F234">
        <v>16</v>
      </c>
      <c r="G234">
        <v>38909</v>
      </c>
      <c r="H234">
        <v>12</v>
      </c>
      <c r="I234">
        <v>28</v>
      </c>
      <c r="J234">
        <v>701233.56</v>
      </c>
      <c r="K234" t="s">
        <v>37</v>
      </c>
      <c r="L234" t="s">
        <v>38</v>
      </c>
      <c r="M234" s="7">
        <v>45746</v>
      </c>
      <c r="N234" s="7">
        <v>45758</v>
      </c>
      <c r="O234" s="8">
        <v>12</v>
      </c>
      <c r="P234" t="str">
        <f t="shared" si="3"/>
        <v>Delayed</v>
      </c>
    </row>
    <row r="235" spans="1:16" x14ac:dyDescent="0.3">
      <c r="A235" t="s">
        <v>132</v>
      </c>
      <c r="B235" s="6" t="s">
        <v>245</v>
      </c>
      <c r="C235" t="s">
        <v>18</v>
      </c>
      <c r="D235" t="s">
        <v>29</v>
      </c>
      <c r="E235" t="s">
        <v>30</v>
      </c>
      <c r="F235">
        <v>32</v>
      </c>
      <c r="G235">
        <v>82724</v>
      </c>
      <c r="H235">
        <v>10</v>
      </c>
      <c r="I235">
        <v>18</v>
      </c>
      <c r="J235">
        <v>2811292.42</v>
      </c>
      <c r="K235" t="s">
        <v>46</v>
      </c>
      <c r="L235" t="s">
        <v>26</v>
      </c>
      <c r="M235" s="7">
        <v>45673</v>
      </c>
      <c r="N235" s="7">
        <v>45673</v>
      </c>
      <c r="O235" s="8">
        <v>0</v>
      </c>
      <c r="P235" t="str">
        <f t="shared" si="3"/>
        <v>Delivered</v>
      </c>
    </row>
    <row r="236" spans="1:16" x14ac:dyDescent="0.3">
      <c r="A236" t="s">
        <v>108</v>
      </c>
      <c r="B236" s="6" t="s">
        <v>244</v>
      </c>
      <c r="C236" t="s">
        <v>70</v>
      </c>
      <c r="D236" t="s">
        <v>13</v>
      </c>
      <c r="E236" t="s">
        <v>32</v>
      </c>
      <c r="F236">
        <v>13</v>
      </c>
      <c r="G236">
        <v>34414</v>
      </c>
      <c r="H236">
        <v>12</v>
      </c>
      <c r="I236">
        <v>12</v>
      </c>
      <c r="J236">
        <v>440939.7</v>
      </c>
      <c r="K236" t="s">
        <v>15</v>
      </c>
      <c r="L236" t="s">
        <v>38</v>
      </c>
      <c r="M236" s="7">
        <v>45749</v>
      </c>
      <c r="N236" s="7">
        <v>45757</v>
      </c>
      <c r="O236" s="8">
        <v>8</v>
      </c>
      <c r="P236" t="str">
        <f t="shared" si="3"/>
        <v>Delayed</v>
      </c>
    </row>
    <row r="237" spans="1:16" x14ac:dyDescent="0.3">
      <c r="A237" t="s">
        <v>89</v>
      </c>
      <c r="B237" s="6" t="s">
        <v>245</v>
      </c>
      <c r="C237" t="s">
        <v>18</v>
      </c>
      <c r="D237" t="s">
        <v>13</v>
      </c>
      <c r="E237" t="s">
        <v>14</v>
      </c>
      <c r="F237">
        <v>36</v>
      </c>
      <c r="G237">
        <v>1551</v>
      </c>
      <c r="H237">
        <v>5</v>
      </c>
      <c r="I237">
        <v>12</v>
      </c>
      <c r="J237">
        <v>59409.5</v>
      </c>
      <c r="K237" t="s">
        <v>15</v>
      </c>
      <c r="L237" t="s">
        <v>16</v>
      </c>
      <c r="M237" s="7">
        <v>45697</v>
      </c>
      <c r="N237" s="7">
        <v>45707</v>
      </c>
      <c r="O237" s="8">
        <v>10</v>
      </c>
      <c r="P237" t="str">
        <f t="shared" si="3"/>
        <v>Delayed</v>
      </c>
    </row>
    <row r="238" spans="1:16" x14ac:dyDescent="0.3">
      <c r="A238" t="s">
        <v>90</v>
      </c>
      <c r="B238" s="6" t="s">
        <v>239</v>
      </c>
      <c r="C238" t="s">
        <v>23</v>
      </c>
      <c r="D238" t="s">
        <v>35</v>
      </c>
      <c r="E238" t="s">
        <v>36</v>
      </c>
      <c r="F238">
        <v>4</v>
      </c>
      <c r="G238">
        <v>14770</v>
      </c>
      <c r="H238">
        <v>10</v>
      </c>
      <c r="I238">
        <v>18</v>
      </c>
      <c r="J238">
        <v>62742.96</v>
      </c>
      <c r="K238" t="s">
        <v>37</v>
      </c>
      <c r="L238" t="s">
        <v>38</v>
      </c>
      <c r="M238" s="7">
        <v>45692</v>
      </c>
      <c r="N238" s="7">
        <v>45707</v>
      </c>
      <c r="O238" s="8">
        <v>15</v>
      </c>
      <c r="P238" t="str">
        <f t="shared" si="3"/>
        <v>Delayed</v>
      </c>
    </row>
    <row r="239" spans="1:16" x14ac:dyDescent="0.3">
      <c r="A239" t="s">
        <v>182</v>
      </c>
      <c r="B239" s="6" t="s">
        <v>242</v>
      </c>
      <c r="C239" t="s">
        <v>12</v>
      </c>
      <c r="D239" t="s">
        <v>13</v>
      </c>
      <c r="E239" t="s">
        <v>32</v>
      </c>
      <c r="F239">
        <v>4</v>
      </c>
      <c r="G239">
        <v>6114</v>
      </c>
      <c r="H239">
        <v>10</v>
      </c>
      <c r="I239">
        <v>12</v>
      </c>
      <c r="J239">
        <v>24651.65</v>
      </c>
      <c r="K239" t="s">
        <v>15</v>
      </c>
      <c r="L239" t="s">
        <v>26</v>
      </c>
      <c r="M239" s="7">
        <v>45848</v>
      </c>
      <c r="N239" s="7">
        <v>45858</v>
      </c>
      <c r="O239" s="8">
        <v>10</v>
      </c>
      <c r="P239" t="str">
        <f t="shared" si="3"/>
        <v>Delayed</v>
      </c>
    </row>
    <row r="240" spans="1:16" x14ac:dyDescent="0.3">
      <c r="A240" t="s">
        <v>183</v>
      </c>
      <c r="B240" s="6" t="s">
        <v>242</v>
      </c>
      <c r="C240" t="s">
        <v>12</v>
      </c>
      <c r="D240" t="s">
        <v>44</v>
      </c>
      <c r="E240" t="s">
        <v>45</v>
      </c>
      <c r="F240">
        <v>36</v>
      </c>
      <c r="G240">
        <v>46982</v>
      </c>
      <c r="H240">
        <v>0</v>
      </c>
      <c r="I240">
        <v>18</v>
      </c>
      <c r="J240">
        <v>1995795.36</v>
      </c>
      <c r="K240" t="s">
        <v>46</v>
      </c>
      <c r="L240" t="s">
        <v>26</v>
      </c>
      <c r="M240" s="7">
        <v>45734</v>
      </c>
      <c r="N240" s="7">
        <v>45735</v>
      </c>
      <c r="O240" s="8">
        <v>1</v>
      </c>
      <c r="P240" t="str">
        <f t="shared" si="3"/>
        <v>On Delivery</v>
      </c>
    </row>
    <row r="241" spans="1:16" x14ac:dyDescent="0.3">
      <c r="A241" t="s">
        <v>86</v>
      </c>
      <c r="B241" s="6" t="s">
        <v>245</v>
      </c>
      <c r="C241" t="s">
        <v>18</v>
      </c>
      <c r="D241" t="s">
        <v>44</v>
      </c>
      <c r="E241" t="s">
        <v>45</v>
      </c>
      <c r="F241">
        <v>23</v>
      </c>
      <c r="G241">
        <v>69216</v>
      </c>
      <c r="H241">
        <v>0</v>
      </c>
      <c r="I241">
        <v>18</v>
      </c>
      <c r="J241">
        <v>1878522.24</v>
      </c>
      <c r="K241" t="s">
        <v>37</v>
      </c>
      <c r="L241" t="s">
        <v>38</v>
      </c>
      <c r="M241" s="7">
        <v>45803</v>
      </c>
      <c r="N241" s="7">
        <v>45806</v>
      </c>
      <c r="O241" s="8">
        <v>3</v>
      </c>
      <c r="P241" t="str">
        <f t="shared" si="3"/>
        <v>On Delivery</v>
      </c>
    </row>
    <row r="242" spans="1:16" x14ac:dyDescent="0.3">
      <c r="A242" t="s">
        <v>122</v>
      </c>
      <c r="B242" s="6" t="s">
        <v>242</v>
      </c>
      <c r="C242" t="s">
        <v>12</v>
      </c>
      <c r="D242" t="s">
        <v>24</v>
      </c>
      <c r="E242" t="s">
        <v>76</v>
      </c>
      <c r="F242">
        <v>30</v>
      </c>
      <c r="G242">
        <v>69813</v>
      </c>
      <c r="H242">
        <v>0</v>
      </c>
      <c r="I242">
        <v>18</v>
      </c>
      <c r="J242">
        <v>2471380.2000000002</v>
      </c>
      <c r="K242" t="s">
        <v>21</v>
      </c>
      <c r="L242" t="s">
        <v>38</v>
      </c>
      <c r="M242" s="7">
        <v>45727</v>
      </c>
      <c r="N242" s="7">
        <v>45737</v>
      </c>
      <c r="O242" s="8">
        <v>10</v>
      </c>
      <c r="P242" t="str">
        <f t="shared" si="3"/>
        <v>Delayed</v>
      </c>
    </row>
    <row r="243" spans="1:16" x14ac:dyDescent="0.3">
      <c r="A243" t="s">
        <v>74</v>
      </c>
      <c r="B243" s="6" t="s">
        <v>238</v>
      </c>
      <c r="C243" t="s">
        <v>58</v>
      </c>
      <c r="D243" t="s">
        <v>62</v>
      </c>
      <c r="E243" t="s">
        <v>63</v>
      </c>
      <c r="F243">
        <v>4</v>
      </c>
      <c r="G243">
        <v>23044</v>
      </c>
      <c r="H243">
        <v>12</v>
      </c>
      <c r="I243">
        <v>12</v>
      </c>
      <c r="J243">
        <v>90848.67</v>
      </c>
      <c r="K243" t="s">
        <v>37</v>
      </c>
      <c r="L243" t="s">
        <v>33</v>
      </c>
      <c r="M243" s="7">
        <v>45837</v>
      </c>
      <c r="N243" s="7">
        <v>45843</v>
      </c>
      <c r="O243" s="8">
        <v>6</v>
      </c>
      <c r="P243" t="str">
        <f t="shared" si="3"/>
        <v>Delayed</v>
      </c>
    </row>
    <row r="244" spans="1:16" x14ac:dyDescent="0.3">
      <c r="A244" t="s">
        <v>169</v>
      </c>
      <c r="B244" s="6" t="s">
        <v>243</v>
      </c>
      <c r="C244" t="s">
        <v>53</v>
      </c>
      <c r="D244" t="s">
        <v>24</v>
      </c>
      <c r="E244" t="s">
        <v>76</v>
      </c>
      <c r="F244">
        <v>33</v>
      </c>
      <c r="G244">
        <v>14248</v>
      </c>
      <c r="H244">
        <v>12</v>
      </c>
      <c r="I244">
        <v>28</v>
      </c>
      <c r="J244">
        <v>529615.26</v>
      </c>
      <c r="K244" t="s">
        <v>21</v>
      </c>
      <c r="L244" t="s">
        <v>38</v>
      </c>
      <c r="M244" s="7">
        <v>45691</v>
      </c>
      <c r="N244" s="7">
        <v>45699</v>
      </c>
      <c r="O244" s="8">
        <v>8</v>
      </c>
      <c r="P244" t="str">
        <f t="shared" si="3"/>
        <v>Delayed</v>
      </c>
    </row>
    <row r="245" spans="1:16" x14ac:dyDescent="0.3">
      <c r="A245" t="s">
        <v>97</v>
      </c>
      <c r="B245" s="6" t="s">
        <v>245</v>
      </c>
      <c r="C245" t="s">
        <v>18</v>
      </c>
      <c r="D245" t="s">
        <v>19</v>
      </c>
      <c r="E245" t="s">
        <v>20</v>
      </c>
      <c r="F245">
        <v>8</v>
      </c>
      <c r="G245">
        <v>51975</v>
      </c>
      <c r="H245">
        <v>12</v>
      </c>
      <c r="I245">
        <v>12</v>
      </c>
      <c r="J245">
        <v>409812.47999999998</v>
      </c>
      <c r="K245" t="s">
        <v>15</v>
      </c>
      <c r="L245" t="s">
        <v>33</v>
      </c>
      <c r="M245" s="7">
        <v>45797</v>
      </c>
      <c r="N245" s="7">
        <v>45799</v>
      </c>
      <c r="O245" s="8">
        <v>2</v>
      </c>
      <c r="P245" t="str">
        <f t="shared" si="3"/>
        <v>On Delivery</v>
      </c>
    </row>
    <row r="246" spans="1:16" x14ac:dyDescent="0.3">
      <c r="A246" t="s">
        <v>184</v>
      </c>
      <c r="B246" s="6" t="s">
        <v>240</v>
      </c>
      <c r="C246" t="s">
        <v>28</v>
      </c>
      <c r="D246" t="s">
        <v>24</v>
      </c>
      <c r="E246" t="s">
        <v>76</v>
      </c>
      <c r="F246">
        <v>33</v>
      </c>
      <c r="G246">
        <v>27521</v>
      </c>
      <c r="H246">
        <v>5</v>
      </c>
      <c r="I246">
        <v>28</v>
      </c>
      <c r="J246">
        <v>1104362.69</v>
      </c>
      <c r="K246" t="s">
        <v>46</v>
      </c>
      <c r="L246" t="s">
        <v>33</v>
      </c>
      <c r="M246" s="7">
        <v>45765</v>
      </c>
      <c r="N246" s="7">
        <v>45765</v>
      </c>
      <c r="O246" s="8">
        <v>0</v>
      </c>
      <c r="P246" t="str">
        <f t="shared" si="3"/>
        <v>Delivered</v>
      </c>
    </row>
    <row r="247" spans="1:16" x14ac:dyDescent="0.3">
      <c r="A247" t="s">
        <v>185</v>
      </c>
      <c r="B247" s="6" t="s">
        <v>238</v>
      </c>
      <c r="C247" t="s">
        <v>58</v>
      </c>
      <c r="D247" t="s">
        <v>44</v>
      </c>
      <c r="E247" t="s">
        <v>45</v>
      </c>
      <c r="F247">
        <v>11</v>
      </c>
      <c r="G247">
        <v>64287</v>
      </c>
      <c r="H247">
        <v>10</v>
      </c>
      <c r="I247">
        <v>18</v>
      </c>
      <c r="J247">
        <v>751000.73</v>
      </c>
      <c r="K247" t="s">
        <v>46</v>
      </c>
      <c r="L247" t="s">
        <v>26</v>
      </c>
      <c r="M247" s="7">
        <v>45708</v>
      </c>
      <c r="N247" s="7">
        <v>45712</v>
      </c>
      <c r="O247" s="8">
        <v>4</v>
      </c>
      <c r="P247" t="str">
        <f t="shared" si="3"/>
        <v>Delayed</v>
      </c>
    </row>
    <row r="248" spans="1:16" x14ac:dyDescent="0.3">
      <c r="A248" t="s">
        <v>161</v>
      </c>
      <c r="B248" s="6" t="s">
        <v>241</v>
      </c>
      <c r="C248" t="s">
        <v>42</v>
      </c>
      <c r="D248" t="s">
        <v>48</v>
      </c>
      <c r="E248" t="s">
        <v>49</v>
      </c>
      <c r="F248">
        <v>3</v>
      </c>
      <c r="G248">
        <v>6429</v>
      </c>
      <c r="H248">
        <v>5</v>
      </c>
      <c r="I248">
        <v>12</v>
      </c>
      <c r="J248">
        <v>20521.37</v>
      </c>
      <c r="K248" t="s">
        <v>46</v>
      </c>
      <c r="L248" t="s">
        <v>26</v>
      </c>
      <c r="M248" s="7">
        <v>45723</v>
      </c>
      <c r="N248" s="7">
        <v>45730</v>
      </c>
      <c r="O248" s="8">
        <v>7</v>
      </c>
      <c r="P248" t="str">
        <f t="shared" si="3"/>
        <v>Delayed</v>
      </c>
    </row>
    <row r="249" spans="1:16" x14ac:dyDescent="0.3">
      <c r="A249" t="s">
        <v>156</v>
      </c>
      <c r="B249" s="6" t="s">
        <v>242</v>
      </c>
      <c r="C249" t="s">
        <v>12</v>
      </c>
      <c r="D249" t="s">
        <v>13</v>
      </c>
      <c r="E249" t="s">
        <v>32</v>
      </c>
      <c r="F249">
        <v>35</v>
      </c>
      <c r="G249">
        <v>27955</v>
      </c>
      <c r="H249">
        <v>0</v>
      </c>
      <c r="I249">
        <v>12</v>
      </c>
      <c r="J249">
        <v>1095836</v>
      </c>
      <c r="K249" t="s">
        <v>21</v>
      </c>
      <c r="L249" t="s">
        <v>16</v>
      </c>
      <c r="M249" s="7">
        <v>45826</v>
      </c>
      <c r="N249" s="7">
        <v>45832</v>
      </c>
      <c r="O249" s="8">
        <v>6</v>
      </c>
      <c r="P249" t="str">
        <f t="shared" si="3"/>
        <v>Delayed</v>
      </c>
    </row>
    <row r="250" spans="1:16" x14ac:dyDescent="0.3">
      <c r="A250" t="s">
        <v>151</v>
      </c>
      <c r="B250" s="6" t="s">
        <v>240</v>
      </c>
      <c r="C250" t="s">
        <v>28</v>
      </c>
      <c r="D250" t="s">
        <v>35</v>
      </c>
      <c r="E250" t="s">
        <v>77</v>
      </c>
      <c r="F250">
        <v>29</v>
      </c>
      <c r="G250">
        <v>14969</v>
      </c>
      <c r="H250">
        <v>5</v>
      </c>
      <c r="I250">
        <v>18</v>
      </c>
      <c r="J250">
        <v>486627.22</v>
      </c>
      <c r="K250" t="s">
        <v>15</v>
      </c>
      <c r="L250" t="s">
        <v>26</v>
      </c>
      <c r="M250" s="7">
        <v>45815</v>
      </c>
      <c r="N250" s="7">
        <v>45824</v>
      </c>
      <c r="O250" s="8">
        <v>9</v>
      </c>
      <c r="P250" t="str">
        <f t="shared" si="3"/>
        <v>Delayed</v>
      </c>
    </row>
    <row r="251" spans="1:16" x14ac:dyDescent="0.3">
      <c r="A251" t="s">
        <v>55</v>
      </c>
      <c r="B251" s="6" t="s">
        <v>240</v>
      </c>
      <c r="C251" t="s">
        <v>28</v>
      </c>
      <c r="D251" t="s">
        <v>24</v>
      </c>
      <c r="E251" t="s">
        <v>40</v>
      </c>
      <c r="F251">
        <v>25</v>
      </c>
      <c r="G251">
        <v>81160</v>
      </c>
      <c r="H251">
        <v>0</v>
      </c>
      <c r="I251">
        <v>18</v>
      </c>
      <c r="J251">
        <v>2394220</v>
      </c>
      <c r="K251" t="s">
        <v>15</v>
      </c>
      <c r="L251" t="s">
        <v>33</v>
      </c>
      <c r="M251" s="7">
        <v>45759</v>
      </c>
      <c r="N251" s="7">
        <v>45772</v>
      </c>
      <c r="O251" s="8">
        <v>13</v>
      </c>
      <c r="P251" t="str">
        <f t="shared" si="3"/>
        <v>Delayed</v>
      </c>
    </row>
    <row r="252" spans="1:16" x14ac:dyDescent="0.3">
      <c r="A252" t="s">
        <v>101</v>
      </c>
      <c r="B252" s="6" t="s">
        <v>238</v>
      </c>
      <c r="C252" t="s">
        <v>58</v>
      </c>
      <c r="D252" t="s">
        <v>24</v>
      </c>
      <c r="E252" t="s">
        <v>40</v>
      </c>
      <c r="F252">
        <v>4</v>
      </c>
      <c r="G252">
        <v>35912</v>
      </c>
      <c r="H252">
        <v>10</v>
      </c>
      <c r="I252">
        <v>28</v>
      </c>
      <c r="J252">
        <v>165482.5</v>
      </c>
      <c r="K252" t="s">
        <v>46</v>
      </c>
      <c r="L252" t="s">
        <v>16</v>
      </c>
      <c r="M252" s="7">
        <v>45724</v>
      </c>
      <c r="N252" s="7">
        <v>45727</v>
      </c>
      <c r="O252" s="8">
        <v>3</v>
      </c>
      <c r="P252" t="str">
        <f t="shared" si="3"/>
        <v>On Delivery</v>
      </c>
    </row>
    <row r="253" spans="1:16" x14ac:dyDescent="0.3">
      <c r="A253" t="s">
        <v>17</v>
      </c>
      <c r="B253" s="6" t="s">
        <v>245</v>
      </c>
      <c r="C253" t="s">
        <v>18</v>
      </c>
      <c r="D253" t="s">
        <v>62</v>
      </c>
      <c r="E253" t="s">
        <v>63</v>
      </c>
      <c r="F253">
        <v>5</v>
      </c>
      <c r="G253">
        <v>8990</v>
      </c>
      <c r="H253">
        <v>12</v>
      </c>
      <c r="I253">
        <v>18</v>
      </c>
      <c r="J253">
        <v>46676.08</v>
      </c>
      <c r="K253" t="s">
        <v>46</v>
      </c>
      <c r="L253" t="s">
        <v>16</v>
      </c>
      <c r="M253" s="7">
        <v>45817</v>
      </c>
      <c r="N253" s="7">
        <v>45825</v>
      </c>
      <c r="O253" s="8">
        <v>8</v>
      </c>
      <c r="P253" t="str">
        <f t="shared" si="3"/>
        <v>Delayed</v>
      </c>
    </row>
    <row r="254" spans="1:16" x14ac:dyDescent="0.3">
      <c r="A254" t="s">
        <v>186</v>
      </c>
      <c r="B254" s="6" t="s">
        <v>243</v>
      </c>
      <c r="C254" t="s">
        <v>53</v>
      </c>
      <c r="D254" t="s">
        <v>48</v>
      </c>
      <c r="E254" t="s">
        <v>59</v>
      </c>
      <c r="F254">
        <v>5</v>
      </c>
      <c r="G254">
        <v>17824</v>
      </c>
      <c r="H254">
        <v>12</v>
      </c>
      <c r="I254">
        <v>12</v>
      </c>
      <c r="J254">
        <v>87836.67</v>
      </c>
      <c r="K254" t="s">
        <v>46</v>
      </c>
      <c r="L254" t="s">
        <v>33</v>
      </c>
      <c r="M254" s="7">
        <v>45741</v>
      </c>
      <c r="N254" s="7">
        <v>45742</v>
      </c>
      <c r="O254" s="8">
        <v>1</v>
      </c>
      <c r="P254" t="str">
        <f t="shared" si="3"/>
        <v>On Delivery</v>
      </c>
    </row>
    <row r="255" spans="1:16" x14ac:dyDescent="0.3">
      <c r="A255" t="s">
        <v>185</v>
      </c>
      <c r="B255" s="6" t="s">
        <v>243</v>
      </c>
      <c r="C255" t="s">
        <v>53</v>
      </c>
      <c r="D255" t="s">
        <v>62</v>
      </c>
      <c r="E255" t="s">
        <v>63</v>
      </c>
      <c r="F255">
        <v>1</v>
      </c>
      <c r="G255">
        <v>15361</v>
      </c>
      <c r="H255">
        <v>12</v>
      </c>
      <c r="I255">
        <v>18</v>
      </c>
      <c r="J255">
        <v>15950.86</v>
      </c>
      <c r="K255" t="s">
        <v>21</v>
      </c>
      <c r="L255" t="s">
        <v>33</v>
      </c>
      <c r="M255" s="7">
        <v>45709</v>
      </c>
      <c r="N255" s="7">
        <v>45716</v>
      </c>
      <c r="O255" s="8">
        <v>7</v>
      </c>
      <c r="P255" t="str">
        <f t="shared" si="3"/>
        <v>Delayed</v>
      </c>
    </row>
    <row r="256" spans="1:16" x14ac:dyDescent="0.3">
      <c r="A256" t="s">
        <v>34</v>
      </c>
      <c r="B256" s="6" t="s">
        <v>246</v>
      </c>
      <c r="C256" t="s">
        <v>80</v>
      </c>
      <c r="D256" t="s">
        <v>62</v>
      </c>
      <c r="E256" t="s">
        <v>92</v>
      </c>
      <c r="F256">
        <v>23</v>
      </c>
      <c r="G256">
        <v>66514</v>
      </c>
      <c r="H256">
        <v>0</v>
      </c>
      <c r="I256">
        <v>28</v>
      </c>
      <c r="J256">
        <v>1958172.16</v>
      </c>
      <c r="K256" t="s">
        <v>15</v>
      </c>
      <c r="L256" t="s">
        <v>33</v>
      </c>
      <c r="M256" s="7">
        <v>45786</v>
      </c>
      <c r="N256" s="7">
        <v>45796</v>
      </c>
      <c r="O256" s="8">
        <v>10</v>
      </c>
      <c r="P256" t="str">
        <f t="shared" si="3"/>
        <v>Delayed</v>
      </c>
    </row>
    <row r="257" spans="1:16" x14ac:dyDescent="0.3">
      <c r="A257" t="s">
        <v>81</v>
      </c>
      <c r="B257" s="6" t="s">
        <v>246</v>
      </c>
      <c r="C257" t="s">
        <v>80</v>
      </c>
      <c r="D257" t="s">
        <v>48</v>
      </c>
      <c r="E257" t="s">
        <v>49</v>
      </c>
      <c r="F257">
        <v>20</v>
      </c>
      <c r="G257">
        <v>46729</v>
      </c>
      <c r="H257">
        <v>12</v>
      </c>
      <c r="I257">
        <v>28</v>
      </c>
      <c r="J257">
        <v>1052710.9099999999</v>
      </c>
      <c r="K257" t="s">
        <v>21</v>
      </c>
      <c r="L257" t="s">
        <v>26</v>
      </c>
      <c r="M257" s="7">
        <v>45754</v>
      </c>
      <c r="N257" s="7">
        <v>45765</v>
      </c>
      <c r="O257" s="8">
        <v>11</v>
      </c>
      <c r="P257" t="str">
        <f t="shared" si="3"/>
        <v>Delayed</v>
      </c>
    </row>
    <row r="258" spans="1:16" x14ac:dyDescent="0.3">
      <c r="A258" t="s">
        <v>167</v>
      </c>
      <c r="B258" s="6" t="s">
        <v>239</v>
      </c>
      <c r="C258" t="s">
        <v>23</v>
      </c>
      <c r="D258" t="s">
        <v>24</v>
      </c>
      <c r="E258" t="s">
        <v>40</v>
      </c>
      <c r="F258">
        <v>15</v>
      </c>
      <c r="G258">
        <v>81090</v>
      </c>
      <c r="H258">
        <v>12</v>
      </c>
      <c r="I258">
        <v>12</v>
      </c>
      <c r="J258">
        <v>1198834.56</v>
      </c>
      <c r="K258" t="s">
        <v>15</v>
      </c>
      <c r="L258" t="s">
        <v>33</v>
      </c>
      <c r="M258" s="7">
        <v>45831</v>
      </c>
      <c r="N258" s="7">
        <v>45846</v>
      </c>
      <c r="O258" s="8">
        <v>15</v>
      </c>
      <c r="P258" t="str">
        <f t="shared" ref="P258:P321" si="4">IF(O258="","Pending",IF(O258=0,"Delivered",IF(O258&lt;=3,"On Delivery","Delayed")))</f>
        <v>Delayed</v>
      </c>
    </row>
    <row r="259" spans="1:16" x14ac:dyDescent="0.3">
      <c r="A259" t="s">
        <v>17</v>
      </c>
      <c r="B259" s="6" t="s">
        <v>243</v>
      </c>
      <c r="C259" t="s">
        <v>53</v>
      </c>
      <c r="D259" t="s">
        <v>24</v>
      </c>
      <c r="E259" t="s">
        <v>76</v>
      </c>
      <c r="F259">
        <v>29</v>
      </c>
      <c r="G259">
        <v>51870</v>
      </c>
      <c r="H259">
        <v>12</v>
      </c>
      <c r="I259">
        <v>12</v>
      </c>
      <c r="J259">
        <v>1482569.09</v>
      </c>
      <c r="K259" t="s">
        <v>15</v>
      </c>
      <c r="L259" t="s">
        <v>26</v>
      </c>
      <c r="M259" s="7">
        <v>45821</v>
      </c>
      <c r="N259" s="7">
        <v>45836</v>
      </c>
      <c r="O259" s="8">
        <v>15</v>
      </c>
      <c r="P259" t="str">
        <f t="shared" si="4"/>
        <v>Delayed</v>
      </c>
    </row>
    <row r="260" spans="1:16" x14ac:dyDescent="0.3">
      <c r="A260" t="s">
        <v>97</v>
      </c>
      <c r="B260" s="6" t="s">
        <v>240</v>
      </c>
      <c r="C260" t="s">
        <v>28</v>
      </c>
      <c r="D260" t="s">
        <v>29</v>
      </c>
      <c r="E260" t="s">
        <v>30</v>
      </c>
      <c r="F260">
        <v>30</v>
      </c>
      <c r="G260">
        <v>75832</v>
      </c>
      <c r="H260">
        <v>10</v>
      </c>
      <c r="I260">
        <v>18</v>
      </c>
      <c r="J260">
        <v>2416007.52</v>
      </c>
      <c r="K260" t="s">
        <v>21</v>
      </c>
      <c r="L260" t="s">
        <v>26</v>
      </c>
      <c r="M260" s="7">
        <v>45797</v>
      </c>
      <c r="N260" s="7">
        <v>45805</v>
      </c>
      <c r="O260" s="8">
        <v>8</v>
      </c>
      <c r="P260" t="str">
        <f t="shared" si="4"/>
        <v>Delayed</v>
      </c>
    </row>
    <row r="261" spans="1:16" x14ac:dyDescent="0.3">
      <c r="A261" t="s">
        <v>187</v>
      </c>
      <c r="B261" s="6" t="s">
        <v>240</v>
      </c>
      <c r="C261" t="s">
        <v>28</v>
      </c>
      <c r="D261" t="s">
        <v>35</v>
      </c>
      <c r="E261" t="s">
        <v>77</v>
      </c>
      <c r="F261">
        <v>22</v>
      </c>
      <c r="G261">
        <v>65887</v>
      </c>
      <c r="H261">
        <v>0</v>
      </c>
      <c r="I261">
        <v>18</v>
      </c>
      <c r="J261">
        <v>1710426.52</v>
      </c>
      <c r="K261" t="s">
        <v>37</v>
      </c>
      <c r="L261" t="s">
        <v>16</v>
      </c>
      <c r="M261" s="7">
        <v>45666</v>
      </c>
      <c r="N261" s="7">
        <v>45681</v>
      </c>
      <c r="O261" s="8">
        <v>15</v>
      </c>
      <c r="P261" t="str">
        <f t="shared" si="4"/>
        <v>Delayed</v>
      </c>
    </row>
    <row r="262" spans="1:16" x14ac:dyDescent="0.3">
      <c r="A262" t="s">
        <v>88</v>
      </c>
      <c r="B262" s="6" t="s">
        <v>241</v>
      </c>
      <c r="C262" t="s">
        <v>42</v>
      </c>
      <c r="D262" t="s">
        <v>24</v>
      </c>
      <c r="E262" t="s">
        <v>76</v>
      </c>
      <c r="F262">
        <v>34</v>
      </c>
      <c r="G262">
        <v>6098</v>
      </c>
      <c r="H262">
        <v>10</v>
      </c>
      <c r="I262">
        <v>28</v>
      </c>
      <c r="J262">
        <v>238846.46</v>
      </c>
      <c r="K262" t="s">
        <v>21</v>
      </c>
      <c r="L262" t="s">
        <v>16</v>
      </c>
      <c r="M262" s="7">
        <v>45831</v>
      </c>
      <c r="N262" s="7">
        <v>45831</v>
      </c>
      <c r="O262" s="8">
        <v>0</v>
      </c>
      <c r="P262" t="str">
        <f t="shared" si="4"/>
        <v>Delivered</v>
      </c>
    </row>
    <row r="263" spans="1:16" x14ac:dyDescent="0.3">
      <c r="A263" t="s">
        <v>171</v>
      </c>
      <c r="B263" s="6" t="s">
        <v>244</v>
      </c>
      <c r="C263" t="s">
        <v>70</v>
      </c>
      <c r="D263" t="s">
        <v>48</v>
      </c>
      <c r="E263" t="s">
        <v>59</v>
      </c>
      <c r="F263">
        <v>6</v>
      </c>
      <c r="G263">
        <v>70933</v>
      </c>
      <c r="H263">
        <v>10</v>
      </c>
      <c r="I263">
        <v>28</v>
      </c>
      <c r="J263">
        <v>490288.9</v>
      </c>
      <c r="K263" t="s">
        <v>15</v>
      </c>
      <c r="L263" t="s">
        <v>26</v>
      </c>
      <c r="M263" s="7">
        <v>45724</v>
      </c>
      <c r="N263" s="7">
        <v>45735</v>
      </c>
      <c r="O263" s="8">
        <v>11</v>
      </c>
      <c r="P263" t="str">
        <f t="shared" si="4"/>
        <v>Delayed</v>
      </c>
    </row>
    <row r="264" spans="1:16" x14ac:dyDescent="0.3">
      <c r="A264" t="s">
        <v>95</v>
      </c>
      <c r="B264" s="6" t="s">
        <v>246</v>
      </c>
      <c r="C264" t="s">
        <v>80</v>
      </c>
      <c r="D264" t="s">
        <v>62</v>
      </c>
      <c r="E264" t="s">
        <v>63</v>
      </c>
      <c r="F264">
        <v>8</v>
      </c>
      <c r="G264">
        <v>34620</v>
      </c>
      <c r="H264">
        <v>12</v>
      </c>
      <c r="I264">
        <v>28</v>
      </c>
      <c r="J264">
        <v>311967.74</v>
      </c>
      <c r="K264" t="s">
        <v>37</v>
      </c>
      <c r="L264" t="s">
        <v>26</v>
      </c>
      <c r="M264" s="7">
        <v>45819</v>
      </c>
      <c r="N264" s="7">
        <v>45833</v>
      </c>
      <c r="O264" s="8">
        <v>14</v>
      </c>
      <c r="P264" t="str">
        <f t="shared" si="4"/>
        <v>Delayed</v>
      </c>
    </row>
    <row r="265" spans="1:16" x14ac:dyDescent="0.3">
      <c r="A265" t="s">
        <v>87</v>
      </c>
      <c r="B265" s="6" t="s">
        <v>241</v>
      </c>
      <c r="C265" t="s">
        <v>42</v>
      </c>
      <c r="D265" t="s">
        <v>35</v>
      </c>
      <c r="E265" t="s">
        <v>77</v>
      </c>
      <c r="F265">
        <v>34</v>
      </c>
      <c r="G265">
        <v>26316</v>
      </c>
      <c r="H265">
        <v>12</v>
      </c>
      <c r="I265">
        <v>12</v>
      </c>
      <c r="J265">
        <v>881859.69</v>
      </c>
      <c r="K265" t="s">
        <v>46</v>
      </c>
      <c r="L265" t="s">
        <v>38</v>
      </c>
      <c r="M265" s="7">
        <v>45808</v>
      </c>
      <c r="N265" s="7">
        <v>45819</v>
      </c>
      <c r="O265" s="8">
        <v>11</v>
      </c>
      <c r="P265" t="str">
        <f t="shared" si="4"/>
        <v>Delayed</v>
      </c>
    </row>
    <row r="266" spans="1:16" x14ac:dyDescent="0.3">
      <c r="A266" t="s">
        <v>179</v>
      </c>
      <c r="B266" s="6" t="s">
        <v>246</v>
      </c>
      <c r="C266" t="s">
        <v>80</v>
      </c>
      <c r="D266" t="s">
        <v>62</v>
      </c>
      <c r="E266" t="s">
        <v>63</v>
      </c>
      <c r="F266">
        <v>39</v>
      </c>
      <c r="G266">
        <v>34311</v>
      </c>
      <c r="H266">
        <v>5</v>
      </c>
      <c r="I266">
        <v>28</v>
      </c>
      <c r="J266">
        <v>1627164.86</v>
      </c>
      <c r="K266" t="s">
        <v>37</v>
      </c>
      <c r="L266" t="s">
        <v>33</v>
      </c>
      <c r="M266" s="7">
        <v>45839</v>
      </c>
      <c r="N266" s="7">
        <v>45851</v>
      </c>
      <c r="O266" s="8">
        <v>12</v>
      </c>
      <c r="P266" t="str">
        <f t="shared" si="4"/>
        <v>Delayed</v>
      </c>
    </row>
    <row r="267" spans="1:16" x14ac:dyDescent="0.3">
      <c r="A267" t="s">
        <v>101</v>
      </c>
      <c r="B267" s="6" t="s">
        <v>243</v>
      </c>
      <c r="C267" t="s">
        <v>53</v>
      </c>
      <c r="D267" t="s">
        <v>44</v>
      </c>
      <c r="E267" t="s">
        <v>51</v>
      </c>
      <c r="F267">
        <v>16</v>
      </c>
      <c r="G267">
        <v>82995</v>
      </c>
      <c r="H267">
        <v>10</v>
      </c>
      <c r="I267">
        <v>12</v>
      </c>
      <c r="J267">
        <v>1338543.3600000001</v>
      </c>
      <c r="K267" t="s">
        <v>21</v>
      </c>
      <c r="L267" t="s">
        <v>33</v>
      </c>
      <c r="M267" s="7">
        <v>45726</v>
      </c>
      <c r="N267" s="7">
        <v>45732</v>
      </c>
      <c r="O267" s="8">
        <v>6</v>
      </c>
      <c r="P267" t="str">
        <f t="shared" si="4"/>
        <v>Delayed</v>
      </c>
    </row>
    <row r="268" spans="1:16" x14ac:dyDescent="0.3">
      <c r="A268" t="s">
        <v>116</v>
      </c>
      <c r="B268" s="6" t="s">
        <v>244</v>
      </c>
      <c r="C268" t="s">
        <v>70</v>
      </c>
      <c r="D268" t="s">
        <v>35</v>
      </c>
      <c r="E268" t="s">
        <v>77</v>
      </c>
      <c r="F268">
        <v>12</v>
      </c>
      <c r="G268">
        <v>39630</v>
      </c>
      <c r="H268">
        <v>0</v>
      </c>
      <c r="I268">
        <v>18</v>
      </c>
      <c r="J268">
        <v>561160.80000000005</v>
      </c>
      <c r="K268" t="s">
        <v>21</v>
      </c>
      <c r="L268" t="s">
        <v>33</v>
      </c>
      <c r="M268" s="7">
        <v>45783</v>
      </c>
      <c r="N268" s="7">
        <v>45796</v>
      </c>
      <c r="O268" s="8">
        <v>13</v>
      </c>
      <c r="P268" t="str">
        <f t="shared" si="4"/>
        <v>Delayed</v>
      </c>
    </row>
    <row r="269" spans="1:16" x14ac:dyDescent="0.3">
      <c r="A269" t="s">
        <v>188</v>
      </c>
      <c r="B269" s="6" t="s">
        <v>238</v>
      </c>
      <c r="C269" t="s">
        <v>58</v>
      </c>
      <c r="D269" t="s">
        <v>13</v>
      </c>
      <c r="E269" t="s">
        <v>14</v>
      </c>
      <c r="F269">
        <v>24</v>
      </c>
      <c r="G269">
        <v>2847</v>
      </c>
      <c r="H269">
        <v>12</v>
      </c>
      <c r="I269">
        <v>28</v>
      </c>
      <c r="J269">
        <v>76964.66</v>
      </c>
      <c r="K269" t="s">
        <v>37</v>
      </c>
      <c r="L269" t="s">
        <v>26</v>
      </c>
      <c r="M269" s="7">
        <v>45821</v>
      </c>
      <c r="N269" s="7">
        <v>45830</v>
      </c>
      <c r="O269" s="8">
        <v>9</v>
      </c>
      <c r="P269" t="str">
        <f t="shared" si="4"/>
        <v>Delayed</v>
      </c>
    </row>
    <row r="270" spans="1:16" x14ac:dyDescent="0.3">
      <c r="A270" t="s">
        <v>129</v>
      </c>
      <c r="B270" s="6" t="s">
        <v>245</v>
      </c>
      <c r="C270" t="s">
        <v>18</v>
      </c>
      <c r="D270" t="s">
        <v>13</v>
      </c>
      <c r="E270" t="s">
        <v>14</v>
      </c>
      <c r="F270">
        <v>34</v>
      </c>
      <c r="G270">
        <v>64868</v>
      </c>
      <c r="H270">
        <v>10</v>
      </c>
      <c r="I270">
        <v>18</v>
      </c>
      <c r="J270">
        <v>2342253.7400000002</v>
      </c>
      <c r="K270" t="s">
        <v>46</v>
      </c>
      <c r="L270" t="s">
        <v>38</v>
      </c>
      <c r="M270" s="7">
        <v>45738</v>
      </c>
      <c r="N270" s="7">
        <v>45740</v>
      </c>
      <c r="O270" s="8">
        <v>2</v>
      </c>
      <c r="P270" t="str">
        <f t="shared" si="4"/>
        <v>On Delivery</v>
      </c>
    </row>
    <row r="271" spans="1:16" x14ac:dyDescent="0.3">
      <c r="A271" t="s">
        <v>189</v>
      </c>
      <c r="B271" s="6" t="s">
        <v>245</v>
      </c>
      <c r="C271" t="s">
        <v>18</v>
      </c>
      <c r="D271" t="s">
        <v>62</v>
      </c>
      <c r="E271" t="s">
        <v>63</v>
      </c>
      <c r="F271">
        <v>27</v>
      </c>
      <c r="G271">
        <v>3768</v>
      </c>
      <c r="H271">
        <v>5</v>
      </c>
      <c r="I271">
        <v>12</v>
      </c>
      <c r="J271">
        <v>108247.1</v>
      </c>
      <c r="K271" t="s">
        <v>46</v>
      </c>
      <c r="L271" t="s">
        <v>38</v>
      </c>
      <c r="M271" s="7">
        <v>45749</v>
      </c>
      <c r="N271" s="7">
        <v>45764</v>
      </c>
      <c r="O271" s="8">
        <v>15</v>
      </c>
      <c r="P271" t="str">
        <f t="shared" si="4"/>
        <v>Delayed</v>
      </c>
    </row>
    <row r="272" spans="1:16" x14ac:dyDescent="0.3">
      <c r="A272" t="s">
        <v>147</v>
      </c>
      <c r="B272" s="6" t="s">
        <v>239</v>
      </c>
      <c r="C272" t="s">
        <v>23</v>
      </c>
      <c r="D272" t="s">
        <v>35</v>
      </c>
      <c r="E272" t="s">
        <v>36</v>
      </c>
      <c r="F272">
        <v>34</v>
      </c>
      <c r="G272">
        <v>47973</v>
      </c>
      <c r="H272">
        <v>12</v>
      </c>
      <c r="I272">
        <v>18</v>
      </c>
      <c r="J272">
        <v>1693715.55</v>
      </c>
      <c r="K272" t="s">
        <v>46</v>
      </c>
      <c r="L272" t="s">
        <v>38</v>
      </c>
      <c r="M272" s="7">
        <v>45698</v>
      </c>
      <c r="N272" s="7">
        <v>45708</v>
      </c>
      <c r="O272" s="8">
        <v>10</v>
      </c>
      <c r="P272" t="str">
        <f t="shared" si="4"/>
        <v>Delayed</v>
      </c>
    </row>
    <row r="273" spans="1:16" x14ac:dyDescent="0.3">
      <c r="A273" t="s">
        <v>187</v>
      </c>
      <c r="B273" s="6" t="s">
        <v>246</v>
      </c>
      <c r="C273" t="s">
        <v>80</v>
      </c>
      <c r="D273" t="s">
        <v>62</v>
      </c>
      <c r="E273" t="s">
        <v>63</v>
      </c>
      <c r="F273">
        <v>26</v>
      </c>
      <c r="G273">
        <v>47532</v>
      </c>
      <c r="H273">
        <v>0</v>
      </c>
      <c r="I273">
        <v>28</v>
      </c>
      <c r="J273">
        <v>1581864.96</v>
      </c>
      <c r="K273" t="s">
        <v>15</v>
      </c>
      <c r="L273" t="s">
        <v>38</v>
      </c>
      <c r="M273" s="7">
        <v>45671</v>
      </c>
      <c r="N273" s="7">
        <v>45676</v>
      </c>
      <c r="O273" s="8">
        <v>5</v>
      </c>
      <c r="P273" t="str">
        <f t="shared" si="4"/>
        <v>Delayed</v>
      </c>
    </row>
    <row r="274" spans="1:16" x14ac:dyDescent="0.3">
      <c r="A274" t="s">
        <v>190</v>
      </c>
      <c r="B274" s="6" t="s">
        <v>245</v>
      </c>
      <c r="C274" t="s">
        <v>18</v>
      </c>
      <c r="D274" t="s">
        <v>62</v>
      </c>
      <c r="E274" t="s">
        <v>63</v>
      </c>
      <c r="F274">
        <v>39</v>
      </c>
      <c r="G274">
        <v>26026</v>
      </c>
      <c r="H274">
        <v>0</v>
      </c>
      <c r="I274">
        <v>18</v>
      </c>
      <c r="J274">
        <v>1197716.52</v>
      </c>
      <c r="K274" t="s">
        <v>21</v>
      </c>
      <c r="L274" t="s">
        <v>26</v>
      </c>
      <c r="M274" s="7">
        <v>45722</v>
      </c>
      <c r="N274" s="7">
        <v>45727</v>
      </c>
      <c r="O274" s="8">
        <v>5</v>
      </c>
      <c r="P274" t="str">
        <f t="shared" si="4"/>
        <v>Delayed</v>
      </c>
    </row>
    <row r="275" spans="1:16" x14ac:dyDescent="0.3">
      <c r="A275" t="s">
        <v>105</v>
      </c>
      <c r="B275" s="6" t="s">
        <v>241</v>
      </c>
      <c r="C275" t="s">
        <v>42</v>
      </c>
      <c r="D275" t="s">
        <v>24</v>
      </c>
      <c r="E275" t="s">
        <v>25</v>
      </c>
      <c r="F275">
        <v>13</v>
      </c>
      <c r="G275">
        <v>29237</v>
      </c>
      <c r="H275">
        <v>10</v>
      </c>
      <c r="I275">
        <v>12</v>
      </c>
      <c r="J275">
        <v>383121.65</v>
      </c>
      <c r="K275" t="s">
        <v>46</v>
      </c>
      <c r="L275" t="s">
        <v>26</v>
      </c>
      <c r="M275" s="7">
        <v>45784</v>
      </c>
      <c r="N275" s="7">
        <v>45796</v>
      </c>
      <c r="O275" s="8">
        <v>12</v>
      </c>
      <c r="P275" t="str">
        <f t="shared" si="4"/>
        <v>Delayed</v>
      </c>
    </row>
    <row r="276" spans="1:16" x14ac:dyDescent="0.3">
      <c r="A276" t="s">
        <v>159</v>
      </c>
      <c r="B276" s="6" t="s">
        <v>242</v>
      </c>
      <c r="C276" t="s">
        <v>12</v>
      </c>
      <c r="D276" t="s">
        <v>24</v>
      </c>
      <c r="E276" t="s">
        <v>76</v>
      </c>
      <c r="F276">
        <v>33</v>
      </c>
      <c r="G276">
        <v>56418</v>
      </c>
      <c r="H276">
        <v>5</v>
      </c>
      <c r="I276">
        <v>12</v>
      </c>
      <c r="J276">
        <v>1980948.82</v>
      </c>
      <c r="K276" t="s">
        <v>46</v>
      </c>
      <c r="L276" t="s">
        <v>33</v>
      </c>
      <c r="M276" s="7">
        <v>45840</v>
      </c>
      <c r="N276" s="7">
        <v>45846</v>
      </c>
      <c r="O276" s="8">
        <v>6</v>
      </c>
      <c r="P276" t="str">
        <f t="shared" si="4"/>
        <v>Delayed</v>
      </c>
    </row>
    <row r="277" spans="1:16" x14ac:dyDescent="0.3">
      <c r="A277" t="s">
        <v>191</v>
      </c>
      <c r="B277" s="6" t="s">
        <v>240</v>
      </c>
      <c r="C277" t="s">
        <v>28</v>
      </c>
      <c r="D277" t="s">
        <v>29</v>
      </c>
      <c r="E277" t="s">
        <v>30</v>
      </c>
      <c r="F277">
        <v>28</v>
      </c>
      <c r="G277">
        <v>5236</v>
      </c>
      <c r="H277">
        <v>0</v>
      </c>
      <c r="I277">
        <v>28</v>
      </c>
      <c r="J277">
        <v>187658.23999999999</v>
      </c>
      <c r="K277" t="s">
        <v>46</v>
      </c>
      <c r="L277" t="s">
        <v>16</v>
      </c>
      <c r="M277" s="7">
        <v>45676</v>
      </c>
      <c r="N277" s="7">
        <v>45690</v>
      </c>
      <c r="O277" s="8">
        <v>14</v>
      </c>
      <c r="P277" t="str">
        <f t="shared" si="4"/>
        <v>Delayed</v>
      </c>
    </row>
    <row r="278" spans="1:16" x14ac:dyDescent="0.3">
      <c r="A278" t="s">
        <v>192</v>
      </c>
      <c r="B278" s="6" t="s">
        <v>244</v>
      </c>
      <c r="C278" t="s">
        <v>70</v>
      </c>
      <c r="D278" t="s">
        <v>35</v>
      </c>
      <c r="E278" t="s">
        <v>77</v>
      </c>
      <c r="F278">
        <v>13</v>
      </c>
      <c r="G278">
        <v>45628</v>
      </c>
      <c r="H278">
        <v>10</v>
      </c>
      <c r="I278">
        <v>18</v>
      </c>
      <c r="J278">
        <v>629940.17000000004</v>
      </c>
      <c r="K278" t="s">
        <v>37</v>
      </c>
      <c r="L278" t="s">
        <v>26</v>
      </c>
      <c r="M278" s="7">
        <v>45810</v>
      </c>
      <c r="N278" s="7">
        <v>45816</v>
      </c>
      <c r="O278" s="8">
        <v>6</v>
      </c>
      <c r="P278" t="str">
        <f t="shared" si="4"/>
        <v>Delayed</v>
      </c>
    </row>
    <row r="279" spans="1:16" x14ac:dyDescent="0.3">
      <c r="A279" t="s">
        <v>85</v>
      </c>
      <c r="B279" s="6" t="s">
        <v>239</v>
      </c>
      <c r="C279" t="s">
        <v>23</v>
      </c>
      <c r="D279" t="s">
        <v>44</v>
      </c>
      <c r="E279" t="s">
        <v>45</v>
      </c>
      <c r="F279">
        <v>11</v>
      </c>
      <c r="G279">
        <v>37358</v>
      </c>
      <c r="H279">
        <v>12</v>
      </c>
      <c r="I279">
        <v>18</v>
      </c>
      <c r="J279">
        <v>426718.02</v>
      </c>
      <c r="K279" t="s">
        <v>46</v>
      </c>
      <c r="L279" t="s">
        <v>33</v>
      </c>
      <c r="M279" s="7">
        <v>45767</v>
      </c>
      <c r="N279" s="7">
        <v>45771</v>
      </c>
      <c r="O279" s="8">
        <v>4</v>
      </c>
      <c r="P279" t="str">
        <f t="shared" si="4"/>
        <v>Delayed</v>
      </c>
    </row>
    <row r="280" spans="1:16" x14ac:dyDescent="0.3">
      <c r="A280" t="s">
        <v>193</v>
      </c>
      <c r="B280" s="6" t="s">
        <v>242</v>
      </c>
      <c r="C280" t="s">
        <v>12</v>
      </c>
      <c r="D280" t="s">
        <v>48</v>
      </c>
      <c r="E280" t="s">
        <v>49</v>
      </c>
      <c r="F280">
        <v>32</v>
      </c>
      <c r="G280">
        <v>19186</v>
      </c>
      <c r="H280">
        <v>0</v>
      </c>
      <c r="I280">
        <v>28</v>
      </c>
      <c r="J280">
        <v>785858.56000000006</v>
      </c>
      <c r="K280" t="s">
        <v>21</v>
      </c>
      <c r="L280" t="s">
        <v>38</v>
      </c>
      <c r="M280" s="7">
        <v>45680</v>
      </c>
      <c r="N280" s="7">
        <v>45688</v>
      </c>
      <c r="O280" s="8">
        <v>8</v>
      </c>
      <c r="P280" t="str">
        <f t="shared" si="4"/>
        <v>Delayed</v>
      </c>
    </row>
    <row r="281" spans="1:16" x14ac:dyDescent="0.3">
      <c r="A281" t="s">
        <v>142</v>
      </c>
      <c r="B281" s="6" t="s">
        <v>239</v>
      </c>
      <c r="C281" t="s">
        <v>23</v>
      </c>
      <c r="D281" t="s">
        <v>35</v>
      </c>
      <c r="E281" t="s">
        <v>56</v>
      </c>
      <c r="F281">
        <v>2</v>
      </c>
      <c r="G281">
        <v>73128</v>
      </c>
      <c r="H281">
        <v>0</v>
      </c>
      <c r="I281">
        <v>28</v>
      </c>
      <c r="J281">
        <v>187207.67999999999</v>
      </c>
      <c r="K281" t="s">
        <v>15</v>
      </c>
      <c r="L281" t="s">
        <v>16</v>
      </c>
      <c r="M281" s="7">
        <v>45761</v>
      </c>
      <c r="N281" s="7">
        <v>45765</v>
      </c>
      <c r="O281" s="8">
        <v>4</v>
      </c>
      <c r="P281" t="str">
        <f t="shared" si="4"/>
        <v>Delayed</v>
      </c>
    </row>
    <row r="282" spans="1:16" x14ac:dyDescent="0.3">
      <c r="A282" t="s">
        <v>84</v>
      </c>
      <c r="B282" s="6" t="s">
        <v>240</v>
      </c>
      <c r="C282" t="s">
        <v>28</v>
      </c>
      <c r="D282" t="s">
        <v>29</v>
      </c>
      <c r="E282" t="s">
        <v>30</v>
      </c>
      <c r="F282">
        <v>20</v>
      </c>
      <c r="G282">
        <v>58737</v>
      </c>
      <c r="H282">
        <v>5</v>
      </c>
      <c r="I282">
        <v>12</v>
      </c>
      <c r="J282">
        <v>1249923.3600000001</v>
      </c>
      <c r="K282" t="s">
        <v>15</v>
      </c>
      <c r="L282" t="s">
        <v>38</v>
      </c>
      <c r="M282" s="7">
        <v>45777</v>
      </c>
      <c r="N282" s="7">
        <v>45788</v>
      </c>
      <c r="O282" s="8">
        <v>11</v>
      </c>
      <c r="P282" t="str">
        <f t="shared" si="4"/>
        <v>Delayed</v>
      </c>
    </row>
    <row r="283" spans="1:16" x14ac:dyDescent="0.3">
      <c r="A283" t="s">
        <v>167</v>
      </c>
      <c r="B283" s="6" t="s">
        <v>240</v>
      </c>
      <c r="C283" t="s">
        <v>28</v>
      </c>
      <c r="D283" t="s">
        <v>24</v>
      </c>
      <c r="E283" t="s">
        <v>76</v>
      </c>
      <c r="F283">
        <v>27</v>
      </c>
      <c r="G283">
        <v>68272</v>
      </c>
      <c r="H283">
        <v>5</v>
      </c>
      <c r="I283">
        <v>12</v>
      </c>
      <c r="J283">
        <v>1961318.02</v>
      </c>
      <c r="K283" t="s">
        <v>37</v>
      </c>
      <c r="L283" t="s">
        <v>33</v>
      </c>
      <c r="M283" s="7">
        <v>45832</v>
      </c>
      <c r="N283" s="7">
        <v>45838</v>
      </c>
      <c r="O283" s="8">
        <v>6</v>
      </c>
      <c r="P283" t="str">
        <f t="shared" si="4"/>
        <v>Delayed</v>
      </c>
    </row>
    <row r="284" spans="1:16" x14ac:dyDescent="0.3">
      <c r="A284" t="s">
        <v>194</v>
      </c>
      <c r="B284" s="6" t="s">
        <v>242</v>
      </c>
      <c r="C284" t="s">
        <v>12</v>
      </c>
      <c r="D284" t="s">
        <v>44</v>
      </c>
      <c r="E284" t="s">
        <v>51</v>
      </c>
      <c r="F284">
        <v>27</v>
      </c>
      <c r="G284">
        <v>64615</v>
      </c>
      <c r="H284">
        <v>12</v>
      </c>
      <c r="I284">
        <v>12</v>
      </c>
      <c r="J284">
        <v>1719482.69</v>
      </c>
      <c r="K284" t="s">
        <v>37</v>
      </c>
      <c r="L284" t="s">
        <v>38</v>
      </c>
      <c r="M284" s="7">
        <v>45838</v>
      </c>
      <c r="N284" s="7">
        <v>45842</v>
      </c>
      <c r="O284" s="8">
        <v>4</v>
      </c>
      <c r="P284" t="str">
        <f t="shared" si="4"/>
        <v>Delayed</v>
      </c>
    </row>
    <row r="285" spans="1:16" x14ac:dyDescent="0.3">
      <c r="A285" t="s">
        <v>43</v>
      </c>
      <c r="B285" s="6" t="s">
        <v>241</v>
      </c>
      <c r="C285" t="s">
        <v>42</v>
      </c>
      <c r="D285" t="s">
        <v>48</v>
      </c>
      <c r="E285" t="s">
        <v>59</v>
      </c>
      <c r="F285">
        <v>22</v>
      </c>
      <c r="G285">
        <v>78512</v>
      </c>
      <c r="H285">
        <v>12</v>
      </c>
      <c r="I285">
        <v>12</v>
      </c>
      <c r="J285">
        <v>1702391.4</v>
      </c>
      <c r="K285" t="s">
        <v>15</v>
      </c>
      <c r="L285" t="s">
        <v>38</v>
      </c>
      <c r="M285" s="7">
        <v>45721</v>
      </c>
      <c r="N285" s="7">
        <v>45725</v>
      </c>
      <c r="O285" s="8">
        <v>4</v>
      </c>
      <c r="P285" t="str">
        <f t="shared" si="4"/>
        <v>Delayed</v>
      </c>
    </row>
    <row r="286" spans="1:16" x14ac:dyDescent="0.3">
      <c r="A286" t="s">
        <v>137</v>
      </c>
      <c r="B286" s="6" t="s">
        <v>243</v>
      </c>
      <c r="C286" t="s">
        <v>53</v>
      </c>
      <c r="D286" t="s">
        <v>44</v>
      </c>
      <c r="E286" t="s">
        <v>51</v>
      </c>
      <c r="F286">
        <v>3</v>
      </c>
      <c r="G286">
        <v>28898</v>
      </c>
      <c r="H286">
        <v>12</v>
      </c>
      <c r="I286">
        <v>28</v>
      </c>
      <c r="J286">
        <v>97652.12</v>
      </c>
      <c r="K286" t="s">
        <v>37</v>
      </c>
      <c r="L286" t="s">
        <v>33</v>
      </c>
      <c r="M286" s="7">
        <v>45661</v>
      </c>
      <c r="N286" s="7">
        <v>45662</v>
      </c>
      <c r="O286" s="8">
        <v>1</v>
      </c>
      <c r="P286" t="str">
        <f t="shared" si="4"/>
        <v>On Delivery</v>
      </c>
    </row>
    <row r="287" spans="1:16" x14ac:dyDescent="0.3">
      <c r="A287" t="s">
        <v>156</v>
      </c>
      <c r="B287" s="6" t="s">
        <v>245</v>
      </c>
      <c r="C287" t="s">
        <v>18</v>
      </c>
      <c r="D287" t="s">
        <v>13</v>
      </c>
      <c r="E287" t="s">
        <v>32</v>
      </c>
      <c r="F287">
        <v>29</v>
      </c>
      <c r="G287">
        <v>49620</v>
      </c>
      <c r="H287">
        <v>10</v>
      </c>
      <c r="I287">
        <v>12</v>
      </c>
      <c r="J287">
        <v>1450491.84</v>
      </c>
      <c r="K287" t="s">
        <v>37</v>
      </c>
      <c r="L287" t="s">
        <v>16</v>
      </c>
      <c r="M287" s="7">
        <v>45823</v>
      </c>
      <c r="N287" s="7">
        <v>45832</v>
      </c>
      <c r="O287" s="8">
        <v>9</v>
      </c>
      <c r="P287" t="str">
        <f t="shared" si="4"/>
        <v>Delayed</v>
      </c>
    </row>
    <row r="288" spans="1:16" x14ac:dyDescent="0.3">
      <c r="A288" t="s">
        <v>88</v>
      </c>
      <c r="B288" s="6" t="s">
        <v>246</v>
      </c>
      <c r="C288" t="s">
        <v>80</v>
      </c>
      <c r="D288" t="s">
        <v>35</v>
      </c>
      <c r="E288" t="s">
        <v>77</v>
      </c>
      <c r="F288">
        <v>13</v>
      </c>
      <c r="G288">
        <v>43444</v>
      </c>
      <c r="H288">
        <v>0</v>
      </c>
      <c r="I288">
        <v>18</v>
      </c>
      <c r="J288">
        <v>666430.96</v>
      </c>
      <c r="K288" t="s">
        <v>46</v>
      </c>
      <c r="L288" t="s">
        <v>33</v>
      </c>
      <c r="M288" s="7">
        <v>45831</v>
      </c>
      <c r="N288" s="7">
        <v>45835</v>
      </c>
      <c r="O288" s="8">
        <v>4</v>
      </c>
      <c r="P288" t="str">
        <f t="shared" si="4"/>
        <v>Delayed</v>
      </c>
    </row>
    <row r="289" spans="1:16" x14ac:dyDescent="0.3">
      <c r="A289" t="s">
        <v>195</v>
      </c>
      <c r="B289" s="6" t="s">
        <v>242</v>
      </c>
      <c r="C289" t="s">
        <v>12</v>
      </c>
      <c r="D289" t="s">
        <v>35</v>
      </c>
      <c r="E289" t="s">
        <v>36</v>
      </c>
      <c r="F289">
        <v>16</v>
      </c>
      <c r="G289">
        <v>75006</v>
      </c>
      <c r="H289">
        <v>5</v>
      </c>
      <c r="I289">
        <v>28</v>
      </c>
      <c r="J289">
        <v>1459316.74</v>
      </c>
      <c r="K289" t="s">
        <v>46</v>
      </c>
      <c r="L289" t="s">
        <v>16</v>
      </c>
      <c r="M289" s="7">
        <v>45789</v>
      </c>
      <c r="N289" s="7">
        <v>45800</v>
      </c>
      <c r="O289" s="8">
        <v>11</v>
      </c>
      <c r="P289" t="str">
        <f t="shared" si="4"/>
        <v>Delayed</v>
      </c>
    </row>
    <row r="290" spans="1:16" x14ac:dyDescent="0.3">
      <c r="A290" t="s">
        <v>196</v>
      </c>
      <c r="B290" s="6" t="s">
        <v>246</v>
      </c>
      <c r="C290" t="s">
        <v>80</v>
      </c>
      <c r="D290" t="s">
        <v>13</v>
      </c>
      <c r="E290" t="s">
        <v>32</v>
      </c>
      <c r="F290">
        <v>21</v>
      </c>
      <c r="G290">
        <v>65236</v>
      </c>
      <c r="H290">
        <v>5</v>
      </c>
      <c r="I290">
        <v>28</v>
      </c>
      <c r="J290">
        <v>1665866.5</v>
      </c>
      <c r="K290" t="s">
        <v>46</v>
      </c>
      <c r="L290" t="s">
        <v>16</v>
      </c>
      <c r="M290" s="7">
        <v>45810</v>
      </c>
      <c r="N290" s="7">
        <v>45824</v>
      </c>
      <c r="O290" s="8">
        <v>14</v>
      </c>
      <c r="P290" t="str">
        <f t="shared" si="4"/>
        <v>Delayed</v>
      </c>
    </row>
    <row r="291" spans="1:16" x14ac:dyDescent="0.3">
      <c r="A291" t="s">
        <v>197</v>
      </c>
      <c r="B291" s="6" t="s">
        <v>238</v>
      </c>
      <c r="C291" t="s">
        <v>58</v>
      </c>
      <c r="D291" t="s">
        <v>44</v>
      </c>
      <c r="E291" t="s">
        <v>51</v>
      </c>
      <c r="F291">
        <v>9</v>
      </c>
      <c r="G291">
        <v>75669</v>
      </c>
      <c r="H291">
        <v>10</v>
      </c>
      <c r="I291">
        <v>18</v>
      </c>
      <c r="J291">
        <v>723244.3</v>
      </c>
      <c r="K291" t="s">
        <v>21</v>
      </c>
      <c r="L291" t="s">
        <v>26</v>
      </c>
      <c r="M291" s="7">
        <v>45833</v>
      </c>
      <c r="N291" s="7">
        <v>45838</v>
      </c>
      <c r="O291" s="8">
        <v>5</v>
      </c>
      <c r="P291" t="str">
        <f t="shared" si="4"/>
        <v>Delayed</v>
      </c>
    </row>
    <row r="292" spans="1:16" x14ac:dyDescent="0.3">
      <c r="A292" t="s">
        <v>198</v>
      </c>
      <c r="B292" s="6" t="s">
        <v>243</v>
      </c>
      <c r="C292" t="s">
        <v>53</v>
      </c>
      <c r="D292" t="s">
        <v>24</v>
      </c>
      <c r="E292" t="s">
        <v>76</v>
      </c>
      <c r="F292">
        <v>39</v>
      </c>
      <c r="G292">
        <v>20924</v>
      </c>
      <c r="H292">
        <v>0</v>
      </c>
      <c r="I292">
        <v>12</v>
      </c>
      <c r="J292">
        <v>913960.32</v>
      </c>
      <c r="K292" t="s">
        <v>46</v>
      </c>
      <c r="L292" t="s">
        <v>33</v>
      </c>
      <c r="M292" s="7">
        <v>45664</v>
      </c>
      <c r="N292" s="7">
        <v>45669</v>
      </c>
      <c r="O292" s="8">
        <v>5</v>
      </c>
      <c r="P292" t="str">
        <f t="shared" si="4"/>
        <v>Delayed</v>
      </c>
    </row>
    <row r="293" spans="1:16" x14ac:dyDescent="0.3">
      <c r="A293" t="s">
        <v>159</v>
      </c>
      <c r="B293" s="6" t="s">
        <v>243</v>
      </c>
      <c r="C293" t="s">
        <v>53</v>
      </c>
      <c r="D293" t="s">
        <v>13</v>
      </c>
      <c r="E293" t="s">
        <v>32</v>
      </c>
      <c r="F293">
        <v>29</v>
      </c>
      <c r="G293">
        <v>81746</v>
      </c>
      <c r="H293">
        <v>0</v>
      </c>
      <c r="I293">
        <v>12</v>
      </c>
      <c r="J293">
        <v>2655110.08</v>
      </c>
      <c r="K293" t="s">
        <v>46</v>
      </c>
      <c r="L293" t="s">
        <v>16</v>
      </c>
      <c r="M293" s="7">
        <v>45841</v>
      </c>
      <c r="N293" s="7">
        <v>45854</v>
      </c>
      <c r="O293" s="8">
        <v>13</v>
      </c>
      <c r="P293" t="str">
        <f t="shared" si="4"/>
        <v>Delayed</v>
      </c>
    </row>
    <row r="294" spans="1:16" x14ac:dyDescent="0.3">
      <c r="A294" t="s">
        <v>126</v>
      </c>
      <c r="B294" s="6" t="s">
        <v>244</v>
      </c>
      <c r="C294" t="s">
        <v>70</v>
      </c>
      <c r="D294" t="s">
        <v>48</v>
      </c>
      <c r="E294" t="s">
        <v>59</v>
      </c>
      <c r="F294">
        <v>37</v>
      </c>
      <c r="G294">
        <v>58618</v>
      </c>
      <c r="H294">
        <v>5</v>
      </c>
      <c r="I294">
        <v>28</v>
      </c>
      <c r="J294">
        <v>2637341.06</v>
      </c>
      <c r="K294" t="s">
        <v>37</v>
      </c>
      <c r="L294" t="s">
        <v>26</v>
      </c>
      <c r="M294" s="7">
        <v>45709</v>
      </c>
      <c r="N294" s="7">
        <v>45709</v>
      </c>
      <c r="O294" s="8">
        <v>0</v>
      </c>
      <c r="P294" t="str">
        <f t="shared" si="4"/>
        <v>Delivered</v>
      </c>
    </row>
    <row r="295" spans="1:16" x14ac:dyDescent="0.3">
      <c r="A295" t="s">
        <v>11</v>
      </c>
      <c r="B295" s="6" t="s">
        <v>246</v>
      </c>
      <c r="C295" t="s">
        <v>80</v>
      </c>
      <c r="D295" t="s">
        <v>24</v>
      </c>
      <c r="E295" t="s">
        <v>40</v>
      </c>
      <c r="F295">
        <v>12</v>
      </c>
      <c r="G295">
        <v>70025</v>
      </c>
      <c r="H295">
        <v>5</v>
      </c>
      <c r="I295">
        <v>28</v>
      </c>
      <c r="J295">
        <v>1021804.8</v>
      </c>
      <c r="K295" t="s">
        <v>21</v>
      </c>
      <c r="L295" t="s">
        <v>38</v>
      </c>
      <c r="M295" s="7">
        <v>45683</v>
      </c>
      <c r="N295" s="7">
        <v>45690</v>
      </c>
      <c r="O295" s="8">
        <v>7</v>
      </c>
      <c r="P295" t="str">
        <f t="shared" si="4"/>
        <v>Delayed</v>
      </c>
    </row>
    <row r="296" spans="1:16" x14ac:dyDescent="0.3">
      <c r="A296" t="s">
        <v>197</v>
      </c>
      <c r="B296" s="6" t="s">
        <v>240</v>
      </c>
      <c r="C296" t="s">
        <v>28</v>
      </c>
      <c r="D296" t="s">
        <v>35</v>
      </c>
      <c r="E296" t="s">
        <v>36</v>
      </c>
      <c r="F296">
        <v>19</v>
      </c>
      <c r="G296">
        <v>46977</v>
      </c>
      <c r="H296">
        <v>10</v>
      </c>
      <c r="I296">
        <v>12</v>
      </c>
      <c r="J296">
        <v>899703.5</v>
      </c>
      <c r="K296" t="s">
        <v>37</v>
      </c>
      <c r="L296" t="s">
        <v>26</v>
      </c>
      <c r="M296" s="7">
        <v>45836</v>
      </c>
      <c r="N296" s="7">
        <v>45838</v>
      </c>
      <c r="O296" s="8">
        <v>2</v>
      </c>
      <c r="P296" t="str">
        <f t="shared" si="4"/>
        <v>On Delivery</v>
      </c>
    </row>
    <row r="297" spans="1:16" x14ac:dyDescent="0.3">
      <c r="A297" t="s">
        <v>65</v>
      </c>
      <c r="B297" s="6" t="s">
        <v>243</v>
      </c>
      <c r="C297" t="s">
        <v>53</v>
      </c>
      <c r="D297" t="s">
        <v>35</v>
      </c>
      <c r="E297" t="s">
        <v>77</v>
      </c>
      <c r="F297">
        <v>25</v>
      </c>
      <c r="G297">
        <v>65061</v>
      </c>
      <c r="H297">
        <v>0</v>
      </c>
      <c r="I297">
        <v>18</v>
      </c>
      <c r="J297">
        <v>1919299.5</v>
      </c>
      <c r="K297" t="s">
        <v>21</v>
      </c>
      <c r="L297" t="s">
        <v>26</v>
      </c>
      <c r="M297" s="7">
        <v>45746</v>
      </c>
      <c r="N297" s="7">
        <v>45759</v>
      </c>
      <c r="O297" s="8">
        <v>13</v>
      </c>
      <c r="P297" t="str">
        <f t="shared" si="4"/>
        <v>Delayed</v>
      </c>
    </row>
    <row r="298" spans="1:16" x14ac:dyDescent="0.3">
      <c r="A298" t="s">
        <v>199</v>
      </c>
      <c r="B298" s="6" t="s">
        <v>242</v>
      </c>
      <c r="C298" t="s">
        <v>12</v>
      </c>
      <c r="D298" t="s">
        <v>35</v>
      </c>
      <c r="E298" t="s">
        <v>36</v>
      </c>
      <c r="F298">
        <v>18</v>
      </c>
      <c r="G298">
        <v>24955</v>
      </c>
      <c r="H298">
        <v>12</v>
      </c>
      <c r="I298">
        <v>28</v>
      </c>
      <c r="J298">
        <v>505967.62</v>
      </c>
      <c r="K298" t="s">
        <v>46</v>
      </c>
      <c r="L298" t="s">
        <v>33</v>
      </c>
      <c r="M298" s="7">
        <v>45830</v>
      </c>
      <c r="N298" s="7">
        <v>45840</v>
      </c>
      <c r="O298" s="8">
        <v>10</v>
      </c>
      <c r="P298" t="str">
        <f t="shared" si="4"/>
        <v>Delayed</v>
      </c>
    </row>
    <row r="299" spans="1:16" x14ac:dyDescent="0.3">
      <c r="A299" t="s">
        <v>84</v>
      </c>
      <c r="B299" s="6" t="s">
        <v>241</v>
      </c>
      <c r="C299" t="s">
        <v>42</v>
      </c>
      <c r="D299" t="s">
        <v>35</v>
      </c>
      <c r="E299" t="s">
        <v>36</v>
      </c>
      <c r="F299">
        <v>40</v>
      </c>
      <c r="G299">
        <v>72487</v>
      </c>
      <c r="H299">
        <v>12</v>
      </c>
      <c r="I299">
        <v>12</v>
      </c>
      <c r="J299">
        <v>2857727.49</v>
      </c>
      <c r="K299" t="s">
        <v>21</v>
      </c>
      <c r="L299" t="s">
        <v>38</v>
      </c>
      <c r="M299" s="7">
        <v>45774</v>
      </c>
      <c r="N299" s="7">
        <v>45775</v>
      </c>
      <c r="O299" s="8">
        <v>1</v>
      </c>
      <c r="P299" t="str">
        <f t="shared" si="4"/>
        <v>On Delivery</v>
      </c>
    </row>
    <row r="300" spans="1:16" x14ac:dyDescent="0.3">
      <c r="A300" t="s">
        <v>176</v>
      </c>
      <c r="B300" s="6" t="s">
        <v>240</v>
      </c>
      <c r="C300" t="s">
        <v>28</v>
      </c>
      <c r="D300" t="s">
        <v>48</v>
      </c>
      <c r="E300" t="s">
        <v>59</v>
      </c>
      <c r="F300">
        <v>37</v>
      </c>
      <c r="G300">
        <v>76970</v>
      </c>
      <c r="H300">
        <v>10</v>
      </c>
      <c r="I300">
        <v>28</v>
      </c>
      <c r="J300">
        <v>3280769.28</v>
      </c>
      <c r="K300" t="s">
        <v>46</v>
      </c>
      <c r="L300" t="s">
        <v>38</v>
      </c>
      <c r="M300" s="7">
        <v>45782</v>
      </c>
      <c r="N300" s="7">
        <v>45782</v>
      </c>
      <c r="O300" s="8">
        <v>0</v>
      </c>
      <c r="P300" t="str">
        <f t="shared" si="4"/>
        <v>Delivered</v>
      </c>
    </row>
    <row r="301" spans="1:16" x14ac:dyDescent="0.3">
      <c r="A301" t="s">
        <v>111</v>
      </c>
      <c r="B301" s="6" t="s">
        <v>238</v>
      </c>
      <c r="C301" t="s">
        <v>58</v>
      </c>
      <c r="D301" t="s">
        <v>13</v>
      </c>
      <c r="E301" t="s">
        <v>32</v>
      </c>
      <c r="F301">
        <v>34</v>
      </c>
      <c r="G301">
        <v>9075</v>
      </c>
      <c r="H301">
        <v>12</v>
      </c>
      <c r="I301">
        <v>18</v>
      </c>
      <c r="J301">
        <v>320398.32</v>
      </c>
      <c r="K301" t="s">
        <v>15</v>
      </c>
      <c r="L301" t="s">
        <v>26</v>
      </c>
      <c r="M301" s="7">
        <v>45729</v>
      </c>
      <c r="N301" s="7">
        <v>45732</v>
      </c>
      <c r="O301" s="8">
        <v>3</v>
      </c>
      <c r="P301" t="str">
        <f t="shared" si="4"/>
        <v>On Delivery</v>
      </c>
    </row>
    <row r="302" spans="1:16" x14ac:dyDescent="0.3">
      <c r="A302" t="s">
        <v>132</v>
      </c>
      <c r="B302" s="6" t="s">
        <v>246</v>
      </c>
      <c r="C302" t="s">
        <v>80</v>
      </c>
      <c r="D302" t="s">
        <v>35</v>
      </c>
      <c r="E302" t="s">
        <v>77</v>
      </c>
      <c r="F302">
        <v>15</v>
      </c>
      <c r="G302">
        <v>67563</v>
      </c>
      <c r="H302">
        <v>0</v>
      </c>
      <c r="I302">
        <v>18</v>
      </c>
      <c r="J302">
        <v>1195865.1000000001</v>
      </c>
      <c r="K302" t="s">
        <v>37</v>
      </c>
      <c r="L302" t="s">
        <v>26</v>
      </c>
      <c r="M302" s="7">
        <v>45676</v>
      </c>
      <c r="N302" s="7">
        <v>45684</v>
      </c>
      <c r="O302" s="8">
        <v>8</v>
      </c>
      <c r="P302" t="str">
        <f t="shared" si="4"/>
        <v>Delayed</v>
      </c>
    </row>
    <row r="303" spans="1:16" x14ac:dyDescent="0.3">
      <c r="A303" t="s">
        <v>189</v>
      </c>
      <c r="B303" s="6" t="s">
        <v>243</v>
      </c>
      <c r="C303" t="s">
        <v>53</v>
      </c>
      <c r="D303" t="s">
        <v>35</v>
      </c>
      <c r="E303" t="s">
        <v>77</v>
      </c>
      <c r="F303">
        <v>25</v>
      </c>
      <c r="G303">
        <v>4999</v>
      </c>
      <c r="H303">
        <v>12</v>
      </c>
      <c r="I303">
        <v>12</v>
      </c>
      <c r="J303">
        <v>123175.36</v>
      </c>
      <c r="K303" t="s">
        <v>37</v>
      </c>
      <c r="L303" t="s">
        <v>16</v>
      </c>
      <c r="M303" s="7">
        <v>45749</v>
      </c>
      <c r="N303" s="7">
        <v>45749</v>
      </c>
      <c r="O303" s="8">
        <v>0</v>
      </c>
      <c r="P303" t="str">
        <f t="shared" si="4"/>
        <v>Delivered</v>
      </c>
    </row>
    <row r="304" spans="1:16" x14ac:dyDescent="0.3">
      <c r="A304" t="s">
        <v>114</v>
      </c>
      <c r="B304" s="6" t="s">
        <v>240</v>
      </c>
      <c r="C304" t="s">
        <v>28</v>
      </c>
      <c r="D304" t="s">
        <v>24</v>
      </c>
      <c r="E304" t="s">
        <v>40</v>
      </c>
      <c r="F304">
        <v>22</v>
      </c>
      <c r="G304">
        <v>64657</v>
      </c>
      <c r="H304">
        <v>0</v>
      </c>
      <c r="I304">
        <v>18</v>
      </c>
      <c r="J304">
        <v>1678495.72</v>
      </c>
      <c r="K304" t="s">
        <v>21</v>
      </c>
      <c r="L304" t="s">
        <v>16</v>
      </c>
      <c r="M304" s="7">
        <v>45740</v>
      </c>
      <c r="N304" s="7">
        <v>45746</v>
      </c>
      <c r="O304" s="8">
        <v>6</v>
      </c>
      <c r="P304" t="str">
        <f t="shared" si="4"/>
        <v>Delayed</v>
      </c>
    </row>
    <row r="305" spans="1:16" x14ac:dyDescent="0.3">
      <c r="A305" t="s">
        <v>162</v>
      </c>
      <c r="B305" s="6" t="s">
        <v>239</v>
      </c>
      <c r="C305" t="s">
        <v>23</v>
      </c>
      <c r="D305" t="s">
        <v>24</v>
      </c>
      <c r="E305" t="s">
        <v>76</v>
      </c>
      <c r="F305">
        <v>8</v>
      </c>
      <c r="G305">
        <v>55573</v>
      </c>
      <c r="H305">
        <v>12</v>
      </c>
      <c r="I305">
        <v>28</v>
      </c>
      <c r="J305">
        <v>500779.42</v>
      </c>
      <c r="K305" t="s">
        <v>46</v>
      </c>
      <c r="L305" t="s">
        <v>38</v>
      </c>
      <c r="M305" s="7">
        <v>45796</v>
      </c>
      <c r="N305" s="7">
        <v>45809</v>
      </c>
      <c r="O305" s="8">
        <v>13</v>
      </c>
      <c r="P305" t="str">
        <f t="shared" si="4"/>
        <v>Delayed</v>
      </c>
    </row>
    <row r="306" spans="1:16" x14ac:dyDescent="0.3">
      <c r="A306" t="s">
        <v>102</v>
      </c>
      <c r="B306" s="6" t="s">
        <v>246</v>
      </c>
      <c r="C306" t="s">
        <v>80</v>
      </c>
      <c r="D306" t="s">
        <v>13</v>
      </c>
      <c r="E306" t="s">
        <v>14</v>
      </c>
      <c r="F306">
        <v>25</v>
      </c>
      <c r="G306">
        <v>36952</v>
      </c>
      <c r="H306">
        <v>0</v>
      </c>
      <c r="I306">
        <v>18</v>
      </c>
      <c r="J306">
        <v>1090084</v>
      </c>
      <c r="K306" t="s">
        <v>37</v>
      </c>
      <c r="L306" t="s">
        <v>33</v>
      </c>
      <c r="M306" s="7">
        <v>45746</v>
      </c>
      <c r="N306" s="7">
        <v>45752</v>
      </c>
      <c r="O306" s="8">
        <v>6</v>
      </c>
      <c r="P306" t="str">
        <f t="shared" si="4"/>
        <v>Delayed</v>
      </c>
    </row>
    <row r="307" spans="1:16" x14ac:dyDescent="0.3">
      <c r="A307" t="s">
        <v>131</v>
      </c>
      <c r="B307" s="6" t="s">
        <v>245</v>
      </c>
      <c r="C307" t="s">
        <v>18</v>
      </c>
      <c r="D307" t="s">
        <v>35</v>
      </c>
      <c r="E307" t="s">
        <v>36</v>
      </c>
      <c r="F307">
        <v>24</v>
      </c>
      <c r="G307">
        <v>75591</v>
      </c>
      <c r="H307">
        <v>5</v>
      </c>
      <c r="I307">
        <v>18</v>
      </c>
      <c r="J307">
        <v>2033700.26</v>
      </c>
      <c r="K307" t="s">
        <v>46</v>
      </c>
      <c r="L307" t="s">
        <v>16</v>
      </c>
      <c r="M307" s="7">
        <v>45684</v>
      </c>
      <c r="N307" s="7">
        <v>45691</v>
      </c>
      <c r="O307" s="8">
        <v>7</v>
      </c>
      <c r="P307" t="str">
        <f t="shared" si="4"/>
        <v>Delayed</v>
      </c>
    </row>
    <row r="308" spans="1:16" x14ac:dyDescent="0.3">
      <c r="A308" t="s">
        <v>164</v>
      </c>
      <c r="B308" s="6" t="s">
        <v>239</v>
      </c>
      <c r="C308" t="s">
        <v>23</v>
      </c>
      <c r="D308" t="s">
        <v>35</v>
      </c>
      <c r="E308" t="s">
        <v>77</v>
      </c>
      <c r="F308">
        <v>38</v>
      </c>
      <c r="G308">
        <v>34255</v>
      </c>
      <c r="H308">
        <v>12</v>
      </c>
      <c r="I308">
        <v>12</v>
      </c>
      <c r="J308">
        <v>1282945.6599999999</v>
      </c>
      <c r="K308" t="s">
        <v>46</v>
      </c>
      <c r="L308" t="s">
        <v>38</v>
      </c>
      <c r="M308" s="7">
        <v>45690</v>
      </c>
      <c r="N308" s="7">
        <v>45705</v>
      </c>
      <c r="O308" s="8">
        <v>15</v>
      </c>
      <c r="P308" t="str">
        <f t="shared" si="4"/>
        <v>Delayed</v>
      </c>
    </row>
    <row r="309" spans="1:16" x14ac:dyDescent="0.3">
      <c r="A309" t="s">
        <v>111</v>
      </c>
      <c r="B309" s="6" t="s">
        <v>238</v>
      </c>
      <c r="C309" t="s">
        <v>58</v>
      </c>
      <c r="D309" t="s">
        <v>19</v>
      </c>
      <c r="E309" t="s">
        <v>20</v>
      </c>
      <c r="F309">
        <v>38</v>
      </c>
      <c r="G309">
        <v>82772</v>
      </c>
      <c r="H309">
        <v>0</v>
      </c>
      <c r="I309">
        <v>18</v>
      </c>
      <c r="J309">
        <v>3711496.48</v>
      </c>
      <c r="K309" t="s">
        <v>46</v>
      </c>
      <c r="L309" t="s">
        <v>33</v>
      </c>
      <c r="M309" s="7">
        <v>45732</v>
      </c>
      <c r="N309" s="7">
        <v>45743</v>
      </c>
      <c r="O309" s="8">
        <v>11</v>
      </c>
      <c r="P309" t="str">
        <f t="shared" si="4"/>
        <v>Delayed</v>
      </c>
    </row>
    <row r="310" spans="1:16" x14ac:dyDescent="0.3">
      <c r="A310" t="s">
        <v>34</v>
      </c>
      <c r="B310" s="6" t="s">
        <v>243</v>
      </c>
      <c r="C310" t="s">
        <v>53</v>
      </c>
      <c r="D310" t="s">
        <v>19</v>
      </c>
      <c r="E310" t="s">
        <v>20</v>
      </c>
      <c r="F310">
        <v>36</v>
      </c>
      <c r="G310">
        <v>83363</v>
      </c>
      <c r="H310">
        <v>5</v>
      </c>
      <c r="I310">
        <v>18</v>
      </c>
      <c r="J310">
        <v>3364197.23</v>
      </c>
      <c r="K310" t="s">
        <v>15</v>
      </c>
      <c r="L310" t="s">
        <v>33</v>
      </c>
      <c r="M310" s="7">
        <v>45781</v>
      </c>
      <c r="N310" s="7">
        <v>45794</v>
      </c>
      <c r="O310" s="8">
        <v>13</v>
      </c>
      <c r="P310" t="str">
        <f t="shared" si="4"/>
        <v>Delayed</v>
      </c>
    </row>
    <row r="311" spans="1:16" x14ac:dyDescent="0.3">
      <c r="A311" t="s">
        <v>106</v>
      </c>
      <c r="B311" s="6" t="s">
        <v>240</v>
      </c>
      <c r="C311" t="s">
        <v>28</v>
      </c>
      <c r="D311" t="s">
        <v>24</v>
      </c>
      <c r="E311" t="s">
        <v>25</v>
      </c>
      <c r="F311">
        <v>16</v>
      </c>
      <c r="G311">
        <v>69023</v>
      </c>
      <c r="H311">
        <v>10</v>
      </c>
      <c r="I311">
        <v>28</v>
      </c>
      <c r="J311">
        <v>1272231.94</v>
      </c>
      <c r="K311" t="s">
        <v>21</v>
      </c>
      <c r="L311" t="s">
        <v>38</v>
      </c>
      <c r="M311" s="7">
        <v>45779</v>
      </c>
      <c r="N311" s="7">
        <v>45793</v>
      </c>
      <c r="O311" s="8">
        <v>14</v>
      </c>
      <c r="P311" t="str">
        <f t="shared" si="4"/>
        <v>Delayed</v>
      </c>
    </row>
    <row r="312" spans="1:16" x14ac:dyDescent="0.3">
      <c r="A312" t="s">
        <v>178</v>
      </c>
      <c r="B312" s="6" t="s">
        <v>242</v>
      </c>
      <c r="C312" t="s">
        <v>12</v>
      </c>
      <c r="D312" t="s">
        <v>48</v>
      </c>
      <c r="E312" t="s">
        <v>49</v>
      </c>
      <c r="F312">
        <v>38</v>
      </c>
      <c r="G312">
        <v>14791</v>
      </c>
      <c r="H312">
        <v>12</v>
      </c>
      <c r="I312">
        <v>12</v>
      </c>
      <c r="J312">
        <v>553964.36</v>
      </c>
      <c r="K312" t="s">
        <v>37</v>
      </c>
      <c r="L312" t="s">
        <v>26</v>
      </c>
      <c r="M312" s="7">
        <v>45752</v>
      </c>
      <c r="N312" s="7">
        <v>45758</v>
      </c>
      <c r="O312" s="8">
        <v>6</v>
      </c>
      <c r="P312" t="str">
        <f t="shared" si="4"/>
        <v>Delayed</v>
      </c>
    </row>
    <row r="313" spans="1:16" x14ac:dyDescent="0.3">
      <c r="A313" t="s">
        <v>88</v>
      </c>
      <c r="B313" s="6" t="s">
        <v>243</v>
      </c>
      <c r="C313" t="s">
        <v>53</v>
      </c>
      <c r="D313" t="s">
        <v>24</v>
      </c>
      <c r="E313" t="s">
        <v>25</v>
      </c>
      <c r="F313">
        <v>23</v>
      </c>
      <c r="G313">
        <v>38093</v>
      </c>
      <c r="H313">
        <v>12</v>
      </c>
      <c r="I313">
        <v>28</v>
      </c>
      <c r="J313">
        <v>986882.97</v>
      </c>
      <c r="K313" t="s">
        <v>46</v>
      </c>
      <c r="L313" t="s">
        <v>38</v>
      </c>
      <c r="M313" s="7">
        <v>45833</v>
      </c>
      <c r="N313" s="7">
        <v>45847</v>
      </c>
      <c r="O313" s="8">
        <v>14</v>
      </c>
      <c r="P313" t="str">
        <f t="shared" si="4"/>
        <v>Delayed</v>
      </c>
    </row>
    <row r="314" spans="1:16" x14ac:dyDescent="0.3">
      <c r="A314" t="s">
        <v>136</v>
      </c>
      <c r="B314" s="6" t="s">
        <v>243</v>
      </c>
      <c r="C314" t="s">
        <v>53</v>
      </c>
      <c r="D314" t="s">
        <v>13</v>
      </c>
      <c r="E314" t="s">
        <v>32</v>
      </c>
      <c r="F314">
        <v>33</v>
      </c>
      <c r="G314">
        <v>79501</v>
      </c>
      <c r="H314">
        <v>10</v>
      </c>
      <c r="I314">
        <v>12</v>
      </c>
      <c r="J314">
        <v>2644521.2599999998</v>
      </c>
      <c r="K314" t="s">
        <v>15</v>
      </c>
      <c r="L314" t="s">
        <v>38</v>
      </c>
      <c r="M314" s="7">
        <v>45708</v>
      </c>
      <c r="N314" s="7">
        <v>45710</v>
      </c>
      <c r="O314" s="8">
        <v>2</v>
      </c>
      <c r="P314" t="str">
        <f t="shared" si="4"/>
        <v>On Delivery</v>
      </c>
    </row>
    <row r="315" spans="1:16" x14ac:dyDescent="0.3">
      <c r="A315" t="s">
        <v>200</v>
      </c>
      <c r="B315" s="6" t="s">
        <v>244</v>
      </c>
      <c r="C315" t="s">
        <v>70</v>
      </c>
      <c r="D315" t="s">
        <v>48</v>
      </c>
      <c r="E315" t="s">
        <v>49</v>
      </c>
      <c r="F315">
        <v>4</v>
      </c>
      <c r="G315">
        <v>41507</v>
      </c>
      <c r="H315">
        <v>12</v>
      </c>
      <c r="I315">
        <v>18</v>
      </c>
      <c r="J315">
        <v>172403.48</v>
      </c>
      <c r="K315" t="s">
        <v>46</v>
      </c>
      <c r="L315" t="s">
        <v>16</v>
      </c>
      <c r="M315" s="7">
        <v>45758</v>
      </c>
      <c r="N315" s="7">
        <v>45764</v>
      </c>
      <c r="O315" s="8">
        <v>6</v>
      </c>
      <c r="P315" t="str">
        <f t="shared" si="4"/>
        <v>Delayed</v>
      </c>
    </row>
    <row r="316" spans="1:16" x14ac:dyDescent="0.3">
      <c r="A316" t="s">
        <v>171</v>
      </c>
      <c r="B316" s="6" t="s">
        <v>242</v>
      </c>
      <c r="C316" t="s">
        <v>12</v>
      </c>
      <c r="D316" t="s">
        <v>13</v>
      </c>
      <c r="E316" t="s">
        <v>14</v>
      </c>
      <c r="F316">
        <v>6</v>
      </c>
      <c r="G316">
        <v>35172</v>
      </c>
      <c r="H316">
        <v>5</v>
      </c>
      <c r="I316">
        <v>18</v>
      </c>
      <c r="J316">
        <v>236566.87</v>
      </c>
      <c r="K316" t="s">
        <v>37</v>
      </c>
      <c r="L316" t="s">
        <v>33</v>
      </c>
      <c r="M316" s="7">
        <v>45718</v>
      </c>
      <c r="N316" s="7">
        <v>45720</v>
      </c>
      <c r="O316" s="8">
        <v>2</v>
      </c>
      <c r="P316" t="str">
        <f t="shared" si="4"/>
        <v>On Delivery</v>
      </c>
    </row>
    <row r="317" spans="1:16" x14ac:dyDescent="0.3">
      <c r="A317" t="s">
        <v>150</v>
      </c>
      <c r="B317" s="6" t="s">
        <v>240</v>
      </c>
      <c r="C317" t="s">
        <v>28</v>
      </c>
      <c r="D317" t="s">
        <v>13</v>
      </c>
      <c r="E317" t="s">
        <v>32</v>
      </c>
      <c r="F317">
        <v>38</v>
      </c>
      <c r="G317">
        <v>55121</v>
      </c>
      <c r="H317">
        <v>10</v>
      </c>
      <c r="I317">
        <v>28</v>
      </c>
      <c r="J317">
        <v>2412976.9</v>
      </c>
      <c r="K317" t="s">
        <v>15</v>
      </c>
      <c r="L317" t="s">
        <v>33</v>
      </c>
      <c r="M317" s="7">
        <v>45741</v>
      </c>
      <c r="N317" s="7">
        <v>45746</v>
      </c>
      <c r="O317" s="8">
        <v>5</v>
      </c>
      <c r="P317" t="str">
        <f t="shared" si="4"/>
        <v>Delayed</v>
      </c>
    </row>
    <row r="318" spans="1:16" x14ac:dyDescent="0.3">
      <c r="A318" t="s">
        <v>199</v>
      </c>
      <c r="B318" s="6" t="s">
        <v>239</v>
      </c>
      <c r="C318" t="s">
        <v>23</v>
      </c>
      <c r="D318" t="s">
        <v>44</v>
      </c>
      <c r="E318" t="s">
        <v>45</v>
      </c>
      <c r="F318">
        <v>25</v>
      </c>
      <c r="G318">
        <v>77431</v>
      </c>
      <c r="H318">
        <v>10</v>
      </c>
      <c r="I318">
        <v>18</v>
      </c>
      <c r="J318">
        <v>2055793.05</v>
      </c>
      <c r="K318" t="s">
        <v>46</v>
      </c>
      <c r="L318" t="s">
        <v>38</v>
      </c>
      <c r="M318" s="7">
        <v>45829</v>
      </c>
      <c r="N318" s="7">
        <v>45834</v>
      </c>
      <c r="O318" s="8">
        <v>5</v>
      </c>
      <c r="P318" t="str">
        <f t="shared" si="4"/>
        <v>Delayed</v>
      </c>
    </row>
    <row r="319" spans="1:16" x14ac:dyDescent="0.3">
      <c r="A319" t="s">
        <v>66</v>
      </c>
      <c r="B319" s="6" t="s">
        <v>242</v>
      </c>
      <c r="C319" t="s">
        <v>12</v>
      </c>
      <c r="D319" t="s">
        <v>44</v>
      </c>
      <c r="E319" t="s">
        <v>45</v>
      </c>
      <c r="F319">
        <v>17</v>
      </c>
      <c r="G319">
        <v>54341</v>
      </c>
      <c r="H319">
        <v>12</v>
      </c>
      <c r="I319">
        <v>28</v>
      </c>
      <c r="J319">
        <v>1040564.94</v>
      </c>
      <c r="K319" t="s">
        <v>46</v>
      </c>
      <c r="L319" t="s">
        <v>26</v>
      </c>
      <c r="M319" s="7">
        <v>45694</v>
      </c>
      <c r="N319" s="7">
        <v>45707</v>
      </c>
      <c r="O319" s="8">
        <v>13</v>
      </c>
      <c r="P319" t="str">
        <f t="shared" si="4"/>
        <v>Delayed</v>
      </c>
    </row>
    <row r="320" spans="1:16" x14ac:dyDescent="0.3">
      <c r="A320" t="s">
        <v>55</v>
      </c>
      <c r="B320" s="6" t="s">
        <v>246</v>
      </c>
      <c r="C320" t="s">
        <v>80</v>
      </c>
      <c r="D320" t="s">
        <v>35</v>
      </c>
      <c r="E320" t="s">
        <v>56</v>
      </c>
      <c r="F320">
        <v>17</v>
      </c>
      <c r="G320">
        <v>44337</v>
      </c>
      <c r="H320">
        <v>0</v>
      </c>
      <c r="I320">
        <v>28</v>
      </c>
      <c r="J320">
        <v>964773.12</v>
      </c>
      <c r="K320" t="s">
        <v>21</v>
      </c>
      <c r="L320" t="s">
        <v>33</v>
      </c>
      <c r="M320" s="7">
        <v>45761</v>
      </c>
      <c r="N320" s="7">
        <v>45774</v>
      </c>
      <c r="O320" s="8">
        <v>13</v>
      </c>
      <c r="P320" t="str">
        <f t="shared" si="4"/>
        <v>Delayed</v>
      </c>
    </row>
    <row r="321" spans="1:16" x14ac:dyDescent="0.3">
      <c r="A321" t="s">
        <v>134</v>
      </c>
      <c r="B321" s="6" t="s">
        <v>245</v>
      </c>
      <c r="C321" t="s">
        <v>18</v>
      </c>
      <c r="D321" t="s">
        <v>35</v>
      </c>
      <c r="E321" t="s">
        <v>56</v>
      </c>
      <c r="F321">
        <v>2</v>
      </c>
      <c r="G321">
        <v>22372</v>
      </c>
      <c r="H321">
        <v>10</v>
      </c>
      <c r="I321">
        <v>28</v>
      </c>
      <c r="J321">
        <v>51545.09</v>
      </c>
      <c r="K321" t="s">
        <v>37</v>
      </c>
      <c r="L321" t="s">
        <v>16</v>
      </c>
      <c r="M321" s="7">
        <v>45767</v>
      </c>
      <c r="N321" s="7">
        <v>45771</v>
      </c>
      <c r="O321" s="8">
        <v>4</v>
      </c>
      <c r="P321" t="str">
        <f t="shared" si="4"/>
        <v>Delayed</v>
      </c>
    </row>
    <row r="322" spans="1:16" x14ac:dyDescent="0.3">
      <c r="A322" t="s">
        <v>201</v>
      </c>
      <c r="B322" s="6" t="s">
        <v>240</v>
      </c>
      <c r="C322" t="s">
        <v>28</v>
      </c>
      <c r="D322" t="s">
        <v>35</v>
      </c>
      <c r="E322" t="s">
        <v>36</v>
      </c>
      <c r="F322">
        <v>37</v>
      </c>
      <c r="G322">
        <v>27916</v>
      </c>
      <c r="H322">
        <v>12</v>
      </c>
      <c r="I322">
        <v>28</v>
      </c>
      <c r="J322">
        <v>1163449.55</v>
      </c>
      <c r="K322" t="s">
        <v>15</v>
      </c>
      <c r="L322" t="s">
        <v>16</v>
      </c>
      <c r="M322" s="7">
        <v>45729</v>
      </c>
      <c r="N322" s="7">
        <v>45738</v>
      </c>
      <c r="O322" s="8">
        <v>9</v>
      </c>
      <c r="P322" t="str">
        <f t="shared" ref="P322:P385" si="5">IF(O322="","Pending",IF(O322=0,"Delivered",IF(O322&lt;=3,"On Delivery","Delayed")))</f>
        <v>Delayed</v>
      </c>
    </row>
    <row r="323" spans="1:16" x14ac:dyDescent="0.3">
      <c r="A323" t="s">
        <v>202</v>
      </c>
      <c r="B323" s="6" t="s">
        <v>241</v>
      </c>
      <c r="C323" t="s">
        <v>42</v>
      </c>
      <c r="D323" t="s">
        <v>24</v>
      </c>
      <c r="E323" t="s">
        <v>76</v>
      </c>
      <c r="F323">
        <v>22</v>
      </c>
      <c r="G323">
        <v>70571</v>
      </c>
      <c r="H323">
        <v>0</v>
      </c>
      <c r="I323">
        <v>12</v>
      </c>
      <c r="J323">
        <v>1738869.44</v>
      </c>
      <c r="K323" t="s">
        <v>37</v>
      </c>
      <c r="L323" t="s">
        <v>26</v>
      </c>
      <c r="M323" s="7">
        <v>45827</v>
      </c>
      <c r="N323" s="7">
        <v>45839</v>
      </c>
      <c r="O323" s="8">
        <v>12</v>
      </c>
      <c r="P323" t="str">
        <f t="shared" si="5"/>
        <v>Delayed</v>
      </c>
    </row>
    <row r="324" spans="1:16" x14ac:dyDescent="0.3">
      <c r="A324" t="s">
        <v>203</v>
      </c>
      <c r="B324" s="6" t="s">
        <v>245</v>
      </c>
      <c r="C324" t="s">
        <v>18</v>
      </c>
      <c r="D324" t="s">
        <v>48</v>
      </c>
      <c r="E324" t="s">
        <v>49</v>
      </c>
      <c r="F324">
        <v>13</v>
      </c>
      <c r="G324">
        <v>47236</v>
      </c>
      <c r="H324">
        <v>5</v>
      </c>
      <c r="I324">
        <v>18</v>
      </c>
      <c r="J324">
        <v>688370.23</v>
      </c>
      <c r="K324" t="s">
        <v>37</v>
      </c>
      <c r="L324" t="s">
        <v>38</v>
      </c>
      <c r="M324" s="7">
        <v>45743</v>
      </c>
      <c r="N324" s="7">
        <v>45758</v>
      </c>
      <c r="O324" s="8">
        <v>15</v>
      </c>
      <c r="P324" t="str">
        <f t="shared" si="5"/>
        <v>Delayed</v>
      </c>
    </row>
    <row r="325" spans="1:16" x14ac:dyDescent="0.3">
      <c r="A325" t="s">
        <v>34</v>
      </c>
      <c r="B325" s="6" t="s">
        <v>246</v>
      </c>
      <c r="C325" t="s">
        <v>80</v>
      </c>
      <c r="D325" t="s">
        <v>62</v>
      </c>
      <c r="E325" t="s">
        <v>63</v>
      </c>
      <c r="F325">
        <v>4</v>
      </c>
      <c r="G325">
        <v>44603</v>
      </c>
      <c r="H325">
        <v>12</v>
      </c>
      <c r="I325">
        <v>18</v>
      </c>
      <c r="J325">
        <v>185263.02</v>
      </c>
      <c r="K325" t="s">
        <v>46</v>
      </c>
      <c r="L325" t="s">
        <v>16</v>
      </c>
      <c r="M325" s="7">
        <v>45786</v>
      </c>
      <c r="N325" s="7">
        <v>45794</v>
      </c>
      <c r="O325" s="8">
        <v>8</v>
      </c>
      <c r="P325" t="str">
        <f t="shared" si="5"/>
        <v>Delayed</v>
      </c>
    </row>
    <row r="326" spans="1:16" x14ac:dyDescent="0.3">
      <c r="A326" t="s">
        <v>204</v>
      </c>
      <c r="B326" s="6" t="s">
        <v>240</v>
      </c>
      <c r="C326" t="s">
        <v>28</v>
      </c>
      <c r="D326" t="s">
        <v>13</v>
      </c>
      <c r="E326" t="s">
        <v>14</v>
      </c>
      <c r="F326">
        <v>24</v>
      </c>
      <c r="G326">
        <v>77164</v>
      </c>
      <c r="H326">
        <v>10</v>
      </c>
      <c r="I326">
        <v>12</v>
      </c>
      <c r="J326">
        <v>1866751.49</v>
      </c>
      <c r="K326" t="s">
        <v>46</v>
      </c>
      <c r="L326" t="s">
        <v>16</v>
      </c>
      <c r="M326" s="7">
        <v>45672</v>
      </c>
      <c r="N326" s="7">
        <v>45687</v>
      </c>
      <c r="O326" s="8">
        <v>15</v>
      </c>
      <c r="P326" t="str">
        <f t="shared" si="5"/>
        <v>Delayed</v>
      </c>
    </row>
    <row r="327" spans="1:16" x14ac:dyDescent="0.3">
      <c r="A327" t="s">
        <v>205</v>
      </c>
      <c r="B327" s="6" t="s">
        <v>240</v>
      </c>
      <c r="C327" t="s">
        <v>28</v>
      </c>
      <c r="D327" t="s">
        <v>48</v>
      </c>
      <c r="E327" t="s">
        <v>59</v>
      </c>
      <c r="F327">
        <v>24</v>
      </c>
      <c r="G327">
        <v>77215</v>
      </c>
      <c r="H327">
        <v>5</v>
      </c>
      <c r="I327">
        <v>28</v>
      </c>
      <c r="J327">
        <v>2253442.56</v>
      </c>
      <c r="K327" t="s">
        <v>46</v>
      </c>
      <c r="L327" t="s">
        <v>38</v>
      </c>
      <c r="M327" s="7">
        <v>45685</v>
      </c>
      <c r="N327" s="7">
        <v>45688</v>
      </c>
      <c r="O327" s="8">
        <v>3</v>
      </c>
      <c r="P327" t="str">
        <f t="shared" si="5"/>
        <v>On Delivery</v>
      </c>
    </row>
    <row r="328" spans="1:16" x14ac:dyDescent="0.3">
      <c r="A328" t="s">
        <v>84</v>
      </c>
      <c r="B328" s="6" t="s">
        <v>246</v>
      </c>
      <c r="C328" t="s">
        <v>80</v>
      </c>
      <c r="D328" t="s">
        <v>24</v>
      </c>
      <c r="E328" t="s">
        <v>40</v>
      </c>
      <c r="F328">
        <v>38</v>
      </c>
      <c r="G328">
        <v>43446</v>
      </c>
      <c r="H328">
        <v>12</v>
      </c>
      <c r="I328">
        <v>18</v>
      </c>
      <c r="J328">
        <v>1714344.4</v>
      </c>
      <c r="K328" t="s">
        <v>21</v>
      </c>
      <c r="L328" t="s">
        <v>16</v>
      </c>
      <c r="M328" s="7">
        <v>45774</v>
      </c>
      <c r="N328" s="7">
        <v>45781</v>
      </c>
      <c r="O328" s="8">
        <v>7</v>
      </c>
      <c r="P328" t="str">
        <f t="shared" si="5"/>
        <v>Delayed</v>
      </c>
    </row>
    <row r="329" spans="1:16" x14ac:dyDescent="0.3">
      <c r="A329" t="s">
        <v>107</v>
      </c>
      <c r="B329" s="6" t="s">
        <v>240</v>
      </c>
      <c r="C329" t="s">
        <v>28</v>
      </c>
      <c r="D329" t="s">
        <v>19</v>
      </c>
      <c r="E329" t="s">
        <v>20</v>
      </c>
      <c r="F329">
        <v>22</v>
      </c>
      <c r="G329">
        <v>6772</v>
      </c>
      <c r="H329">
        <v>12</v>
      </c>
      <c r="I329">
        <v>28</v>
      </c>
      <c r="J329">
        <v>167815.58</v>
      </c>
      <c r="K329" t="s">
        <v>15</v>
      </c>
      <c r="L329" t="s">
        <v>38</v>
      </c>
      <c r="M329" s="7">
        <v>45758</v>
      </c>
      <c r="N329" s="7">
        <v>45772</v>
      </c>
      <c r="O329" s="8">
        <v>14</v>
      </c>
      <c r="P329" t="str">
        <f t="shared" si="5"/>
        <v>Delayed</v>
      </c>
    </row>
    <row r="330" spans="1:16" x14ac:dyDescent="0.3">
      <c r="A330" t="s">
        <v>201</v>
      </c>
      <c r="B330" s="6" t="s">
        <v>244</v>
      </c>
      <c r="C330" t="s">
        <v>70</v>
      </c>
      <c r="D330" t="s">
        <v>13</v>
      </c>
      <c r="E330" t="s">
        <v>32</v>
      </c>
      <c r="F330">
        <v>15</v>
      </c>
      <c r="G330">
        <v>20770</v>
      </c>
      <c r="H330">
        <v>10</v>
      </c>
      <c r="I330">
        <v>18</v>
      </c>
      <c r="J330">
        <v>330866.09999999998</v>
      </c>
      <c r="K330" t="s">
        <v>15</v>
      </c>
      <c r="L330" t="s">
        <v>33</v>
      </c>
      <c r="M330" s="7">
        <v>45731</v>
      </c>
      <c r="N330" s="7">
        <v>45732</v>
      </c>
      <c r="O330" s="8">
        <v>1</v>
      </c>
      <c r="P330" t="str">
        <f t="shared" si="5"/>
        <v>On Delivery</v>
      </c>
    </row>
    <row r="331" spans="1:16" x14ac:dyDescent="0.3">
      <c r="A331" t="s">
        <v>122</v>
      </c>
      <c r="B331" s="6" t="s">
        <v>243</v>
      </c>
      <c r="C331" t="s">
        <v>53</v>
      </c>
      <c r="D331" t="s">
        <v>62</v>
      </c>
      <c r="E331" t="s">
        <v>63</v>
      </c>
      <c r="F331">
        <v>39</v>
      </c>
      <c r="G331">
        <v>65791</v>
      </c>
      <c r="H331">
        <v>10</v>
      </c>
      <c r="I331">
        <v>12</v>
      </c>
      <c r="J331">
        <v>2586375.79</v>
      </c>
      <c r="K331" t="s">
        <v>15</v>
      </c>
      <c r="L331" t="s">
        <v>33</v>
      </c>
      <c r="M331" s="7">
        <v>45728</v>
      </c>
      <c r="N331" s="7">
        <v>45736</v>
      </c>
      <c r="O331" s="8">
        <v>8</v>
      </c>
      <c r="P331" t="str">
        <f t="shared" si="5"/>
        <v>Delayed</v>
      </c>
    </row>
    <row r="332" spans="1:16" x14ac:dyDescent="0.3">
      <c r="A332" t="s">
        <v>206</v>
      </c>
      <c r="B332" s="6" t="s">
        <v>239</v>
      </c>
      <c r="C332" t="s">
        <v>23</v>
      </c>
      <c r="D332" t="s">
        <v>19</v>
      </c>
      <c r="E332" t="s">
        <v>20</v>
      </c>
      <c r="F332">
        <v>21</v>
      </c>
      <c r="G332">
        <v>74072</v>
      </c>
      <c r="H332">
        <v>12</v>
      </c>
      <c r="I332">
        <v>28</v>
      </c>
      <c r="J332">
        <v>1752128.72</v>
      </c>
      <c r="K332" t="s">
        <v>15</v>
      </c>
      <c r="L332" t="s">
        <v>26</v>
      </c>
      <c r="M332" s="7">
        <v>45778</v>
      </c>
      <c r="N332" s="7">
        <v>45792</v>
      </c>
      <c r="O332" s="8">
        <v>14</v>
      </c>
      <c r="P332" t="str">
        <f t="shared" si="5"/>
        <v>Delayed</v>
      </c>
    </row>
    <row r="333" spans="1:16" x14ac:dyDescent="0.3">
      <c r="A333" t="s">
        <v>137</v>
      </c>
      <c r="B333" s="6" t="s">
        <v>246</v>
      </c>
      <c r="C333" t="s">
        <v>80</v>
      </c>
      <c r="D333" t="s">
        <v>24</v>
      </c>
      <c r="E333" t="s">
        <v>76</v>
      </c>
      <c r="F333">
        <v>40</v>
      </c>
      <c r="G333">
        <v>24239</v>
      </c>
      <c r="H333">
        <v>5</v>
      </c>
      <c r="I333">
        <v>28</v>
      </c>
      <c r="J333">
        <v>1178984.96</v>
      </c>
      <c r="K333" t="s">
        <v>37</v>
      </c>
      <c r="L333" t="s">
        <v>16</v>
      </c>
      <c r="M333" s="7">
        <v>45668</v>
      </c>
      <c r="N333" s="7">
        <v>45679</v>
      </c>
      <c r="O333" s="8">
        <v>11</v>
      </c>
      <c r="P333" t="str">
        <f t="shared" si="5"/>
        <v>Delayed</v>
      </c>
    </row>
    <row r="334" spans="1:16" x14ac:dyDescent="0.3">
      <c r="A334" t="s">
        <v>78</v>
      </c>
      <c r="B334" s="6" t="s">
        <v>238</v>
      </c>
      <c r="C334" t="s">
        <v>58</v>
      </c>
      <c r="D334" t="s">
        <v>19</v>
      </c>
      <c r="E334" t="s">
        <v>20</v>
      </c>
      <c r="F334">
        <v>22</v>
      </c>
      <c r="G334">
        <v>59893</v>
      </c>
      <c r="H334">
        <v>0</v>
      </c>
      <c r="I334">
        <v>12</v>
      </c>
      <c r="J334">
        <v>1475763.52</v>
      </c>
      <c r="K334" t="s">
        <v>46</v>
      </c>
      <c r="L334" t="s">
        <v>26</v>
      </c>
      <c r="M334" s="7">
        <v>45834</v>
      </c>
      <c r="N334" s="7">
        <v>45842</v>
      </c>
      <c r="O334" s="8">
        <v>8</v>
      </c>
      <c r="P334" t="str">
        <f t="shared" si="5"/>
        <v>Delayed</v>
      </c>
    </row>
    <row r="335" spans="1:16" x14ac:dyDescent="0.3">
      <c r="A335" t="s">
        <v>137</v>
      </c>
      <c r="B335" s="6" t="s">
        <v>239</v>
      </c>
      <c r="C335" t="s">
        <v>23</v>
      </c>
      <c r="D335" t="s">
        <v>62</v>
      </c>
      <c r="E335" t="s">
        <v>92</v>
      </c>
      <c r="F335">
        <v>34</v>
      </c>
      <c r="G335">
        <v>61857</v>
      </c>
      <c r="H335">
        <v>12</v>
      </c>
      <c r="I335">
        <v>12</v>
      </c>
      <c r="J335">
        <v>2072852.81</v>
      </c>
      <c r="K335" t="s">
        <v>21</v>
      </c>
      <c r="L335" t="s">
        <v>26</v>
      </c>
      <c r="M335" s="7">
        <v>45665</v>
      </c>
      <c r="N335" s="7">
        <v>45666</v>
      </c>
      <c r="O335" s="8">
        <v>1</v>
      </c>
      <c r="P335" t="str">
        <f t="shared" si="5"/>
        <v>On Delivery</v>
      </c>
    </row>
    <row r="336" spans="1:16" x14ac:dyDescent="0.3">
      <c r="A336" t="s">
        <v>54</v>
      </c>
      <c r="B336" s="6" t="s">
        <v>239</v>
      </c>
      <c r="C336" t="s">
        <v>23</v>
      </c>
      <c r="D336" t="s">
        <v>19</v>
      </c>
      <c r="E336" t="s">
        <v>20</v>
      </c>
      <c r="F336">
        <v>13</v>
      </c>
      <c r="G336">
        <v>45464</v>
      </c>
      <c r="H336">
        <v>0</v>
      </c>
      <c r="I336">
        <v>18</v>
      </c>
      <c r="J336">
        <v>697417.76</v>
      </c>
      <c r="K336" t="s">
        <v>21</v>
      </c>
      <c r="L336" t="s">
        <v>16</v>
      </c>
      <c r="M336" s="7">
        <v>45742</v>
      </c>
      <c r="N336" s="7">
        <v>45743</v>
      </c>
      <c r="O336" s="8">
        <v>1</v>
      </c>
      <c r="P336" t="str">
        <f t="shared" si="5"/>
        <v>On Delivery</v>
      </c>
    </row>
    <row r="337" spans="1:16" x14ac:dyDescent="0.3">
      <c r="A337" t="s">
        <v>89</v>
      </c>
      <c r="B337" s="6" t="s">
        <v>245</v>
      </c>
      <c r="C337" t="s">
        <v>18</v>
      </c>
      <c r="D337" t="s">
        <v>13</v>
      </c>
      <c r="E337" t="s">
        <v>32</v>
      </c>
      <c r="F337">
        <v>29</v>
      </c>
      <c r="G337">
        <v>40465</v>
      </c>
      <c r="H337">
        <v>0</v>
      </c>
      <c r="I337">
        <v>18</v>
      </c>
      <c r="J337">
        <v>1384712.3</v>
      </c>
      <c r="K337" t="s">
        <v>15</v>
      </c>
      <c r="L337" t="s">
        <v>16</v>
      </c>
      <c r="M337" s="7">
        <v>45696</v>
      </c>
      <c r="N337" s="7">
        <v>45710</v>
      </c>
      <c r="O337" s="8">
        <v>14</v>
      </c>
      <c r="P337" t="str">
        <f t="shared" si="5"/>
        <v>Delayed</v>
      </c>
    </row>
    <row r="338" spans="1:16" x14ac:dyDescent="0.3">
      <c r="A338" t="s">
        <v>197</v>
      </c>
      <c r="B338" s="6" t="s">
        <v>245</v>
      </c>
      <c r="C338" t="s">
        <v>18</v>
      </c>
      <c r="D338" t="s">
        <v>19</v>
      </c>
      <c r="E338" t="s">
        <v>20</v>
      </c>
      <c r="F338">
        <v>34</v>
      </c>
      <c r="G338">
        <v>24625</v>
      </c>
      <c r="H338">
        <v>10</v>
      </c>
      <c r="I338">
        <v>18</v>
      </c>
      <c r="J338">
        <v>889159.5</v>
      </c>
      <c r="K338" t="s">
        <v>21</v>
      </c>
      <c r="L338" t="s">
        <v>33</v>
      </c>
      <c r="M338" s="7">
        <v>45832</v>
      </c>
      <c r="N338" s="7">
        <v>45844</v>
      </c>
      <c r="O338" s="8">
        <v>12</v>
      </c>
      <c r="P338" t="str">
        <f t="shared" si="5"/>
        <v>Delayed</v>
      </c>
    </row>
    <row r="339" spans="1:16" x14ac:dyDescent="0.3">
      <c r="A339" t="s">
        <v>192</v>
      </c>
      <c r="B339" s="6" t="s">
        <v>239</v>
      </c>
      <c r="C339" t="s">
        <v>23</v>
      </c>
      <c r="D339" t="s">
        <v>24</v>
      </c>
      <c r="E339" t="s">
        <v>25</v>
      </c>
      <c r="F339">
        <v>34</v>
      </c>
      <c r="G339">
        <v>73781</v>
      </c>
      <c r="H339">
        <v>10</v>
      </c>
      <c r="I339">
        <v>12</v>
      </c>
      <c r="J339">
        <v>2528622.4300000002</v>
      </c>
      <c r="K339" t="s">
        <v>37</v>
      </c>
      <c r="L339" t="s">
        <v>16</v>
      </c>
      <c r="M339" s="7">
        <v>45814</v>
      </c>
      <c r="N339" s="7">
        <v>45829</v>
      </c>
      <c r="O339" s="8">
        <v>15</v>
      </c>
      <c r="P339" t="str">
        <f t="shared" si="5"/>
        <v>Delayed</v>
      </c>
    </row>
    <row r="340" spans="1:16" x14ac:dyDescent="0.3">
      <c r="A340" t="s">
        <v>188</v>
      </c>
      <c r="B340" s="6" t="s">
        <v>239</v>
      </c>
      <c r="C340" t="s">
        <v>23</v>
      </c>
      <c r="D340" t="s">
        <v>24</v>
      </c>
      <c r="E340" t="s">
        <v>40</v>
      </c>
      <c r="F340">
        <v>28</v>
      </c>
      <c r="G340">
        <v>37028</v>
      </c>
      <c r="H340">
        <v>0</v>
      </c>
      <c r="I340">
        <v>12</v>
      </c>
      <c r="J340">
        <v>1161198.0800000001</v>
      </c>
      <c r="K340" t="s">
        <v>46</v>
      </c>
      <c r="L340" t="s">
        <v>33</v>
      </c>
      <c r="M340" s="7">
        <v>45820</v>
      </c>
      <c r="N340" s="7">
        <v>45824</v>
      </c>
      <c r="O340" s="8">
        <v>4</v>
      </c>
      <c r="P340" t="str">
        <f t="shared" si="5"/>
        <v>Delayed</v>
      </c>
    </row>
    <row r="341" spans="1:16" x14ac:dyDescent="0.3">
      <c r="A341" t="s">
        <v>122</v>
      </c>
      <c r="B341" s="6" t="s">
        <v>245</v>
      </c>
      <c r="C341" t="s">
        <v>18</v>
      </c>
      <c r="D341" t="s">
        <v>24</v>
      </c>
      <c r="E341" t="s">
        <v>76</v>
      </c>
      <c r="F341">
        <v>22</v>
      </c>
      <c r="G341">
        <v>77286</v>
      </c>
      <c r="H341">
        <v>0</v>
      </c>
      <c r="I341">
        <v>12</v>
      </c>
      <c r="J341">
        <v>1904327.04</v>
      </c>
      <c r="K341" t="s">
        <v>46</v>
      </c>
      <c r="L341" t="s">
        <v>16</v>
      </c>
      <c r="M341" s="7">
        <v>45728</v>
      </c>
      <c r="N341" s="7">
        <v>45732</v>
      </c>
      <c r="O341" s="8">
        <v>4</v>
      </c>
      <c r="P341" t="str">
        <f t="shared" si="5"/>
        <v>Delayed</v>
      </c>
    </row>
    <row r="342" spans="1:16" x14ac:dyDescent="0.3">
      <c r="A342" t="s">
        <v>207</v>
      </c>
      <c r="B342" s="6" t="s">
        <v>238</v>
      </c>
      <c r="C342" t="s">
        <v>58</v>
      </c>
      <c r="D342" t="s">
        <v>13</v>
      </c>
      <c r="E342" t="s">
        <v>32</v>
      </c>
      <c r="F342">
        <v>35</v>
      </c>
      <c r="G342">
        <v>82585</v>
      </c>
      <c r="H342">
        <v>12</v>
      </c>
      <c r="I342">
        <v>12</v>
      </c>
      <c r="J342">
        <v>2848852.16</v>
      </c>
      <c r="K342" t="s">
        <v>15</v>
      </c>
      <c r="L342" t="s">
        <v>26</v>
      </c>
      <c r="M342" s="7">
        <v>45809</v>
      </c>
      <c r="N342" s="7">
        <v>45812</v>
      </c>
      <c r="O342" s="8">
        <v>3</v>
      </c>
      <c r="P342" t="str">
        <f t="shared" si="5"/>
        <v>On Delivery</v>
      </c>
    </row>
    <row r="343" spans="1:16" x14ac:dyDescent="0.3">
      <c r="A343" t="s">
        <v>159</v>
      </c>
      <c r="B343" s="6" t="s">
        <v>243</v>
      </c>
      <c r="C343" t="s">
        <v>53</v>
      </c>
      <c r="D343" t="s">
        <v>35</v>
      </c>
      <c r="E343" t="s">
        <v>77</v>
      </c>
      <c r="F343">
        <v>8</v>
      </c>
      <c r="G343">
        <v>58429</v>
      </c>
      <c r="H343">
        <v>0</v>
      </c>
      <c r="I343">
        <v>18</v>
      </c>
      <c r="J343">
        <v>551569.76</v>
      </c>
      <c r="K343" t="s">
        <v>46</v>
      </c>
      <c r="L343" t="s">
        <v>16</v>
      </c>
      <c r="M343" s="7">
        <v>45845</v>
      </c>
      <c r="N343" s="7">
        <v>45847</v>
      </c>
      <c r="O343" s="8">
        <v>2</v>
      </c>
      <c r="P343" t="str">
        <f t="shared" si="5"/>
        <v>On Delivery</v>
      </c>
    </row>
    <row r="344" spans="1:16" x14ac:dyDescent="0.3">
      <c r="A344" t="s">
        <v>172</v>
      </c>
      <c r="B344" s="6" t="s">
        <v>239</v>
      </c>
      <c r="C344" t="s">
        <v>23</v>
      </c>
      <c r="D344" t="s">
        <v>62</v>
      </c>
      <c r="E344" t="s">
        <v>92</v>
      </c>
      <c r="F344">
        <v>20</v>
      </c>
      <c r="G344">
        <v>71355</v>
      </c>
      <c r="H344">
        <v>10</v>
      </c>
      <c r="I344">
        <v>28</v>
      </c>
      <c r="J344">
        <v>1644019.2</v>
      </c>
      <c r="K344" t="s">
        <v>46</v>
      </c>
      <c r="L344" t="s">
        <v>16</v>
      </c>
      <c r="M344" s="7">
        <v>45836</v>
      </c>
      <c r="N344" s="7">
        <v>45844</v>
      </c>
      <c r="O344" s="8">
        <v>8</v>
      </c>
      <c r="P344" t="str">
        <f t="shared" si="5"/>
        <v>Delayed</v>
      </c>
    </row>
    <row r="345" spans="1:16" x14ac:dyDescent="0.3">
      <c r="A345" t="s">
        <v>185</v>
      </c>
      <c r="B345" s="6" t="s">
        <v>244</v>
      </c>
      <c r="C345" t="s">
        <v>70</v>
      </c>
      <c r="D345" t="s">
        <v>62</v>
      </c>
      <c r="E345" t="s">
        <v>92</v>
      </c>
      <c r="F345">
        <v>26</v>
      </c>
      <c r="G345">
        <v>52843</v>
      </c>
      <c r="H345">
        <v>0</v>
      </c>
      <c r="I345">
        <v>18</v>
      </c>
      <c r="J345">
        <v>1621223.24</v>
      </c>
      <c r="K345" t="s">
        <v>21</v>
      </c>
      <c r="L345" t="s">
        <v>33</v>
      </c>
      <c r="M345" s="7">
        <v>45707</v>
      </c>
      <c r="N345" s="7">
        <v>45708</v>
      </c>
      <c r="O345" s="8">
        <v>1</v>
      </c>
      <c r="P345" t="str">
        <f t="shared" si="5"/>
        <v>On Delivery</v>
      </c>
    </row>
    <row r="346" spans="1:16" x14ac:dyDescent="0.3">
      <c r="A346" t="s">
        <v>138</v>
      </c>
      <c r="B346" s="6" t="s">
        <v>243</v>
      </c>
      <c r="C346" t="s">
        <v>53</v>
      </c>
      <c r="D346" t="s">
        <v>35</v>
      </c>
      <c r="E346" t="s">
        <v>77</v>
      </c>
      <c r="F346">
        <v>13</v>
      </c>
      <c r="G346">
        <v>71491</v>
      </c>
      <c r="H346">
        <v>12</v>
      </c>
      <c r="I346">
        <v>28</v>
      </c>
      <c r="J346">
        <v>1046857.01</v>
      </c>
      <c r="K346" t="s">
        <v>37</v>
      </c>
      <c r="L346" t="s">
        <v>26</v>
      </c>
      <c r="M346" s="7">
        <v>45714</v>
      </c>
      <c r="N346" s="7">
        <v>45717</v>
      </c>
      <c r="O346" s="8">
        <v>3</v>
      </c>
      <c r="P346" t="str">
        <f t="shared" si="5"/>
        <v>On Delivery</v>
      </c>
    </row>
    <row r="347" spans="1:16" x14ac:dyDescent="0.3">
      <c r="A347" t="s">
        <v>146</v>
      </c>
      <c r="B347" s="6" t="s">
        <v>241</v>
      </c>
      <c r="C347" t="s">
        <v>42</v>
      </c>
      <c r="D347" t="s">
        <v>19</v>
      </c>
      <c r="E347" t="s">
        <v>20</v>
      </c>
      <c r="F347">
        <v>23</v>
      </c>
      <c r="G347">
        <v>46307</v>
      </c>
      <c r="H347">
        <v>5</v>
      </c>
      <c r="I347">
        <v>18</v>
      </c>
      <c r="J347">
        <v>1193933.3799999999</v>
      </c>
      <c r="K347" t="s">
        <v>15</v>
      </c>
      <c r="L347" t="s">
        <v>33</v>
      </c>
      <c r="M347" s="7">
        <v>45809</v>
      </c>
      <c r="N347" s="7">
        <v>45813</v>
      </c>
      <c r="O347" s="8">
        <v>4</v>
      </c>
      <c r="P347" t="str">
        <f t="shared" si="5"/>
        <v>Delayed</v>
      </c>
    </row>
    <row r="348" spans="1:16" x14ac:dyDescent="0.3">
      <c r="A348" t="s">
        <v>146</v>
      </c>
      <c r="B348" s="6" t="s">
        <v>241</v>
      </c>
      <c r="C348" t="s">
        <v>42</v>
      </c>
      <c r="D348" t="s">
        <v>35</v>
      </c>
      <c r="E348" t="s">
        <v>77</v>
      </c>
      <c r="F348">
        <v>35</v>
      </c>
      <c r="G348">
        <v>51746</v>
      </c>
      <c r="H348">
        <v>0</v>
      </c>
      <c r="I348">
        <v>12</v>
      </c>
      <c r="J348">
        <v>2028443.2</v>
      </c>
      <c r="K348" t="s">
        <v>37</v>
      </c>
      <c r="L348" t="s">
        <v>16</v>
      </c>
      <c r="M348" s="7">
        <v>45808</v>
      </c>
      <c r="N348" s="7">
        <v>45823</v>
      </c>
      <c r="O348" s="8">
        <v>15</v>
      </c>
      <c r="P348" t="str">
        <f t="shared" si="5"/>
        <v>Delayed</v>
      </c>
    </row>
    <row r="349" spans="1:16" x14ac:dyDescent="0.3">
      <c r="A349" t="s">
        <v>82</v>
      </c>
      <c r="B349" s="6" t="s">
        <v>243</v>
      </c>
      <c r="C349" t="s">
        <v>53</v>
      </c>
      <c r="D349" t="s">
        <v>29</v>
      </c>
      <c r="E349" t="s">
        <v>30</v>
      </c>
      <c r="F349">
        <v>31</v>
      </c>
      <c r="G349">
        <v>50272</v>
      </c>
      <c r="H349">
        <v>0</v>
      </c>
      <c r="I349">
        <v>28</v>
      </c>
      <c r="J349">
        <v>1994792.96</v>
      </c>
      <c r="K349" t="s">
        <v>46</v>
      </c>
      <c r="L349" t="s">
        <v>26</v>
      </c>
      <c r="M349" s="7">
        <v>45843</v>
      </c>
      <c r="N349" s="7">
        <v>45853</v>
      </c>
      <c r="O349" s="8">
        <v>10</v>
      </c>
      <c r="P349" t="str">
        <f t="shared" si="5"/>
        <v>Delayed</v>
      </c>
    </row>
    <row r="350" spans="1:16" x14ac:dyDescent="0.3">
      <c r="A350" t="s">
        <v>124</v>
      </c>
      <c r="B350" s="6" t="s">
        <v>246</v>
      </c>
      <c r="C350" t="s">
        <v>80</v>
      </c>
      <c r="D350" t="s">
        <v>62</v>
      </c>
      <c r="E350" t="s">
        <v>92</v>
      </c>
      <c r="F350">
        <v>11</v>
      </c>
      <c r="G350">
        <v>33659</v>
      </c>
      <c r="H350">
        <v>5</v>
      </c>
      <c r="I350">
        <v>12</v>
      </c>
      <c r="J350">
        <v>393944.94</v>
      </c>
      <c r="K350" t="s">
        <v>46</v>
      </c>
      <c r="L350" t="s">
        <v>26</v>
      </c>
      <c r="M350" s="7">
        <v>45819</v>
      </c>
      <c r="N350" s="7">
        <v>45826</v>
      </c>
      <c r="O350" s="8">
        <v>7</v>
      </c>
      <c r="P350" t="str">
        <f t="shared" si="5"/>
        <v>Delayed</v>
      </c>
    </row>
    <row r="351" spans="1:16" x14ac:dyDescent="0.3">
      <c r="A351" t="s">
        <v>143</v>
      </c>
      <c r="B351" s="6" t="s">
        <v>239</v>
      </c>
      <c r="C351" t="s">
        <v>23</v>
      </c>
      <c r="D351" t="s">
        <v>62</v>
      </c>
      <c r="E351" t="s">
        <v>63</v>
      </c>
      <c r="F351">
        <v>22</v>
      </c>
      <c r="G351">
        <v>65290</v>
      </c>
      <c r="H351">
        <v>12</v>
      </c>
      <c r="I351">
        <v>18</v>
      </c>
      <c r="J351">
        <v>1491536.99</v>
      </c>
      <c r="K351" t="s">
        <v>21</v>
      </c>
      <c r="L351" t="s">
        <v>16</v>
      </c>
      <c r="M351" s="7">
        <v>45679</v>
      </c>
      <c r="N351" s="7">
        <v>45686</v>
      </c>
      <c r="O351" s="8">
        <v>7</v>
      </c>
      <c r="P351" t="str">
        <f t="shared" si="5"/>
        <v>Delayed</v>
      </c>
    </row>
    <row r="352" spans="1:16" x14ac:dyDescent="0.3">
      <c r="A352" t="s">
        <v>100</v>
      </c>
      <c r="B352" s="6" t="s">
        <v>243</v>
      </c>
      <c r="C352" t="s">
        <v>53</v>
      </c>
      <c r="D352" t="s">
        <v>24</v>
      </c>
      <c r="E352" t="s">
        <v>25</v>
      </c>
      <c r="F352">
        <v>12</v>
      </c>
      <c r="G352">
        <v>71545</v>
      </c>
      <c r="H352">
        <v>5</v>
      </c>
      <c r="I352">
        <v>28</v>
      </c>
      <c r="J352">
        <v>1043984.64</v>
      </c>
      <c r="K352" t="s">
        <v>21</v>
      </c>
      <c r="L352" t="s">
        <v>33</v>
      </c>
      <c r="M352" s="7">
        <v>45762</v>
      </c>
      <c r="N352" s="7">
        <v>45775</v>
      </c>
      <c r="O352" s="8">
        <v>13</v>
      </c>
      <c r="P352" t="str">
        <f t="shared" si="5"/>
        <v>Delayed</v>
      </c>
    </row>
    <row r="353" spans="1:16" x14ac:dyDescent="0.3">
      <c r="A353" t="s">
        <v>66</v>
      </c>
      <c r="B353" s="6" t="s">
        <v>246</v>
      </c>
      <c r="C353" t="s">
        <v>80</v>
      </c>
      <c r="D353" t="s">
        <v>13</v>
      </c>
      <c r="E353" t="s">
        <v>14</v>
      </c>
      <c r="F353">
        <v>36</v>
      </c>
      <c r="G353">
        <v>2735</v>
      </c>
      <c r="H353">
        <v>10</v>
      </c>
      <c r="I353">
        <v>12</v>
      </c>
      <c r="J353">
        <v>99247.679999999993</v>
      </c>
      <c r="K353" t="s">
        <v>37</v>
      </c>
      <c r="L353" t="s">
        <v>16</v>
      </c>
      <c r="M353" s="7">
        <v>45691</v>
      </c>
      <c r="N353" s="7">
        <v>45706</v>
      </c>
      <c r="O353" s="8">
        <v>15</v>
      </c>
      <c r="P353" t="str">
        <f t="shared" si="5"/>
        <v>Delayed</v>
      </c>
    </row>
    <row r="354" spans="1:16" x14ac:dyDescent="0.3">
      <c r="A354" t="s">
        <v>148</v>
      </c>
      <c r="B354" s="6" t="s">
        <v>242</v>
      </c>
      <c r="C354" t="s">
        <v>12</v>
      </c>
      <c r="D354" t="s">
        <v>35</v>
      </c>
      <c r="E354" t="s">
        <v>56</v>
      </c>
      <c r="F354">
        <v>19</v>
      </c>
      <c r="G354">
        <v>56352</v>
      </c>
      <c r="H354">
        <v>5</v>
      </c>
      <c r="I354">
        <v>18</v>
      </c>
      <c r="J354">
        <v>1200241.25</v>
      </c>
      <c r="K354" t="s">
        <v>37</v>
      </c>
      <c r="L354" t="s">
        <v>33</v>
      </c>
      <c r="M354" s="7">
        <v>45715</v>
      </c>
      <c r="N354" s="7">
        <v>45720</v>
      </c>
      <c r="O354" s="8">
        <v>5</v>
      </c>
      <c r="P354" t="str">
        <f t="shared" si="5"/>
        <v>Delayed</v>
      </c>
    </row>
    <row r="355" spans="1:16" x14ac:dyDescent="0.3">
      <c r="A355" t="s">
        <v>207</v>
      </c>
      <c r="B355" s="6" t="s">
        <v>245</v>
      </c>
      <c r="C355" t="s">
        <v>18</v>
      </c>
      <c r="D355" t="s">
        <v>48</v>
      </c>
      <c r="E355" t="s">
        <v>59</v>
      </c>
      <c r="F355">
        <v>12</v>
      </c>
      <c r="G355">
        <v>47459</v>
      </c>
      <c r="H355">
        <v>12</v>
      </c>
      <c r="I355">
        <v>18</v>
      </c>
      <c r="J355">
        <v>591377.11</v>
      </c>
      <c r="K355" t="s">
        <v>15</v>
      </c>
      <c r="L355" t="s">
        <v>33</v>
      </c>
      <c r="M355" s="7">
        <v>45816</v>
      </c>
      <c r="N355" s="7">
        <v>45822</v>
      </c>
      <c r="O355" s="8">
        <v>6</v>
      </c>
      <c r="P355" t="str">
        <f t="shared" si="5"/>
        <v>Delayed</v>
      </c>
    </row>
    <row r="356" spans="1:16" x14ac:dyDescent="0.3">
      <c r="A356" t="s">
        <v>208</v>
      </c>
      <c r="B356" s="6" t="s">
        <v>243</v>
      </c>
      <c r="C356" t="s">
        <v>53</v>
      </c>
      <c r="D356" t="s">
        <v>29</v>
      </c>
      <c r="E356" t="s">
        <v>30</v>
      </c>
      <c r="F356">
        <v>23</v>
      </c>
      <c r="G356">
        <v>43689</v>
      </c>
      <c r="H356">
        <v>10</v>
      </c>
      <c r="I356">
        <v>28</v>
      </c>
      <c r="J356">
        <v>1157583.74</v>
      </c>
      <c r="K356" t="s">
        <v>37</v>
      </c>
      <c r="L356" t="s">
        <v>38</v>
      </c>
      <c r="M356" s="7">
        <v>45799</v>
      </c>
      <c r="N356" s="7">
        <v>45814</v>
      </c>
      <c r="O356" s="8">
        <v>15</v>
      </c>
      <c r="P356" t="str">
        <f t="shared" si="5"/>
        <v>Delayed</v>
      </c>
    </row>
    <row r="357" spans="1:16" x14ac:dyDescent="0.3">
      <c r="A357" t="s">
        <v>138</v>
      </c>
      <c r="B357" s="6" t="s">
        <v>240</v>
      </c>
      <c r="C357" t="s">
        <v>28</v>
      </c>
      <c r="D357" t="s">
        <v>24</v>
      </c>
      <c r="E357" t="s">
        <v>76</v>
      </c>
      <c r="F357">
        <v>24</v>
      </c>
      <c r="G357">
        <v>79327</v>
      </c>
      <c r="H357">
        <v>12</v>
      </c>
      <c r="I357">
        <v>12</v>
      </c>
      <c r="J357">
        <v>1876432.59</v>
      </c>
      <c r="K357" t="s">
        <v>15</v>
      </c>
      <c r="L357" t="s">
        <v>16</v>
      </c>
      <c r="M357" s="7">
        <v>45719</v>
      </c>
      <c r="N357" s="7">
        <v>45734</v>
      </c>
      <c r="O357" s="8">
        <v>15</v>
      </c>
      <c r="P357" t="str">
        <f t="shared" si="5"/>
        <v>Delayed</v>
      </c>
    </row>
    <row r="358" spans="1:16" x14ac:dyDescent="0.3">
      <c r="A358" t="s">
        <v>165</v>
      </c>
      <c r="B358" s="6" t="s">
        <v>244</v>
      </c>
      <c r="C358" t="s">
        <v>70</v>
      </c>
      <c r="D358" t="s">
        <v>35</v>
      </c>
      <c r="E358" t="s">
        <v>56</v>
      </c>
      <c r="F358">
        <v>39</v>
      </c>
      <c r="G358">
        <v>47751</v>
      </c>
      <c r="H358">
        <v>0</v>
      </c>
      <c r="I358">
        <v>28</v>
      </c>
      <c r="J358">
        <v>2383729.92</v>
      </c>
      <c r="K358" t="s">
        <v>15</v>
      </c>
      <c r="L358" t="s">
        <v>16</v>
      </c>
      <c r="M358" s="7">
        <v>45689</v>
      </c>
      <c r="N358" s="7">
        <v>45704</v>
      </c>
      <c r="O358" s="8">
        <v>15</v>
      </c>
      <c r="P358" t="str">
        <f t="shared" si="5"/>
        <v>Delayed</v>
      </c>
    </row>
    <row r="359" spans="1:16" x14ac:dyDescent="0.3">
      <c r="A359" t="s">
        <v>209</v>
      </c>
      <c r="B359" s="6" t="s">
        <v>243</v>
      </c>
      <c r="C359" t="s">
        <v>53</v>
      </c>
      <c r="D359" t="s">
        <v>35</v>
      </c>
      <c r="E359" t="s">
        <v>77</v>
      </c>
      <c r="F359">
        <v>12</v>
      </c>
      <c r="G359">
        <v>69813</v>
      </c>
      <c r="H359">
        <v>12</v>
      </c>
      <c r="I359">
        <v>12</v>
      </c>
      <c r="J359">
        <v>825692.31</v>
      </c>
      <c r="K359" t="s">
        <v>46</v>
      </c>
      <c r="L359" t="s">
        <v>33</v>
      </c>
      <c r="M359" s="7">
        <v>45828</v>
      </c>
      <c r="N359" s="7">
        <v>45840</v>
      </c>
      <c r="O359" s="8">
        <v>12</v>
      </c>
      <c r="P359" t="str">
        <f t="shared" si="5"/>
        <v>Delayed</v>
      </c>
    </row>
    <row r="360" spans="1:16" x14ac:dyDescent="0.3">
      <c r="A360" t="s">
        <v>109</v>
      </c>
      <c r="B360" s="6" t="s">
        <v>241</v>
      </c>
      <c r="C360" t="s">
        <v>42</v>
      </c>
      <c r="D360" t="s">
        <v>29</v>
      </c>
      <c r="E360" t="s">
        <v>30</v>
      </c>
      <c r="F360">
        <v>5</v>
      </c>
      <c r="G360">
        <v>50048</v>
      </c>
      <c r="H360">
        <v>12</v>
      </c>
      <c r="I360">
        <v>12</v>
      </c>
      <c r="J360">
        <v>246636.54</v>
      </c>
      <c r="K360" t="s">
        <v>21</v>
      </c>
      <c r="L360" t="s">
        <v>26</v>
      </c>
      <c r="M360" s="7">
        <v>45708</v>
      </c>
      <c r="N360" s="7">
        <v>45722</v>
      </c>
      <c r="O360" s="8">
        <v>14</v>
      </c>
      <c r="P360" t="str">
        <f t="shared" si="5"/>
        <v>Delayed</v>
      </c>
    </row>
    <row r="361" spans="1:16" x14ac:dyDescent="0.3">
      <c r="A361" t="s">
        <v>210</v>
      </c>
      <c r="B361" s="6" t="s">
        <v>238</v>
      </c>
      <c r="C361" t="s">
        <v>58</v>
      </c>
      <c r="D361" t="s">
        <v>44</v>
      </c>
      <c r="E361" t="s">
        <v>45</v>
      </c>
      <c r="F361">
        <v>30</v>
      </c>
      <c r="G361">
        <v>79699</v>
      </c>
      <c r="H361">
        <v>10</v>
      </c>
      <c r="I361">
        <v>18</v>
      </c>
      <c r="J361">
        <v>2539210.14</v>
      </c>
      <c r="K361" t="s">
        <v>37</v>
      </c>
      <c r="L361" t="s">
        <v>26</v>
      </c>
      <c r="M361" s="7">
        <v>45823</v>
      </c>
      <c r="N361" s="7">
        <v>45832</v>
      </c>
      <c r="O361" s="8">
        <v>9</v>
      </c>
      <c r="P361" t="str">
        <f t="shared" si="5"/>
        <v>Delayed</v>
      </c>
    </row>
    <row r="362" spans="1:16" x14ac:dyDescent="0.3">
      <c r="A362" t="s">
        <v>196</v>
      </c>
      <c r="B362" s="6" t="s">
        <v>240</v>
      </c>
      <c r="C362" t="s">
        <v>28</v>
      </c>
      <c r="D362" t="s">
        <v>24</v>
      </c>
      <c r="E362" t="s">
        <v>40</v>
      </c>
      <c r="F362">
        <v>4</v>
      </c>
      <c r="G362">
        <v>35410</v>
      </c>
      <c r="H362">
        <v>5</v>
      </c>
      <c r="I362">
        <v>28</v>
      </c>
      <c r="J362">
        <v>172234.23999999999</v>
      </c>
      <c r="K362" t="s">
        <v>21</v>
      </c>
      <c r="L362" t="s">
        <v>33</v>
      </c>
      <c r="M362" s="7">
        <v>45811</v>
      </c>
      <c r="N362" s="7">
        <v>45821</v>
      </c>
      <c r="O362" s="8">
        <v>10</v>
      </c>
      <c r="P362" t="str">
        <f t="shared" si="5"/>
        <v>Delayed</v>
      </c>
    </row>
    <row r="363" spans="1:16" x14ac:dyDescent="0.3">
      <c r="A363" t="s">
        <v>157</v>
      </c>
      <c r="B363" s="6" t="s">
        <v>244</v>
      </c>
      <c r="C363" t="s">
        <v>70</v>
      </c>
      <c r="D363" t="s">
        <v>35</v>
      </c>
      <c r="E363" t="s">
        <v>77</v>
      </c>
      <c r="F363">
        <v>25</v>
      </c>
      <c r="G363">
        <v>31791</v>
      </c>
      <c r="H363">
        <v>5</v>
      </c>
      <c r="I363">
        <v>18</v>
      </c>
      <c r="J363">
        <v>890942.77</v>
      </c>
      <c r="K363" t="s">
        <v>15</v>
      </c>
      <c r="L363" t="s">
        <v>16</v>
      </c>
      <c r="M363" s="7">
        <v>45703</v>
      </c>
      <c r="N363" s="7">
        <v>45716</v>
      </c>
      <c r="O363" s="8">
        <v>13</v>
      </c>
      <c r="P363" t="str">
        <f t="shared" si="5"/>
        <v>Delayed</v>
      </c>
    </row>
    <row r="364" spans="1:16" x14ac:dyDescent="0.3">
      <c r="A364" t="s">
        <v>166</v>
      </c>
      <c r="B364" s="6" t="s">
        <v>239</v>
      </c>
      <c r="C364" t="s">
        <v>23</v>
      </c>
      <c r="D364" t="s">
        <v>62</v>
      </c>
      <c r="E364" t="s">
        <v>63</v>
      </c>
      <c r="F364">
        <v>19</v>
      </c>
      <c r="G364">
        <v>34330</v>
      </c>
      <c r="H364">
        <v>12</v>
      </c>
      <c r="I364">
        <v>18</v>
      </c>
      <c r="J364">
        <v>677317.17</v>
      </c>
      <c r="K364" t="s">
        <v>46</v>
      </c>
      <c r="L364" t="s">
        <v>38</v>
      </c>
      <c r="M364" s="7">
        <v>45752</v>
      </c>
      <c r="N364" s="7">
        <v>45763</v>
      </c>
      <c r="O364" s="8">
        <v>11</v>
      </c>
      <c r="P364" t="str">
        <f t="shared" si="5"/>
        <v>Delayed</v>
      </c>
    </row>
    <row r="365" spans="1:16" x14ac:dyDescent="0.3">
      <c r="A365" t="s">
        <v>97</v>
      </c>
      <c r="B365" s="6" t="s">
        <v>246</v>
      </c>
      <c r="C365" t="s">
        <v>80</v>
      </c>
      <c r="D365" t="s">
        <v>48</v>
      </c>
      <c r="E365" t="s">
        <v>49</v>
      </c>
      <c r="F365">
        <v>11</v>
      </c>
      <c r="G365">
        <v>65202</v>
      </c>
      <c r="H365">
        <v>10</v>
      </c>
      <c r="I365">
        <v>28</v>
      </c>
      <c r="J365">
        <v>826239.74</v>
      </c>
      <c r="K365" t="s">
        <v>37</v>
      </c>
      <c r="L365" t="s">
        <v>38</v>
      </c>
      <c r="M365" s="7">
        <v>45794</v>
      </c>
      <c r="N365" s="7">
        <v>45797</v>
      </c>
      <c r="O365" s="8">
        <v>3</v>
      </c>
      <c r="P365" t="str">
        <f t="shared" si="5"/>
        <v>On Delivery</v>
      </c>
    </row>
    <row r="366" spans="1:16" x14ac:dyDescent="0.3">
      <c r="A366" t="s">
        <v>11</v>
      </c>
      <c r="B366" s="6" t="s">
        <v>238</v>
      </c>
      <c r="C366" t="s">
        <v>58</v>
      </c>
      <c r="D366" t="s">
        <v>24</v>
      </c>
      <c r="E366" t="s">
        <v>40</v>
      </c>
      <c r="F366">
        <v>38</v>
      </c>
      <c r="G366">
        <v>83457</v>
      </c>
      <c r="H366">
        <v>12</v>
      </c>
      <c r="I366">
        <v>28</v>
      </c>
      <c r="J366">
        <v>3572226.66</v>
      </c>
      <c r="K366" t="s">
        <v>46</v>
      </c>
      <c r="L366" t="s">
        <v>33</v>
      </c>
      <c r="M366" s="7">
        <v>45684</v>
      </c>
      <c r="N366" s="7">
        <v>45690</v>
      </c>
      <c r="O366" s="8">
        <v>6</v>
      </c>
      <c r="P366" t="str">
        <f t="shared" si="5"/>
        <v>Delayed</v>
      </c>
    </row>
    <row r="367" spans="1:16" x14ac:dyDescent="0.3">
      <c r="A367" t="s">
        <v>54</v>
      </c>
      <c r="B367" s="6" t="s">
        <v>246</v>
      </c>
      <c r="C367" t="s">
        <v>80</v>
      </c>
      <c r="D367" t="s">
        <v>48</v>
      </c>
      <c r="E367" t="s">
        <v>49</v>
      </c>
      <c r="F367">
        <v>35</v>
      </c>
      <c r="G367">
        <v>68583</v>
      </c>
      <c r="H367">
        <v>5</v>
      </c>
      <c r="I367">
        <v>12</v>
      </c>
      <c r="J367">
        <v>2554030.92</v>
      </c>
      <c r="K367" t="s">
        <v>21</v>
      </c>
      <c r="L367" t="s">
        <v>38</v>
      </c>
      <c r="M367" s="7">
        <v>45742</v>
      </c>
      <c r="N367" s="7">
        <v>45747</v>
      </c>
      <c r="O367" s="8">
        <v>5</v>
      </c>
      <c r="P367" t="str">
        <f t="shared" si="5"/>
        <v>Delayed</v>
      </c>
    </row>
    <row r="368" spans="1:16" x14ac:dyDescent="0.3">
      <c r="A368" t="s">
        <v>17</v>
      </c>
      <c r="B368" s="6" t="s">
        <v>246</v>
      </c>
      <c r="C368" t="s">
        <v>80</v>
      </c>
      <c r="D368" t="s">
        <v>62</v>
      </c>
      <c r="E368" t="s">
        <v>92</v>
      </c>
      <c r="F368">
        <v>25</v>
      </c>
      <c r="G368">
        <v>22907</v>
      </c>
      <c r="H368">
        <v>10</v>
      </c>
      <c r="I368">
        <v>18</v>
      </c>
      <c r="J368">
        <v>608180.85</v>
      </c>
      <c r="K368" t="s">
        <v>15</v>
      </c>
      <c r="L368" t="s">
        <v>38</v>
      </c>
      <c r="M368" s="7">
        <v>45824</v>
      </c>
      <c r="N368" s="7">
        <v>45836</v>
      </c>
      <c r="O368" s="8">
        <v>12</v>
      </c>
      <c r="P368" t="str">
        <f t="shared" si="5"/>
        <v>Delayed</v>
      </c>
    </row>
    <row r="369" spans="1:16" x14ac:dyDescent="0.3">
      <c r="A369" t="s">
        <v>66</v>
      </c>
      <c r="B369" s="6" t="s">
        <v>243</v>
      </c>
      <c r="C369" t="s">
        <v>53</v>
      </c>
      <c r="D369" t="s">
        <v>48</v>
      </c>
      <c r="E369" t="s">
        <v>49</v>
      </c>
      <c r="F369">
        <v>27</v>
      </c>
      <c r="G369">
        <v>62050</v>
      </c>
      <c r="H369">
        <v>12</v>
      </c>
      <c r="I369">
        <v>28</v>
      </c>
      <c r="J369">
        <v>1887114.24</v>
      </c>
      <c r="K369" t="s">
        <v>21</v>
      </c>
      <c r="L369" t="s">
        <v>26</v>
      </c>
      <c r="M369" s="7">
        <v>45692</v>
      </c>
      <c r="N369" s="7">
        <v>45695</v>
      </c>
      <c r="O369" s="8">
        <v>3</v>
      </c>
      <c r="P369" t="str">
        <f t="shared" si="5"/>
        <v>On Delivery</v>
      </c>
    </row>
    <row r="370" spans="1:16" x14ac:dyDescent="0.3">
      <c r="A370" t="s">
        <v>168</v>
      </c>
      <c r="B370" s="6" t="s">
        <v>241</v>
      </c>
      <c r="C370" t="s">
        <v>42</v>
      </c>
      <c r="D370" t="s">
        <v>29</v>
      </c>
      <c r="E370" t="s">
        <v>30</v>
      </c>
      <c r="F370">
        <v>11</v>
      </c>
      <c r="G370">
        <v>6957</v>
      </c>
      <c r="H370">
        <v>0</v>
      </c>
      <c r="I370">
        <v>28</v>
      </c>
      <c r="J370">
        <v>97954.559999999998</v>
      </c>
      <c r="K370" t="s">
        <v>46</v>
      </c>
      <c r="L370" t="s">
        <v>26</v>
      </c>
      <c r="M370" s="7">
        <v>45769</v>
      </c>
      <c r="N370" s="7">
        <v>45781</v>
      </c>
      <c r="O370" s="8">
        <v>12</v>
      </c>
      <c r="P370" t="str">
        <f t="shared" si="5"/>
        <v>Delayed</v>
      </c>
    </row>
    <row r="371" spans="1:16" x14ac:dyDescent="0.3">
      <c r="A371" t="s">
        <v>140</v>
      </c>
      <c r="B371" s="6" t="s">
        <v>239</v>
      </c>
      <c r="C371" t="s">
        <v>23</v>
      </c>
      <c r="D371" t="s">
        <v>62</v>
      </c>
      <c r="E371" t="s">
        <v>63</v>
      </c>
      <c r="F371">
        <v>40</v>
      </c>
      <c r="G371">
        <v>35216</v>
      </c>
      <c r="H371">
        <v>12</v>
      </c>
      <c r="I371">
        <v>28</v>
      </c>
      <c r="J371">
        <v>1586692.1</v>
      </c>
      <c r="K371" t="s">
        <v>15</v>
      </c>
      <c r="L371" t="s">
        <v>38</v>
      </c>
      <c r="M371" s="7">
        <v>45778</v>
      </c>
      <c r="N371" s="7">
        <v>45785</v>
      </c>
      <c r="O371" s="8">
        <v>7</v>
      </c>
      <c r="P371" t="str">
        <f t="shared" si="5"/>
        <v>Delayed</v>
      </c>
    </row>
    <row r="372" spans="1:16" x14ac:dyDescent="0.3">
      <c r="A372" t="s">
        <v>60</v>
      </c>
      <c r="B372" s="6" t="s">
        <v>239</v>
      </c>
      <c r="C372" t="s">
        <v>23</v>
      </c>
      <c r="D372" t="s">
        <v>35</v>
      </c>
      <c r="E372" t="s">
        <v>56</v>
      </c>
      <c r="F372">
        <v>17</v>
      </c>
      <c r="G372">
        <v>17009</v>
      </c>
      <c r="H372">
        <v>12</v>
      </c>
      <c r="I372">
        <v>18</v>
      </c>
      <c r="J372">
        <v>300256.48</v>
      </c>
      <c r="K372" t="s">
        <v>21</v>
      </c>
      <c r="L372" t="s">
        <v>38</v>
      </c>
      <c r="M372" s="7">
        <v>45709</v>
      </c>
      <c r="N372" s="7">
        <v>45710</v>
      </c>
      <c r="O372" s="8">
        <v>1</v>
      </c>
      <c r="P372" t="str">
        <f t="shared" si="5"/>
        <v>On Delivery</v>
      </c>
    </row>
    <row r="373" spans="1:16" x14ac:dyDescent="0.3">
      <c r="A373" t="s">
        <v>96</v>
      </c>
      <c r="B373" s="6" t="s">
        <v>243</v>
      </c>
      <c r="C373" t="s">
        <v>53</v>
      </c>
      <c r="D373" t="s">
        <v>48</v>
      </c>
      <c r="E373" t="s">
        <v>49</v>
      </c>
      <c r="F373">
        <v>40</v>
      </c>
      <c r="G373">
        <v>76552</v>
      </c>
      <c r="H373">
        <v>10</v>
      </c>
      <c r="I373">
        <v>28</v>
      </c>
      <c r="J373">
        <v>3527516.1600000001</v>
      </c>
      <c r="K373" t="s">
        <v>37</v>
      </c>
      <c r="L373" t="s">
        <v>26</v>
      </c>
      <c r="M373" s="7">
        <v>45750</v>
      </c>
      <c r="N373" s="7">
        <v>45755</v>
      </c>
      <c r="O373" s="8">
        <v>5</v>
      </c>
      <c r="P373" t="str">
        <f t="shared" si="5"/>
        <v>Delayed</v>
      </c>
    </row>
    <row r="374" spans="1:16" x14ac:dyDescent="0.3">
      <c r="A374" t="s">
        <v>107</v>
      </c>
      <c r="B374" s="6" t="s">
        <v>238</v>
      </c>
      <c r="C374" t="s">
        <v>58</v>
      </c>
      <c r="D374" t="s">
        <v>35</v>
      </c>
      <c r="E374" t="s">
        <v>36</v>
      </c>
      <c r="F374">
        <v>16</v>
      </c>
      <c r="G374">
        <v>58081</v>
      </c>
      <c r="H374">
        <v>0</v>
      </c>
      <c r="I374">
        <v>18</v>
      </c>
      <c r="J374">
        <v>1096569.28</v>
      </c>
      <c r="K374" t="s">
        <v>15</v>
      </c>
      <c r="L374" t="s">
        <v>33</v>
      </c>
      <c r="M374" s="7">
        <v>45757</v>
      </c>
      <c r="N374" s="7">
        <v>45768</v>
      </c>
      <c r="O374" s="8">
        <v>11</v>
      </c>
      <c r="P374" t="str">
        <f t="shared" si="5"/>
        <v>Delayed</v>
      </c>
    </row>
    <row r="375" spans="1:16" x14ac:dyDescent="0.3">
      <c r="A375" t="s">
        <v>204</v>
      </c>
      <c r="B375" s="6" t="s">
        <v>245</v>
      </c>
      <c r="C375" t="s">
        <v>18</v>
      </c>
      <c r="D375" t="s">
        <v>19</v>
      </c>
      <c r="E375" t="s">
        <v>20</v>
      </c>
      <c r="F375">
        <v>12</v>
      </c>
      <c r="G375">
        <v>10573</v>
      </c>
      <c r="H375">
        <v>5</v>
      </c>
      <c r="I375">
        <v>12</v>
      </c>
      <c r="J375">
        <v>134996.06</v>
      </c>
      <c r="K375" t="s">
        <v>15</v>
      </c>
      <c r="L375" t="s">
        <v>16</v>
      </c>
      <c r="M375" s="7">
        <v>45668</v>
      </c>
      <c r="N375" s="7">
        <v>45676</v>
      </c>
      <c r="O375" s="8">
        <v>8</v>
      </c>
      <c r="P375" t="str">
        <f t="shared" si="5"/>
        <v>Delayed</v>
      </c>
    </row>
    <row r="376" spans="1:16" x14ac:dyDescent="0.3">
      <c r="A376" t="s">
        <v>174</v>
      </c>
      <c r="B376" s="6" t="s">
        <v>240</v>
      </c>
      <c r="C376" t="s">
        <v>28</v>
      </c>
      <c r="D376" t="s">
        <v>62</v>
      </c>
      <c r="E376" t="s">
        <v>92</v>
      </c>
      <c r="F376">
        <v>11</v>
      </c>
      <c r="G376">
        <v>10990</v>
      </c>
      <c r="H376">
        <v>12</v>
      </c>
      <c r="I376">
        <v>18</v>
      </c>
      <c r="J376">
        <v>125532.18</v>
      </c>
      <c r="K376" t="s">
        <v>15</v>
      </c>
      <c r="L376" t="s">
        <v>33</v>
      </c>
      <c r="M376" s="7">
        <v>45671</v>
      </c>
      <c r="N376" s="7">
        <v>45672</v>
      </c>
      <c r="O376" s="8">
        <v>1</v>
      </c>
      <c r="P376" t="str">
        <f t="shared" si="5"/>
        <v>On Delivery</v>
      </c>
    </row>
    <row r="377" spans="1:16" x14ac:dyDescent="0.3">
      <c r="A377" t="s">
        <v>94</v>
      </c>
      <c r="B377" s="6" t="s">
        <v>243</v>
      </c>
      <c r="C377" t="s">
        <v>53</v>
      </c>
      <c r="D377" t="s">
        <v>62</v>
      </c>
      <c r="E377" t="s">
        <v>63</v>
      </c>
      <c r="F377">
        <v>17</v>
      </c>
      <c r="G377">
        <v>67699</v>
      </c>
      <c r="H377">
        <v>0</v>
      </c>
      <c r="I377">
        <v>28</v>
      </c>
      <c r="J377">
        <v>1473130.24</v>
      </c>
      <c r="K377" t="s">
        <v>46</v>
      </c>
      <c r="L377" t="s">
        <v>16</v>
      </c>
      <c r="M377" s="7">
        <v>45784</v>
      </c>
      <c r="N377" s="7">
        <v>45787</v>
      </c>
      <c r="O377" s="8">
        <v>3</v>
      </c>
      <c r="P377" t="str">
        <f t="shared" si="5"/>
        <v>On Delivery</v>
      </c>
    </row>
    <row r="378" spans="1:16" x14ac:dyDescent="0.3">
      <c r="A378" t="s">
        <v>168</v>
      </c>
      <c r="B378" s="6" t="s">
        <v>239</v>
      </c>
      <c r="C378" t="s">
        <v>23</v>
      </c>
      <c r="D378" t="s">
        <v>35</v>
      </c>
      <c r="E378" t="s">
        <v>56</v>
      </c>
      <c r="F378">
        <v>31</v>
      </c>
      <c r="G378">
        <v>28311</v>
      </c>
      <c r="H378">
        <v>5</v>
      </c>
      <c r="I378">
        <v>18</v>
      </c>
      <c r="J378">
        <v>983835.56</v>
      </c>
      <c r="K378" t="s">
        <v>37</v>
      </c>
      <c r="L378" t="s">
        <v>33</v>
      </c>
      <c r="M378" s="7">
        <v>45770</v>
      </c>
      <c r="N378" s="7">
        <v>45771</v>
      </c>
      <c r="O378" s="8">
        <v>1</v>
      </c>
      <c r="P378" t="str">
        <f t="shared" si="5"/>
        <v>On Delivery</v>
      </c>
    </row>
    <row r="379" spans="1:16" x14ac:dyDescent="0.3">
      <c r="A379" t="s">
        <v>114</v>
      </c>
      <c r="B379" s="6" t="s">
        <v>245</v>
      </c>
      <c r="C379" t="s">
        <v>18</v>
      </c>
      <c r="D379" t="s">
        <v>24</v>
      </c>
      <c r="E379" t="s">
        <v>25</v>
      </c>
      <c r="F379">
        <v>1</v>
      </c>
      <c r="G379">
        <v>17601</v>
      </c>
      <c r="H379">
        <v>5</v>
      </c>
      <c r="I379">
        <v>18</v>
      </c>
      <c r="J379">
        <v>19730.72</v>
      </c>
      <c r="K379" t="s">
        <v>21</v>
      </c>
      <c r="L379" t="s">
        <v>26</v>
      </c>
      <c r="M379" s="7">
        <v>45743</v>
      </c>
      <c r="N379" s="7">
        <v>45757</v>
      </c>
      <c r="O379" s="8">
        <v>14</v>
      </c>
      <c r="P379" t="str">
        <f t="shared" si="5"/>
        <v>Delayed</v>
      </c>
    </row>
    <row r="380" spans="1:16" x14ac:dyDescent="0.3">
      <c r="A380" t="s">
        <v>123</v>
      </c>
      <c r="B380" s="6" t="s">
        <v>244</v>
      </c>
      <c r="C380" t="s">
        <v>70</v>
      </c>
      <c r="D380" t="s">
        <v>62</v>
      </c>
      <c r="E380" t="s">
        <v>63</v>
      </c>
      <c r="F380">
        <v>15</v>
      </c>
      <c r="G380">
        <v>2483</v>
      </c>
      <c r="H380">
        <v>5</v>
      </c>
      <c r="I380">
        <v>28</v>
      </c>
      <c r="J380">
        <v>45289.919999999998</v>
      </c>
      <c r="K380" t="s">
        <v>37</v>
      </c>
      <c r="L380" t="s">
        <v>16</v>
      </c>
      <c r="M380" s="7">
        <v>45730</v>
      </c>
      <c r="N380" s="7">
        <v>45736</v>
      </c>
      <c r="O380" s="8">
        <v>6</v>
      </c>
      <c r="P380" t="str">
        <f t="shared" si="5"/>
        <v>Delayed</v>
      </c>
    </row>
    <row r="381" spans="1:16" x14ac:dyDescent="0.3">
      <c r="A381" t="s">
        <v>177</v>
      </c>
      <c r="B381" s="6" t="s">
        <v>243</v>
      </c>
      <c r="C381" t="s">
        <v>53</v>
      </c>
      <c r="D381" t="s">
        <v>35</v>
      </c>
      <c r="E381" t="s">
        <v>77</v>
      </c>
      <c r="F381">
        <v>8</v>
      </c>
      <c r="G381">
        <v>11292</v>
      </c>
      <c r="H381">
        <v>0</v>
      </c>
      <c r="I381">
        <v>12</v>
      </c>
      <c r="J381">
        <v>101176.32000000001</v>
      </c>
      <c r="K381" t="s">
        <v>15</v>
      </c>
      <c r="L381" t="s">
        <v>38</v>
      </c>
      <c r="M381" s="7">
        <v>45825</v>
      </c>
      <c r="N381" s="7">
        <v>45826</v>
      </c>
      <c r="O381" s="8">
        <v>1</v>
      </c>
      <c r="P381" t="str">
        <f t="shared" si="5"/>
        <v>On Delivery</v>
      </c>
    </row>
    <row r="382" spans="1:16" x14ac:dyDescent="0.3">
      <c r="A382" t="s">
        <v>164</v>
      </c>
      <c r="B382" s="6" t="s">
        <v>246</v>
      </c>
      <c r="C382" t="s">
        <v>80</v>
      </c>
      <c r="D382" t="s">
        <v>13</v>
      </c>
      <c r="E382" t="s">
        <v>32</v>
      </c>
      <c r="F382">
        <v>28</v>
      </c>
      <c r="G382">
        <v>24313</v>
      </c>
      <c r="H382">
        <v>5</v>
      </c>
      <c r="I382">
        <v>18</v>
      </c>
      <c r="J382">
        <v>763136.44</v>
      </c>
      <c r="K382" t="s">
        <v>46</v>
      </c>
      <c r="L382" t="s">
        <v>38</v>
      </c>
      <c r="M382" s="7">
        <v>45691</v>
      </c>
      <c r="N382" s="7">
        <v>45693</v>
      </c>
      <c r="O382" s="8">
        <v>2</v>
      </c>
      <c r="P382" t="str">
        <f t="shared" si="5"/>
        <v>On Delivery</v>
      </c>
    </row>
    <row r="383" spans="1:16" x14ac:dyDescent="0.3">
      <c r="A383" t="s">
        <v>138</v>
      </c>
      <c r="B383" s="6" t="s">
        <v>245</v>
      </c>
      <c r="C383" t="s">
        <v>18</v>
      </c>
      <c r="D383" t="s">
        <v>48</v>
      </c>
      <c r="E383" t="s">
        <v>59</v>
      </c>
      <c r="F383">
        <v>2</v>
      </c>
      <c r="G383">
        <v>23561</v>
      </c>
      <c r="H383">
        <v>12</v>
      </c>
      <c r="I383">
        <v>28</v>
      </c>
      <c r="J383">
        <v>53078.22</v>
      </c>
      <c r="K383" t="s">
        <v>21</v>
      </c>
      <c r="L383" t="s">
        <v>33</v>
      </c>
      <c r="M383" s="7">
        <v>45715</v>
      </c>
      <c r="N383" s="7">
        <v>45717</v>
      </c>
      <c r="O383" s="8">
        <v>2</v>
      </c>
      <c r="P383" t="str">
        <f t="shared" si="5"/>
        <v>On Delivery</v>
      </c>
    </row>
    <row r="384" spans="1:16" x14ac:dyDescent="0.3">
      <c r="A384" t="s">
        <v>41</v>
      </c>
      <c r="B384" s="6" t="s">
        <v>240</v>
      </c>
      <c r="C384" t="s">
        <v>28</v>
      </c>
      <c r="D384" t="s">
        <v>24</v>
      </c>
      <c r="E384" t="s">
        <v>25</v>
      </c>
      <c r="F384">
        <v>19</v>
      </c>
      <c r="G384">
        <v>50907</v>
      </c>
      <c r="H384">
        <v>12</v>
      </c>
      <c r="I384">
        <v>12</v>
      </c>
      <c r="J384">
        <v>953304.84</v>
      </c>
      <c r="K384" t="s">
        <v>46</v>
      </c>
      <c r="L384" t="s">
        <v>16</v>
      </c>
      <c r="M384" s="7">
        <v>45772</v>
      </c>
      <c r="N384" s="7">
        <v>45778</v>
      </c>
      <c r="O384" s="8">
        <v>6</v>
      </c>
      <c r="P384" t="str">
        <f t="shared" si="5"/>
        <v>Delayed</v>
      </c>
    </row>
    <row r="385" spans="1:16" x14ac:dyDescent="0.3">
      <c r="A385" t="s">
        <v>67</v>
      </c>
      <c r="B385" s="6" t="s">
        <v>240</v>
      </c>
      <c r="C385" t="s">
        <v>28</v>
      </c>
      <c r="D385" t="s">
        <v>35</v>
      </c>
      <c r="E385" t="s">
        <v>56</v>
      </c>
      <c r="F385">
        <v>32</v>
      </c>
      <c r="G385">
        <v>23760</v>
      </c>
      <c r="H385">
        <v>12</v>
      </c>
      <c r="I385">
        <v>18</v>
      </c>
      <c r="J385">
        <v>789516.29</v>
      </c>
      <c r="K385" t="s">
        <v>46</v>
      </c>
      <c r="L385" t="s">
        <v>38</v>
      </c>
      <c r="M385" s="7">
        <v>45806</v>
      </c>
      <c r="N385" s="7">
        <v>45815</v>
      </c>
      <c r="O385" s="8">
        <v>9</v>
      </c>
      <c r="P385" t="str">
        <f t="shared" si="5"/>
        <v>Delayed</v>
      </c>
    </row>
    <row r="386" spans="1:16" x14ac:dyDescent="0.3">
      <c r="A386" t="s">
        <v>186</v>
      </c>
      <c r="B386" s="6" t="s">
        <v>243</v>
      </c>
      <c r="C386" t="s">
        <v>53</v>
      </c>
      <c r="D386" t="s">
        <v>62</v>
      </c>
      <c r="E386" t="s">
        <v>92</v>
      </c>
      <c r="F386">
        <v>19</v>
      </c>
      <c r="G386">
        <v>80832</v>
      </c>
      <c r="H386">
        <v>10</v>
      </c>
      <c r="I386">
        <v>28</v>
      </c>
      <c r="J386">
        <v>1769250.82</v>
      </c>
      <c r="K386" t="s">
        <v>46</v>
      </c>
      <c r="L386" t="s">
        <v>26</v>
      </c>
      <c r="M386" s="7">
        <v>45735</v>
      </c>
      <c r="N386" s="7">
        <v>45750</v>
      </c>
      <c r="O386" s="8">
        <v>15</v>
      </c>
      <c r="P386" t="str">
        <f t="shared" ref="P386:P449" si="6">IF(O386="","Pending",IF(O386=0,"Delivered",IF(O386&lt;=3,"On Delivery","Delayed")))</f>
        <v>Delayed</v>
      </c>
    </row>
    <row r="387" spans="1:16" x14ac:dyDescent="0.3">
      <c r="A387" t="s">
        <v>150</v>
      </c>
      <c r="B387" s="6" t="s">
        <v>242</v>
      </c>
      <c r="C387" t="s">
        <v>12</v>
      </c>
      <c r="D387" t="s">
        <v>48</v>
      </c>
      <c r="E387" t="s">
        <v>59</v>
      </c>
      <c r="F387">
        <v>7</v>
      </c>
      <c r="G387">
        <v>34287</v>
      </c>
      <c r="H387">
        <v>0</v>
      </c>
      <c r="I387">
        <v>18</v>
      </c>
      <c r="J387">
        <v>283210.62</v>
      </c>
      <c r="K387" t="s">
        <v>15</v>
      </c>
      <c r="L387" t="s">
        <v>16</v>
      </c>
      <c r="M387" s="7">
        <v>45740</v>
      </c>
      <c r="N387" s="7">
        <v>45742</v>
      </c>
      <c r="O387" s="8">
        <v>2</v>
      </c>
      <c r="P387" t="str">
        <f t="shared" si="6"/>
        <v>On Delivery</v>
      </c>
    </row>
    <row r="388" spans="1:16" x14ac:dyDescent="0.3">
      <c r="A388" t="s">
        <v>183</v>
      </c>
      <c r="B388" s="6" t="s">
        <v>239</v>
      </c>
      <c r="C388" t="s">
        <v>23</v>
      </c>
      <c r="D388" t="s">
        <v>24</v>
      </c>
      <c r="E388" t="s">
        <v>76</v>
      </c>
      <c r="F388">
        <v>2</v>
      </c>
      <c r="G388">
        <v>80095</v>
      </c>
      <c r="H388">
        <v>5</v>
      </c>
      <c r="I388">
        <v>12</v>
      </c>
      <c r="J388">
        <v>170442.16</v>
      </c>
      <c r="K388" t="s">
        <v>15</v>
      </c>
      <c r="L388" t="s">
        <v>33</v>
      </c>
      <c r="M388" s="7">
        <v>45736</v>
      </c>
      <c r="N388" s="7">
        <v>45743</v>
      </c>
      <c r="O388" s="8">
        <v>7</v>
      </c>
      <c r="P388" t="str">
        <f t="shared" si="6"/>
        <v>Delayed</v>
      </c>
    </row>
    <row r="389" spans="1:16" x14ac:dyDescent="0.3">
      <c r="A389" t="s">
        <v>164</v>
      </c>
      <c r="B389" s="6" t="s">
        <v>241</v>
      </c>
      <c r="C389" t="s">
        <v>42</v>
      </c>
      <c r="D389" t="s">
        <v>29</v>
      </c>
      <c r="E389" t="s">
        <v>30</v>
      </c>
      <c r="F389">
        <v>25</v>
      </c>
      <c r="G389">
        <v>15311</v>
      </c>
      <c r="H389">
        <v>5</v>
      </c>
      <c r="I389">
        <v>18</v>
      </c>
      <c r="J389">
        <v>429090.77</v>
      </c>
      <c r="K389" t="s">
        <v>15</v>
      </c>
      <c r="L389" t="s">
        <v>33</v>
      </c>
      <c r="M389" s="7">
        <v>45694</v>
      </c>
      <c r="N389" s="7">
        <v>45695</v>
      </c>
      <c r="O389" s="8">
        <v>1</v>
      </c>
      <c r="P389" t="str">
        <f t="shared" si="6"/>
        <v>On Delivery</v>
      </c>
    </row>
    <row r="390" spans="1:16" x14ac:dyDescent="0.3">
      <c r="A390" t="s">
        <v>138</v>
      </c>
      <c r="B390" s="6" t="s">
        <v>244</v>
      </c>
      <c r="C390" t="s">
        <v>70</v>
      </c>
      <c r="D390" t="s">
        <v>29</v>
      </c>
      <c r="E390" t="s">
        <v>30</v>
      </c>
      <c r="F390">
        <v>40</v>
      </c>
      <c r="G390">
        <v>5047</v>
      </c>
      <c r="H390">
        <v>10</v>
      </c>
      <c r="I390">
        <v>12</v>
      </c>
      <c r="J390">
        <v>203495.04000000001</v>
      </c>
      <c r="K390" t="s">
        <v>21</v>
      </c>
      <c r="L390" t="s">
        <v>33</v>
      </c>
      <c r="M390" s="7">
        <v>45718</v>
      </c>
      <c r="N390" s="7">
        <v>45725</v>
      </c>
      <c r="O390" s="8">
        <v>7</v>
      </c>
      <c r="P390" t="str">
        <f t="shared" si="6"/>
        <v>Delayed</v>
      </c>
    </row>
    <row r="391" spans="1:16" x14ac:dyDescent="0.3">
      <c r="A391" t="s">
        <v>135</v>
      </c>
      <c r="B391" s="6" t="s">
        <v>240</v>
      </c>
      <c r="C391" t="s">
        <v>28</v>
      </c>
      <c r="D391" t="s">
        <v>13</v>
      </c>
      <c r="E391" t="s">
        <v>32</v>
      </c>
      <c r="F391">
        <v>16</v>
      </c>
      <c r="G391">
        <v>53370</v>
      </c>
      <c r="H391">
        <v>12</v>
      </c>
      <c r="I391">
        <v>28</v>
      </c>
      <c r="J391">
        <v>961855.49</v>
      </c>
      <c r="K391" t="s">
        <v>21</v>
      </c>
      <c r="L391" t="s">
        <v>26</v>
      </c>
      <c r="M391" s="7">
        <v>45844</v>
      </c>
      <c r="N391" s="7">
        <v>45858</v>
      </c>
      <c r="O391" s="8">
        <v>14</v>
      </c>
      <c r="P391" t="str">
        <f t="shared" si="6"/>
        <v>Delayed</v>
      </c>
    </row>
    <row r="392" spans="1:16" x14ac:dyDescent="0.3">
      <c r="A392" t="s">
        <v>138</v>
      </c>
      <c r="B392" s="6" t="s">
        <v>242</v>
      </c>
      <c r="C392" t="s">
        <v>12</v>
      </c>
      <c r="D392" t="s">
        <v>35</v>
      </c>
      <c r="E392" t="s">
        <v>36</v>
      </c>
      <c r="F392">
        <v>15</v>
      </c>
      <c r="G392">
        <v>38235</v>
      </c>
      <c r="H392">
        <v>12</v>
      </c>
      <c r="I392">
        <v>12</v>
      </c>
      <c r="J392">
        <v>565266.24</v>
      </c>
      <c r="K392" t="s">
        <v>46</v>
      </c>
      <c r="L392" t="s">
        <v>26</v>
      </c>
      <c r="M392" s="7">
        <v>45714</v>
      </c>
      <c r="N392" s="7">
        <v>45721</v>
      </c>
      <c r="O392" s="8">
        <v>7</v>
      </c>
      <c r="P392" t="str">
        <f t="shared" si="6"/>
        <v>Delayed</v>
      </c>
    </row>
    <row r="393" spans="1:16" x14ac:dyDescent="0.3">
      <c r="A393" t="s">
        <v>211</v>
      </c>
      <c r="B393" s="6" t="s">
        <v>241</v>
      </c>
      <c r="C393" t="s">
        <v>42</v>
      </c>
      <c r="D393" t="s">
        <v>62</v>
      </c>
      <c r="E393" t="s">
        <v>63</v>
      </c>
      <c r="F393">
        <v>32</v>
      </c>
      <c r="G393">
        <v>79754</v>
      </c>
      <c r="H393">
        <v>10</v>
      </c>
      <c r="I393">
        <v>12</v>
      </c>
      <c r="J393">
        <v>2572545.02</v>
      </c>
      <c r="K393" t="s">
        <v>46</v>
      </c>
      <c r="L393" t="s">
        <v>33</v>
      </c>
      <c r="M393" s="7">
        <v>45759</v>
      </c>
      <c r="N393" s="7">
        <v>45759</v>
      </c>
      <c r="O393" s="8">
        <v>0</v>
      </c>
      <c r="P393" t="str">
        <f t="shared" si="6"/>
        <v>Delivered</v>
      </c>
    </row>
    <row r="394" spans="1:16" x14ac:dyDescent="0.3">
      <c r="A394" t="s">
        <v>211</v>
      </c>
      <c r="B394" s="6" t="s">
        <v>243</v>
      </c>
      <c r="C394" t="s">
        <v>53</v>
      </c>
      <c r="D394" t="s">
        <v>62</v>
      </c>
      <c r="E394" t="s">
        <v>92</v>
      </c>
      <c r="F394">
        <v>32</v>
      </c>
      <c r="G394">
        <v>56918</v>
      </c>
      <c r="H394">
        <v>5</v>
      </c>
      <c r="I394">
        <v>18</v>
      </c>
      <c r="J394">
        <v>2041762.5</v>
      </c>
      <c r="K394" t="s">
        <v>21</v>
      </c>
      <c r="L394" t="s">
        <v>38</v>
      </c>
      <c r="M394" s="7">
        <v>45765</v>
      </c>
      <c r="N394" s="7">
        <v>45777</v>
      </c>
      <c r="O394" s="8">
        <v>12</v>
      </c>
      <c r="P394" t="str">
        <f t="shared" si="6"/>
        <v>Delayed</v>
      </c>
    </row>
    <row r="395" spans="1:16" x14ac:dyDescent="0.3">
      <c r="A395" t="s">
        <v>88</v>
      </c>
      <c r="B395" s="6" t="s">
        <v>240</v>
      </c>
      <c r="C395" t="s">
        <v>28</v>
      </c>
      <c r="D395" t="s">
        <v>24</v>
      </c>
      <c r="E395" t="s">
        <v>25</v>
      </c>
      <c r="F395">
        <v>32</v>
      </c>
      <c r="G395">
        <v>31214</v>
      </c>
      <c r="H395">
        <v>5</v>
      </c>
      <c r="I395">
        <v>18</v>
      </c>
      <c r="J395">
        <v>1119708.6100000001</v>
      </c>
      <c r="K395" t="s">
        <v>21</v>
      </c>
      <c r="L395" t="s">
        <v>26</v>
      </c>
      <c r="M395" s="7">
        <v>45830</v>
      </c>
      <c r="N395" s="7">
        <v>45844</v>
      </c>
      <c r="O395" s="8">
        <v>14</v>
      </c>
      <c r="P395" t="str">
        <f t="shared" si="6"/>
        <v>Delayed</v>
      </c>
    </row>
    <row r="396" spans="1:16" x14ac:dyDescent="0.3">
      <c r="A396" t="s">
        <v>115</v>
      </c>
      <c r="B396" s="6" t="s">
        <v>239</v>
      </c>
      <c r="C396" t="s">
        <v>23</v>
      </c>
      <c r="D396" t="s">
        <v>24</v>
      </c>
      <c r="E396" t="s">
        <v>76</v>
      </c>
      <c r="F396">
        <v>15</v>
      </c>
      <c r="G396">
        <v>30257</v>
      </c>
      <c r="H396">
        <v>5</v>
      </c>
      <c r="I396">
        <v>18</v>
      </c>
      <c r="J396">
        <v>508771.45</v>
      </c>
      <c r="K396" t="s">
        <v>15</v>
      </c>
      <c r="L396" t="s">
        <v>33</v>
      </c>
      <c r="M396" s="7">
        <v>45790</v>
      </c>
      <c r="N396" s="7">
        <v>45795</v>
      </c>
      <c r="O396" s="8">
        <v>5</v>
      </c>
      <c r="P396" t="str">
        <f t="shared" si="6"/>
        <v>Delayed</v>
      </c>
    </row>
    <row r="397" spans="1:16" x14ac:dyDescent="0.3">
      <c r="A397" t="s">
        <v>179</v>
      </c>
      <c r="B397" s="6" t="s">
        <v>239</v>
      </c>
      <c r="C397" t="s">
        <v>23</v>
      </c>
      <c r="D397" t="s">
        <v>24</v>
      </c>
      <c r="E397" t="s">
        <v>25</v>
      </c>
      <c r="F397">
        <v>22</v>
      </c>
      <c r="G397">
        <v>75929</v>
      </c>
      <c r="H397">
        <v>12</v>
      </c>
      <c r="I397">
        <v>18</v>
      </c>
      <c r="J397">
        <v>1734582.82</v>
      </c>
      <c r="K397" t="s">
        <v>37</v>
      </c>
      <c r="L397" t="s">
        <v>26</v>
      </c>
      <c r="M397" s="7">
        <v>45838</v>
      </c>
      <c r="N397" s="7">
        <v>45843</v>
      </c>
      <c r="O397" s="8">
        <v>5</v>
      </c>
      <c r="P397" t="str">
        <f t="shared" si="6"/>
        <v>Delayed</v>
      </c>
    </row>
    <row r="398" spans="1:16" x14ac:dyDescent="0.3">
      <c r="A398" t="s">
        <v>52</v>
      </c>
      <c r="B398" s="6" t="s">
        <v>239</v>
      </c>
      <c r="C398" t="s">
        <v>23</v>
      </c>
      <c r="D398" t="s">
        <v>24</v>
      </c>
      <c r="E398" t="s">
        <v>25</v>
      </c>
      <c r="F398">
        <v>3</v>
      </c>
      <c r="G398">
        <v>71580</v>
      </c>
      <c r="H398">
        <v>5</v>
      </c>
      <c r="I398">
        <v>18</v>
      </c>
      <c r="J398">
        <v>240723.54</v>
      </c>
      <c r="K398" t="s">
        <v>21</v>
      </c>
      <c r="L398" t="s">
        <v>33</v>
      </c>
      <c r="M398" s="7">
        <v>45768</v>
      </c>
      <c r="N398" s="7">
        <v>45778</v>
      </c>
      <c r="O398" s="8">
        <v>10</v>
      </c>
      <c r="P398" t="str">
        <f t="shared" si="6"/>
        <v>Delayed</v>
      </c>
    </row>
    <row r="399" spans="1:16" x14ac:dyDescent="0.3">
      <c r="A399" t="s">
        <v>193</v>
      </c>
      <c r="B399" s="6" t="s">
        <v>242</v>
      </c>
      <c r="C399" t="s">
        <v>12</v>
      </c>
      <c r="D399" t="s">
        <v>13</v>
      </c>
      <c r="E399" t="s">
        <v>14</v>
      </c>
      <c r="F399">
        <v>37</v>
      </c>
      <c r="G399">
        <v>53863</v>
      </c>
      <c r="H399">
        <v>10</v>
      </c>
      <c r="I399">
        <v>28</v>
      </c>
      <c r="J399">
        <v>2295856.5099999998</v>
      </c>
      <c r="K399" t="s">
        <v>21</v>
      </c>
      <c r="L399" t="s">
        <v>33</v>
      </c>
      <c r="M399" s="7">
        <v>45683</v>
      </c>
      <c r="N399" s="7">
        <v>45691</v>
      </c>
      <c r="O399" s="8">
        <v>8</v>
      </c>
      <c r="P399" t="str">
        <f t="shared" si="6"/>
        <v>Delayed</v>
      </c>
    </row>
    <row r="400" spans="1:16" x14ac:dyDescent="0.3">
      <c r="A400" t="s">
        <v>142</v>
      </c>
      <c r="B400" s="6" t="s">
        <v>245</v>
      </c>
      <c r="C400" t="s">
        <v>18</v>
      </c>
      <c r="D400" t="s">
        <v>35</v>
      </c>
      <c r="E400" t="s">
        <v>56</v>
      </c>
      <c r="F400">
        <v>4</v>
      </c>
      <c r="G400">
        <v>43231</v>
      </c>
      <c r="H400">
        <v>5</v>
      </c>
      <c r="I400">
        <v>28</v>
      </c>
      <c r="J400">
        <v>210275.58</v>
      </c>
      <c r="K400" t="s">
        <v>21</v>
      </c>
      <c r="L400" t="s">
        <v>33</v>
      </c>
      <c r="M400" s="7">
        <v>45756</v>
      </c>
      <c r="N400" s="7">
        <v>45770</v>
      </c>
      <c r="O400" s="8">
        <v>14</v>
      </c>
      <c r="P400" t="str">
        <f t="shared" si="6"/>
        <v>Delayed</v>
      </c>
    </row>
    <row r="401" spans="1:16" x14ac:dyDescent="0.3">
      <c r="A401" t="s">
        <v>125</v>
      </c>
      <c r="B401" s="6" t="s">
        <v>242</v>
      </c>
      <c r="C401" t="s">
        <v>12</v>
      </c>
      <c r="D401" t="s">
        <v>19</v>
      </c>
      <c r="E401" t="s">
        <v>20</v>
      </c>
      <c r="F401">
        <v>3</v>
      </c>
      <c r="G401">
        <v>70016</v>
      </c>
      <c r="H401">
        <v>5</v>
      </c>
      <c r="I401">
        <v>12</v>
      </c>
      <c r="J401">
        <v>223491.07</v>
      </c>
      <c r="K401" t="s">
        <v>21</v>
      </c>
      <c r="L401" t="s">
        <v>16</v>
      </c>
      <c r="M401" s="7">
        <v>45765</v>
      </c>
      <c r="N401" s="7">
        <v>45765</v>
      </c>
      <c r="O401" s="8">
        <v>0</v>
      </c>
      <c r="P401" t="str">
        <f t="shared" si="6"/>
        <v>Delivered</v>
      </c>
    </row>
    <row r="402" spans="1:16" x14ac:dyDescent="0.3">
      <c r="A402" t="s">
        <v>11</v>
      </c>
      <c r="B402" s="6" t="s">
        <v>242</v>
      </c>
      <c r="C402" t="s">
        <v>12</v>
      </c>
      <c r="D402" t="s">
        <v>35</v>
      </c>
      <c r="E402" t="s">
        <v>77</v>
      </c>
      <c r="F402">
        <v>18</v>
      </c>
      <c r="G402">
        <v>23520</v>
      </c>
      <c r="H402">
        <v>0</v>
      </c>
      <c r="I402">
        <v>28</v>
      </c>
      <c r="J402">
        <v>541900.80000000005</v>
      </c>
      <c r="K402" t="s">
        <v>21</v>
      </c>
      <c r="L402" t="s">
        <v>33</v>
      </c>
      <c r="M402" s="7">
        <v>45684</v>
      </c>
      <c r="N402" s="7">
        <v>45686</v>
      </c>
      <c r="O402" s="8">
        <v>2</v>
      </c>
      <c r="P402" t="str">
        <f t="shared" si="6"/>
        <v>On Delivery</v>
      </c>
    </row>
    <row r="403" spans="1:16" x14ac:dyDescent="0.3">
      <c r="A403" t="s">
        <v>188</v>
      </c>
      <c r="B403" s="6" t="s">
        <v>238</v>
      </c>
      <c r="C403" t="s">
        <v>58</v>
      </c>
      <c r="D403" t="s">
        <v>44</v>
      </c>
      <c r="E403" t="s">
        <v>51</v>
      </c>
      <c r="F403">
        <v>33</v>
      </c>
      <c r="G403">
        <v>46866</v>
      </c>
      <c r="H403">
        <v>5</v>
      </c>
      <c r="I403">
        <v>12</v>
      </c>
      <c r="J403">
        <v>1645558.99</v>
      </c>
      <c r="K403" t="s">
        <v>37</v>
      </c>
      <c r="L403" t="s">
        <v>26</v>
      </c>
      <c r="M403" s="7">
        <v>45822</v>
      </c>
      <c r="N403" s="7">
        <v>45829</v>
      </c>
      <c r="O403" s="8">
        <v>7</v>
      </c>
      <c r="P403" t="str">
        <f t="shared" si="6"/>
        <v>Delayed</v>
      </c>
    </row>
    <row r="404" spans="1:16" x14ac:dyDescent="0.3">
      <c r="A404" t="s">
        <v>85</v>
      </c>
      <c r="B404" s="6" t="s">
        <v>240</v>
      </c>
      <c r="C404" t="s">
        <v>28</v>
      </c>
      <c r="D404" t="s">
        <v>24</v>
      </c>
      <c r="E404" t="s">
        <v>40</v>
      </c>
      <c r="F404">
        <v>5</v>
      </c>
      <c r="G404">
        <v>73607</v>
      </c>
      <c r="H404">
        <v>5</v>
      </c>
      <c r="I404">
        <v>28</v>
      </c>
      <c r="J404">
        <v>447530.56</v>
      </c>
      <c r="K404" t="s">
        <v>37</v>
      </c>
      <c r="L404" t="s">
        <v>38</v>
      </c>
      <c r="M404" s="7">
        <v>45768</v>
      </c>
      <c r="N404" s="7">
        <v>45772</v>
      </c>
      <c r="O404" s="8">
        <v>4</v>
      </c>
      <c r="P404" t="str">
        <f t="shared" si="6"/>
        <v>Delayed</v>
      </c>
    </row>
    <row r="405" spans="1:16" x14ac:dyDescent="0.3">
      <c r="A405" t="s">
        <v>180</v>
      </c>
      <c r="B405" s="6" t="s">
        <v>242</v>
      </c>
      <c r="C405" t="s">
        <v>12</v>
      </c>
      <c r="D405" t="s">
        <v>44</v>
      </c>
      <c r="E405" t="s">
        <v>51</v>
      </c>
      <c r="F405">
        <v>13</v>
      </c>
      <c r="G405">
        <v>28103</v>
      </c>
      <c r="H405">
        <v>0</v>
      </c>
      <c r="I405">
        <v>28</v>
      </c>
      <c r="J405">
        <v>467633.91999999998</v>
      </c>
      <c r="K405" t="s">
        <v>21</v>
      </c>
      <c r="L405" t="s">
        <v>26</v>
      </c>
      <c r="M405" s="7">
        <v>45725</v>
      </c>
      <c r="N405" s="7">
        <v>45730</v>
      </c>
      <c r="O405" s="8">
        <v>5</v>
      </c>
      <c r="P405" t="str">
        <f t="shared" si="6"/>
        <v>Delayed</v>
      </c>
    </row>
    <row r="406" spans="1:16" x14ac:dyDescent="0.3">
      <c r="A406" t="s">
        <v>110</v>
      </c>
      <c r="B406" s="6" t="s">
        <v>238</v>
      </c>
      <c r="C406" t="s">
        <v>58</v>
      </c>
      <c r="D406" t="s">
        <v>24</v>
      </c>
      <c r="E406" t="s">
        <v>25</v>
      </c>
      <c r="F406">
        <v>34</v>
      </c>
      <c r="G406">
        <v>10898</v>
      </c>
      <c r="H406">
        <v>12</v>
      </c>
      <c r="I406">
        <v>18</v>
      </c>
      <c r="J406">
        <v>384760.43</v>
      </c>
      <c r="K406" t="s">
        <v>21</v>
      </c>
      <c r="L406" t="s">
        <v>38</v>
      </c>
      <c r="M406" s="7">
        <v>45773</v>
      </c>
      <c r="N406" s="7">
        <v>45776</v>
      </c>
      <c r="O406" s="8">
        <v>3</v>
      </c>
      <c r="P406" t="str">
        <f t="shared" si="6"/>
        <v>On Delivery</v>
      </c>
    </row>
    <row r="407" spans="1:16" x14ac:dyDescent="0.3">
      <c r="A407" t="s">
        <v>55</v>
      </c>
      <c r="B407" s="6" t="s">
        <v>243</v>
      </c>
      <c r="C407" t="s">
        <v>53</v>
      </c>
      <c r="D407" t="s">
        <v>35</v>
      </c>
      <c r="E407" t="s">
        <v>56</v>
      </c>
      <c r="F407">
        <v>16</v>
      </c>
      <c r="G407">
        <v>2902</v>
      </c>
      <c r="H407">
        <v>5</v>
      </c>
      <c r="I407">
        <v>18</v>
      </c>
      <c r="J407">
        <v>52050.27</v>
      </c>
      <c r="K407" t="s">
        <v>21</v>
      </c>
      <c r="L407" t="s">
        <v>16</v>
      </c>
      <c r="M407" s="7">
        <v>45760</v>
      </c>
      <c r="N407" s="7">
        <v>45760</v>
      </c>
      <c r="O407" s="8">
        <v>0</v>
      </c>
      <c r="P407" t="str">
        <f t="shared" si="6"/>
        <v>Delivered</v>
      </c>
    </row>
    <row r="408" spans="1:16" x14ac:dyDescent="0.3">
      <c r="A408" t="s">
        <v>134</v>
      </c>
      <c r="B408" s="6" t="s">
        <v>239</v>
      </c>
      <c r="C408" t="s">
        <v>23</v>
      </c>
      <c r="D408" t="s">
        <v>35</v>
      </c>
      <c r="E408" t="s">
        <v>56</v>
      </c>
      <c r="F408">
        <v>15</v>
      </c>
      <c r="G408">
        <v>65941</v>
      </c>
      <c r="H408">
        <v>12</v>
      </c>
      <c r="I408">
        <v>12</v>
      </c>
      <c r="J408">
        <v>974871.74</v>
      </c>
      <c r="K408" t="s">
        <v>21</v>
      </c>
      <c r="L408" t="s">
        <v>33</v>
      </c>
      <c r="M408" s="7">
        <v>45773</v>
      </c>
      <c r="N408" s="7">
        <v>45775</v>
      </c>
      <c r="O408" s="8">
        <v>2</v>
      </c>
      <c r="P408" t="str">
        <f t="shared" si="6"/>
        <v>On Delivery</v>
      </c>
    </row>
    <row r="409" spans="1:16" x14ac:dyDescent="0.3">
      <c r="A409" t="s">
        <v>211</v>
      </c>
      <c r="B409" s="6" t="s">
        <v>238</v>
      </c>
      <c r="C409" t="s">
        <v>58</v>
      </c>
      <c r="D409" t="s">
        <v>29</v>
      </c>
      <c r="E409" t="s">
        <v>30</v>
      </c>
      <c r="F409">
        <v>7</v>
      </c>
      <c r="G409">
        <v>24159</v>
      </c>
      <c r="H409">
        <v>5</v>
      </c>
      <c r="I409">
        <v>18</v>
      </c>
      <c r="J409">
        <v>189575.67</v>
      </c>
      <c r="K409" t="s">
        <v>46</v>
      </c>
      <c r="L409" t="s">
        <v>38</v>
      </c>
      <c r="M409" s="7">
        <v>45766</v>
      </c>
      <c r="N409" s="7">
        <v>45779</v>
      </c>
      <c r="O409" s="8">
        <v>13</v>
      </c>
      <c r="P409" t="str">
        <f t="shared" si="6"/>
        <v>Delayed</v>
      </c>
    </row>
    <row r="410" spans="1:16" x14ac:dyDescent="0.3">
      <c r="A410" t="s">
        <v>212</v>
      </c>
      <c r="B410" s="6" t="s">
        <v>241</v>
      </c>
      <c r="C410" t="s">
        <v>42</v>
      </c>
      <c r="D410" t="s">
        <v>35</v>
      </c>
      <c r="E410" t="s">
        <v>56</v>
      </c>
      <c r="F410">
        <v>8</v>
      </c>
      <c r="G410">
        <v>8373</v>
      </c>
      <c r="H410">
        <v>0</v>
      </c>
      <c r="I410">
        <v>12</v>
      </c>
      <c r="J410">
        <v>75022.080000000002</v>
      </c>
      <c r="K410" t="s">
        <v>37</v>
      </c>
      <c r="L410" t="s">
        <v>38</v>
      </c>
      <c r="M410" s="7">
        <v>45693</v>
      </c>
      <c r="N410" s="7">
        <v>45704</v>
      </c>
      <c r="O410" s="8">
        <v>11</v>
      </c>
      <c r="P410" t="str">
        <f t="shared" si="6"/>
        <v>Delayed</v>
      </c>
    </row>
    <row r="411" spans="1:16" x14ac:dyDescent="0.3">
      <c r="A411" t="s">
        <v>106</v>
      </c>
      <c r="B411" s="6" t="s">
        <v>238</v>
      </c>
      <c r="C411" t="s">
        <v>58</v>
      </c>
      <c r="D411" t="s">
        <v>35</v>
      </c>
      <c r="E411" t="s">
        <v>77</v>
      </c>
      <c r="F411">
        <v>7</v>
      </c>
      <c r="G411">
        <v>13298</v>
      </c>
      <c r="H411">
        <v>12</v>
      </c>
      <c r="I411">
        <v>18</v>
      </c>
      <c r="J411">
        <v>96660.5</v>
      </c>
      <c r="K411" t="s">
        <v>37</v>
      </c>
      <c r="L411" t="s">
        <v>33</v>
      </c>
      <c r="M411" s="7">
        <v>45774</v>
      </c>
      <c r="N411" s="7">
        <v>45774</v>
      </c>
      <c r="O411" s="8">
        <v>0</v>
      </c>
      <c r="P411" t="str">
        <f t="shared" si="6"/>
        <v>Delivered</v>
      </c>
    </row>
    <row r="412" spans="1:16" x14ac:dyDescent="0.3">
      <c r="A412" t="s">
        <v>115</v>
      </c>
      <c r="B412" s="6" t="s">
        <v>245</v>
      </c>
      <c r="C412" t="s">
        <v>18</v>
      </c>
      <c r="D412" t="s">
        <v>44</v>
      </c>
      <c r="E412" t="s">
        <v>51</v>
      </c>
      <c r="F412">
        <v>31</v>
      </c>
      <c r="G412">
        <v>69299</v>
      </c>
      <c r="H412">
        <v>0</v>
      </c>
      <c r="I412">
        <v>12</v>
      </c>
      <c r="J412">
        <v>2406061.2799999998</v>
      </c>
      <c r="K412" t="s">
        <v>21</v>
      </c>
      <c r="L412" t="s">
        <v>16</v>
      </c>
      <c r="M412" s="7">
        <v>45792</v>
      </c>
      <c r="N412" s="7">
        <v>45799</v>
      </c>
      <c r="O412" s="8">
        <v>7</v>
      </c>
      <c r="P412" t="str">
        <f t="shared" si="6"/>
        <v>Delayed</v>
      </c>
    </row>
    <row r="413" spans="1:16" x14ac:dyDescent="0.3">
      <c r="A413" t="s">
        <v>175</v>
      </c>
      <c r="B413" s="6" t="s">
        <v>238</v>
      </c>
      <c r="C413" t="s">
        <v>58</v>
      </c>
      <c r="D413" t="s">
        <v>44</v>
      </c>
      <c r="E413" t="s">
        <v>51</v>
      </c>
      <c r="F413">
        <v>40</v>
      </c>
      <c r="G413">
        <v>55859</v>
      </c>
      <c r="H413">
        <v>12</v>
      </c>
      <c r="I413">
        <v>18</v>
      </c>
      <c r="J413">
        <v>2320159.42</v>
      </c>
      <c r="K413" t="s">
        <v>21</v>
      </c>
      <c r="L413" t="s">
        <v>16</v>
      </c>
      <c r="M413" s="7">
        <v>45681</v>
      </c>
      <c r="N413" s="7">
        <v>45693</v>
      </c>
      <c r="O413" s="8">
        <v>12</v>
      </c>
      <c r="P413" t="str">
        <f t="shared" si="6"/>
        <v>Delayed</v>
      </c>
    </row>
    <row r="414" spans="1:16" x14ac:dyDescent="0.3">
      <c r="A414" t="s">
        <v>68</v>
      </c>
      <c r="B414" s="6" t="s">
        <v>240</v>
      </c>
      <c r="C414" t="s">
        <v>28</v>
      </c>
      <c r="D414" t="s">
        <v>35</v>
      </c>
      <c r="E414" t="s">
        <v>36</v>
      </c>
      <c r="F414">
        <v>10</v>
      </c>
      <c r="G414">
        <v>25640</v>
      </c>
      <c r="H414">
        <v>10</v>
      </c>
      <c r="I414">
        <v>18</v>
      </c>
      <c r="J414">
        <v>272296.8</v>
      </c>
      <c r="K414" t="s">
        <v>46</v>
      </c>
      <c r="L414" t="s">
        <v>16</v>
      </c>
      <c r="M414" s="7">
        <v>45675</v>
      </c>
      <c r="N414" s="7">
        <v>45684</v>
      </c>
      <c r="O414" s="8">
        <v>9</v>
      </c>
      <c r="P414" t="str">
        <f t="shared" si="6"/>
        <v>Delayed</v>
      </c>
    </row>
    <row r="415" spans="1:16" x14ac:dyDescent="0.3">
      <c r="A415" t="s">
        <v>96</v>
      </c>
      <c r="B415" s="6" t="s">
        <v>243</v>
      </c>
      <c r="C415" t="s">
        <v>53</v>
      </c>
      <c r="D415" t="s">
        <v>24</v>
      </c>
      <c r="E415" t="s">
        <v>25</v>
      </c>
      <c r="F415">
        <v>12</v>
      </c>
      <c r="G415">
        <v>76350</v>
      </c>
      <c r="H415">
        <v>5</v>
      </c>
      <c r="I415">
        <v>18</v>
      </c>
      <c r="J415">
        <v>1027060.2</v>
      </c>
      <c r="K415" t="s">
        <v>37</v>
      </c>
      <c r="L415" t="s">
        <v>38</v>
      </c>
      <c r="M415" s="7">
        <v>45748</v>
      </c>
      <c r="N415" s="7">
        <v>45757</v>
      </c>
      <c r="O415" s="8">
        <v>9</v>
      </c>
      <c r="P415" t="str">
        <f t="shared" si="6"/>
        <v>Delayed</v>
      </c>
    </row>
    <row r="416" spans="1:16" x14ac:dyDescent="0.3">
      <c r="A416" t="s">
        <v>34</v>
      </c>
      <c r="B416" s="6" t="s">
        <v>242</v>
      </c>
      <c r="C416" t="s">
        <v>12</v>
      </c>
      <c r="D416" t="s">
        <v>62</v>
      </c>
      <c r="E416" t="s">
        <v>92</v>
      </c>
      <c r="F416">
        <v>19</v>
      </c>
      <c r="G416">
        <v>67522</v>
      </c>
      <c r="H416">
        <v>0</v>
      </c>
      <c r="I416">
        <v>18</v>
      </c>
      <c r="J416">
        <v>1513843.24</v>
      </c>
      <c r="K416" t="s">
        <v>15</v>
      </c>
      <c r="L416" t="s">
        <v>38</v>
      </c>
      <c r="M416" s="7">
        <v>45779</v>
      </c>
      <c r="N416" s="7">
        <v>45779</v>
      </c>
      <c r="O416" s="8">
        <v>0</v>
      </c>
      <c r="P416" t="str">
        <f t="shared" si="6"/>
        <v>Delivered</v>
      </c>
    </row>
    <row r="417" spans="1:16" x14ac:dyDescent="0.3">
      <c r="A417" t="s">
        <v>147</v>
      </c>
      <c r="B417" s="6" t="s">
        <v>245</v>
      </c>
      <c r="C417" t="s">
        <v>18</v>
      </c>
      <c r="D417" t="s">
        <v>35</v>
      </c>
      <c r="E417" t="s">
        <v>56</v>
      </c>
      <c r="F417">
        <v>4</v>
      </c>
      <c r="G417">
        <v>29977</v>
      </c>
      <c r="H417">
        <v>12</v>
      </c>
      <c r="I417">
        <v>18</v>
      </c>
      <c r="J417">
        <v>124512.47</v>
      </c>
      <c r="K417" t="s">
        <v>37</v>
      </c>
      <c r="L417" t="s">
        <v>33</v>
      </c>
      <c r="M417" s="7">
        <v>45698</v>
      </c>
      <c r="N417" s="7">
        <v>45703</v>
      </c>
      <c r="O417" s="8">
        <v>5</v>
      </c>
      <c r="P417" t="str">
        <f t="shared" si="6"/>
        <v>Delayed</v>
      </c>
    </row>
    <row r="418" spans="1:16" x14ac:dyDescent="0.3">
      <c r="A418" t="s">
        <v>191</v>
      </c>
      <c r="B418" s="6" t="s">
        <v>238</v>
      </c>
      <c r="C418" t="s">
        <v>58</v>
      </c>
      <c r="D418" t="s">
        <v>62</v>
      </c>
      <c r="E418" t="s">
        <v>92</v>
      </c>
      <c r="F418">
        <v>1</v>
      </c>
      <c r="G418">
        <v>64120</v>
      </c>
      <c r="H418">
        <v>12</v>
      </c>
      <c r="I418">
        <v>12</v>
      </c>
      <c r="J418">
        <v>63196.67</v>
      </c>
      <c r="K418" t="s">
        <v>37</v>
      </c>
      <c r="L418" t="s">
        <v>38</v>
      </c>
      <c r="M418" s="7">
        <v>45683</v>
      </c>
      <c r="N418" s="7">
        <v>45686</v>
      </c>
      <c r="O418" s="8">
        <v>3</v>
      </c>
      <c r="P418" t="str">
        <f t="shared" si="6"/>
        <v>On Delivery</v>
      </c>
    </row>
    <row r="419" spans="1:16" x14ac:dyDescent="0.3">
      <c r="A419" t="s">
        <v>113</v>
      </c>
      <c r="B419" s="6" t="s">
        <v>242</v>
      </c>
      <c r="C419" t="s">
        <v>12</v>
      </c>
      <c r="D419" t="s">
        <v>24</v>
      </c>
      <c r="E419" t="s">
        <v>76</v>
      </c>
      <c r="F419">
        <v>5</v>
      </c>
      <c r="G419">
        <v>55878</v>
      </c>
      <c r="H419">
        <v>5</v>
      </c>
      <c r="I419">
        <v>18</v>
      </c>
      <c r="J419">
        <v>313196.19</v>
      </c>
      <c r="K419" t="s">
        <v>15</v>
      </c>
      <c r="L419" t="s">
        <v>16</v>
      </c>
      <c r="M419" s="7">
        <v>45666</v>
      </c>
      <c r="N419" s="7">
        <v>45681</v>
      </c>
      <c r="O419" s="8">
        <v>15</v>
      </c>
      <c r="P419" t="str">
        <f t="shared" si="6"/>
        <v>Delayed</v>
      </c>
    </row>
    <row r="420" spans="1:16" x14ac:dyDescent="0.3">
      <c r="A420" t="s">
        <v>213</v>
      </c>
      <c r="B420" s="6" t="s">
        <v>242</v>
      </c>
      <c r="C420" t="s">
        <v>12</v>
      </c>
      <c r="D420" t="s">
        <v>29</v>
      </c>
      <c r="E420" t="s">
        <v>30</v>
      </c>
      <c r="F420">
        <v>23</v>
      </c>
      <c r="G420">
        <v>30445</v>
      </c>
      <c r="H420">
        <v>5</v>
      </c>
      <c r="I420">
        <v>28</v>
      </c>
      <c r="J420">
        <v>851485.76</v>
      </c>
      <c r="K420" t="s">
        <v>37</v>
      </c>
      <c r="L420" t="s">
        <v>33</v>
      </c>
      <c r="M420" s="7">
        <v>45813</v>
      </c>
      <c r="N420" s="7">
        <v>45828</v>
      </c>
      <c r="O420" s="8">
        <v>15</v>
      </c>
      <c r="P420" t="str">
        <f t="shared" si="6"/>
        <v>Delayed</v>
      </c>
    </row>
    <row r="421" spans="1:16" x14ac:dyDescent="0.3">
      <c r="A421" t="s">
        <v>67</v>
      </c>
      <c r="B421" s="6" t="s">
        <v>239</v>
      </c>
      <c r="C421" t="s">
        <v>23</v>
      </c>
      <c r="D421" t="s">
        <v>35</v>
      </c>
      <c r="E421" t="s">
        <v>77</v>
      </c>
      <c r="F421">
        <v>38</v>
      </c>
      <c r="G421">
        <v>15020</v>
      </c>
      <c r="H421">
        <v>5</v>
      </c>
      <c r="I421">
        <v>12</v>
      </c>
      <c r="J421">
        <v>607288.64</v>
      </c>
      <c r="K421" t="s">
        <v>15</v>
      </c>
      <c r="L421" t="s">
        <v>33</v>
      </c>
      <c r="M421" s="7">
        <v>45807</v>
      </c>
      <c r="N421" s="7">
        <v>45809</v>
      </c>
      <c r="O421" s="8">
        <v>2</v>
      </c>
      <c r="P421" t="str">
        <f t="shared" si="6"/>
        <v>On Delivery</v>
      </c>
    </row>
    <row r="422" spans="1:16" x14ac:dyDescent="0.3">
      <c r="A422" t="s">
        <v>55</v>
      </c>
      <c r="B422" s="6" t="s">
        <v>239</v>
      </c>
      <c r="C422" t="s">
        <v>23</v>
      </c>
      <c r="D422" t="s">
        <v>24</v>
      </c>
      <c r="E422" t="s">
        <v>25</v>
      </c>
      <c r="F422">
        <v>35</v>
      </c>
      <c r="G422">
        <v>78974</v>
      </c>
      <c r="H422">
        <v>0</v>
      </c>
      <c r="I422">
        <v>28</v>
      </c>
      <c r="J422">
        <v>3538035.2</v>
      </c>
      <c r="K422" t="s">
        <v>15</v>
      </c>
      <c r="L422" t="s">
        <v>33</v>
      </c>
      <c r="M422" s="7">
        <v>45760</v>
      </c>
      <c r="N422" s="7">
        <v>45760</v>
      </c>
      <c r="O422" s="8">
        <v>0</v>
      </c>
      <c r="P422" t="str">
        <f t="shared" si="6"/>
        <v>Delivered</v>
      </c>
    </row>
    <row r="423" spans="1:16" x14ac:dyDescent="0.3">
      <c r="A423" t="s">
        <v>107</v>
      </c>
      <c r="B423" s="6" t="s">
        <v>243</v>
      </c>
      <c r="C423" t="s">
        <v>53</v>
      </c>
      <c r="D423" t="s">
        <v>19</v>
      </c>
      <c r="E423" t="s">
        <v>20</v>
      </c>
      <c r="F423">
        <v>16</v>
      </c>
      <c r="G423">
        <v>79515</v>
      </c>
      <c r="H423">
        <v>0</v>
      </c>
      <c r="I423">
        <v>18</v>
      </c>
      <c r="J423">
        <v>1501243.2</v>
      </c>
      <c r="K423" t="s">
        <v>15</v>
      </c>
      <c r="L423" t="s">
        <v>33</v>
      </c>
      <c r="M423" s="7">
        <v>45757</v>
      </c>
      <c r="N423" s="7">
        <v>45761</v>
      </c>
      <c r="O423" s="8">
        <v>4</v>
      </c>
      <c r="P423" t="str">
        <f t="shared" si="6"/>
        <v>Delayed</v>
      </c>
    </row>
    <row r="424" spans="1:16" x14ac:dyDescent="0.3">
      <c r="A424" t="s">
        <v>79</v>
      </c>
      <c r="B424" s="6" t="s">
        <v>242</v>
      </c>
      <c r="C424" t="s">
        <v>12</v>
      </c>
      <c r="D424" t="s">
        <v>62</v>
      </c>
      <c r="E424" t="s">
        <v>63</v>
      </c>
      <c r="F424">
        <v>2</v>
      </c>
      <c r="G424">
        <v>51451</v>
      </c>
      <c r="H424">
        <v>10</v>
      </c>
      <c r="I424">
        <v>12</v>
      </c>
      <c r="J424">
        <v>103725.22</v>
      </c>
      <c r="K424" t="s">
        <v>37</v>
      </c>
      <c r="L424" t="s">
        <v>16</v>
      </c>
      <c r="M424" s="7">
        <v>45687</v>
      </c>
      <c r="N424" s="7">
        <v>45695</v>
      </c>
      <c r="O424" s="8">
        <v>8</v>
      </c>
      <c r="P424" t="str">
        <f t="shared" si="6"/>
        <v>Delayed</v>
      </c>
    </row>
    <row r="425" spans="1:16" x14ac:dyDescent="0.3">
      <c r="A425" t="s">
        <v>206</v>
      </c>
      <c r="B425" s="6" t="s">
        <v>240</v>
      </c>
      <c r="C425" t="s">
        <v>28</v>
      </c>
      <c r="D425" t="s">
        <v>13</v>
      </c>
      <c r="E425" t="s">
        <v>14</v>
      </c>
      <c r="F425">
        <v>38</v>
      </c>
      <c r="G425">
        <v>54887</v>
      </c>
      <c r="H425">
        <v>10</v>
      </c>
      <c r="I425">
        <v>28</v>
      </c>
      <c r="J425">
        <v>2402733.31</v>
      </c>
      <c r="K425" t="s">
        <v>21</v>
      </c>
      <c r="L425" t="s">
        <v>16</v>
      </c>
      <c r="M425" s="7">
        <v>45777</v>
      </c>
      <c r="N425" s="7">
        <v>45791</v>
      </c>
      <c r="O425" s="8">
        <v>14</v>
      </c>
      <c r="P425" t="str">
        <f t="shared" si="6"/>
        <v>Delayed</v>
      </c>
    </row>
    <row r="426" spans="1:16" x14ac:dyDescent="0.3">
      <c r="A426" t="s">
        <v>159</v>
      </c>
      <c r="B426" s="6" t="s">
        <v>244</v>
      </c>
      <c r="C426" t="s">
        <v>70</v>
      </c>
      <c r="D426" t="s">
        <v>24</v>
      </c>
      <c r="E426" t="s">
        <v>76</v>
      </c>
      <c r="F426">
        <v>21</v>
      </c>
      <c r="G426">
        <v>28199</v>
      </c>
      <c r="H426">
        <v>0</v>
      </c>
      <c r="I426">
        <v>28</v>
      </c>
      <c r="J426">
        <v>757989.12</v>
      </c>
      <c r="K426" t="s">
        <v>46</v>
      </c>
      <c r="L426" t="s">
        <v>16</v>
      </c>
      <c r="M426" s="7">
        <v>45843</v>
      </c>
      <c r="N426" s="7">
        <v>45847</v>
      </c>
      <c r="O426" s="8">
        <v>4</v>
      </c>
      <c r="P426" t="str">
        <f t="shared" si="6"/>
        <v>Delayed</v>
      </c>
    </row>
    <row r="427" spans="1:16" x14ac:dyDescent="0.3">
      <c r="A427" t="s">
        <v>81</v>
      </c>
      <c r="B427" s="6" t="s">
        <v>244</v>
      </c>
      <c r="C427" t="s">
        <v>70</v>
      </c>
      <c r="D427" t="s">
        <v>48</v>
      </c>
      <c r="E427" t="s">
        <v>59</v>
      </c>
      <c r="F427">
        <v>22</v>
      </c>
      <c r="G427">
        <v>21911</v>
      </c>
      <c r="H427">
        <v>5</v>
      </c>
      <c r="I427">
        <v>28</v>
      </c>
      <c r="J427">
        <v>586163.06999999995</v>
      </c>
      <c r="K427" t="s">
        <v>15</v>
      </c>
      <c r="L427" t="s">
        <v>38</v>
      </c>
      <c r="M427" s="7">
        <v>45755</v>
      </c>
      <c r="N427" s="7">
        <v>45755</v>
      </c>
      <c r="O427" s="8">
        <v>0</v>
      </c>
      <c r="P427" t="str">
        <f t="shared" si="6"/>
        <v>Delivered</v>
      </c>
    </row>
    <row r="428" spans="1:16" x14ac:dyDescent="0.3">
      <c r="A428" t="s">
        <v>178</v>
      </c>
      <c r="B428" s="6" t="s">
        <v>244</v>
      </c>
      <c r="C428" t="s">
        <v>70</v>
      </c>
      <c r="D428" t="s">
        <v>24</v>
      </c>
      <c r="E428" t="s">
        <v>40</v>
      </c>
      <c r="F428">
        <v>23</v>
      </c>
      <c r="G428">
        <v>64198</v>
      </c>
      <c r="H428">
        <v>5</v>
      </c>
      <c r="I428">
        <v>18</v>
      </c>
      <c r="J428">
        <v>1655217.03</v>
      </c>
      <c r="K428" t="s">
        <v>21</v>
      </c>
      <c r="L428" t="s">
        <v>38</v>
      </c>
      <c r="M428" s="7">
        <v>45754</v>
      </c>
      <c r="N428" s="7">
        <v>45757</v>
      </c>
      <c r="O428" s="8">
        <v>3</v>
      </c>
      <c r="P428" t="str">
        <f t="shared" si="6"/>
        <v>On Delivery</v>
      </c>
    </row>
    <row r="429" spans="1:16" x14ac:dyDescent="0.3">
      <c r="A429" t="s">
        <v>95</v>
      </c>
      <c r="B429" s="6" t="s">
        <v>243</v>
      </c>
      <c r="C429" t="s">
        <v>53</v>
      </c>
      <c r="D429" t="s">
        <v>62</v>
      </c>
      <c r="E429" t="s">
        <v>63</v>
      </c>
      <c r="F429">
        <v>2</v>
      </c>
      <c r="G429">
        <v>24849</v>
      </c>
      <c r="H429">
        <v>5</v>
      </c>
      <c r="I429">
        <v>28</v>
      </c>
      <c r="J429">
        <v>60432.77</v>
      </c>
      <c r="K429" t="s">
        <v>46</v>
      </c>
      <c r="L429" t="s">
        <v>38</v>
      </c>
      <c r="M429" s="7">
        <v>45816</v>
      </c>
      <c r="N429" s="7">
        <v>45823</v>
      </c>
      <c r="O429" s="8">
        <v>7</v>
      </c>
      <c r="P429" t="str">
        <f t="shared" si="6"/>
        <v>Delayed</v>
      </c>
    </row>
    <row r="430" spans="1:16" x14ac:dyDescent="0.3">
      <c r="A430" t="s">
        <v>147</v>
      </c>
      <c r="B430" s="6" t="s">
        <v>242</v>
      </c>
      <c r="C430" t="s">
        <v>12</v>
      </c>
      <c r="D430" t="s">
        <v>62</v>
      </c>
      <c r="E430" t="s">
        <v>63</v>
      </c>
      <c r="F430">
        <v>3</v>
      </c>
      <c r="G430">
        <v>38637</v>
      </c>
      <c r="H430">
        <v>0</v>
      </c>
      <c r="I430">
        <v>12</v>
      </c>
      <c r="J430">
        <v>129820.32</v>
      </c>
      <c r="K430" t="s">
        <v>37</v>
      </c>
      <c r="L430" t="s">
        <v>26</v>
      </c>
      <c r="M430" s="7">
        <v>45698</v>
      </c>
      <c r="N430" s="7">
        <v>45712</v>
      </c>
      <c r="O430" s="8">
        <v>14</v>
      </c>
      <c r="P430" t="str">
        <f t="shared" si="6"/>
        <v>Delayed</v>
      </c>
    </row>
    <row r="431" spans="1:16" x14ac:dyDescent="0.3">
      <c r="A431" t="s">
        <v>179</v>
      </c>
      <c r="B431" s="6" t="s">
        <v>245</v>
      </c>
      <c r="C431" t="s">
        <v>18</v>
      </c>
      <c r="D431" t="s">
        <v>13</v>
      </c>
      <c r="E431" t="s">
        <v>32</v>
      </c>
      <c r="F431">
        <v>7</v>
      </c>
      <c r="G431">
        <v>84494</v>
      </c>
      <c r="H431">
        <v>5</v>
      </c>
      <c r="I431">
        <v>12</v>
      </c>
      <c r="J431">
        <v>629311.31000000006</v>
      </c>
      <c r="K431" t="s">
        <v>37</v>
      </c>
      <c r="L431" t="s">
        <v>33</v>
      </c>
      <c r="M431" s="7">
        <v>45836</v>
      </c>
      <c r="N431" s="7">
        <v>45848</v>
      </c>
      <c r="O431" s="8">
        <v>12</v>
      </c>
      <c r="P431" t="str">
        <f t="shared" si="6"/>
        <v>Delayed</v>
      </c>
    </row>
    <row r="432" spans="1:16" x14ac:dyDescent="0.3">
      <c r="A432" t="s">
        <v>166</v>
      </c>
      <c r="B432" s="6" t="s">
        <v>240</v>
      </c>
      <c r="C432" t="s">
        <v>28</v>
      </c>
      <c r="D432" t="s">
        <v>35</v>
      </c>
      <c r="E432" t="s">
        <v>56</v>
      </c>
      <c r="F432">
        <v>26</v>
      </c>
      <c r="G432">
        <v>79550</v>
      </c>
      <c r="H432">
        <v>5</v>
      </c>
      <c r="I432">
        <v>28</v>
      </c>
      <c r="J432">
        <v>2515052.7999999998</v>
      </c>
      <c r="K432" t="s">
        <v>37</v>
      </c>
      <c r="L432" t="s">
        <v>38</v>
      </c>
      <c r="M432" s="7">
        <v>45756</v>
      </c>
      <c r="N432" s="7">
        <v>45770</v>
      </c>
      <c r="O432" s="8">
        <v>14</v>
      </c>
      <c r="P432" t="str">
        <f t="shared" si="6"/>
        <v>Delayed</v>
      </c>
    </row>
    <row r="433" spans="1:16" x14ac:dyDescent="0.3">
      <c r="A433" t="s">
        <v>52</v>
      </c>
      <c r="B433" s="6" t="s">
        <v>245</v>
      </c>
      <c r="C433" t="s">
        <v>18</v>
      </c>
      <c r="D433" t="s">
        <v>44</v>
      </c>
      <c r="E433" t="s">
        <v>51</v>
      </c>
      <c r="F433">
        <v>26</v>
      </c>
      <c r="G433">
        <v>56858</v>
      </c>
      <c r="H433">
        <v>12</v>
      </c>
      <c r="I433">
        <v>18</v>
      </c>
      <c r="J433">
        <v>1535075.03</v>
      </c>
      <c r="K433" t="s">
        <v>21</v>
      </c>
      <c r="L433" t="s">
        <v>16</v>
      </c>
      <c r="M433" s="7">
        <v>45772</v>
      </c>
      <c r="N433" s="7">
        <v>45781</v>
      </c>
      <c r="O433" s="8">
        <v>9</v>
      </c>
      <c r="P433" t="str">
        <f t="shared" si="6"/>
        <v>Delayed</v>
      </c>
    </row>
    <row r="434" spans="1:16" x14ac:dyDescent="0.3">
      <c r="A434" t="s">
        <v>161</v>
      </c>
      <c r="B434" s="6" t="s">
        <v>242</v>
      </c>
      <c r="C434" t="s">
        <v>12</v>
      </c>
      <c r="D434" t="s">
        <v>48</v>
      </c>
      <c r="E434" t="s">
        <v>49</v>
      </c>
      <c r="F434">
        <v>12</v>
      </c>
      <c r="G434">
        <v>31948</v>
      </c>
      <c r="H434">
        <v>5</v>
      </c>
      <c r="I434">
        <v>12</v>
      </c>
      <c r="J434">
        <v>407912.06</v>
      </c>
      <c r="K434" t="s">
        <v>15</v>
      </c>
      <c r="L434" t="s">
        <v>16</v>
      </c>
      <c r="M434" s="7">
        <v>45722</v>
      </c>
      <c r="N434" s="7">
        <v>45736</v>
      </c>
      <c r="O434" s="8">
        <v>14</v>
      </c>
      <c r="P434" t="str">
        <f t="shared" si="6"/>
        <v>Delayed</v>
      </c>
    </row>
    <row r="435" spans="1:16" x14ac:dyDescent="0.3">
      <c r="A435" t="s">
        <v>192</v>
      </c>
      <c r="B435" s="6" t="s">
        <v>243</v>
      </c>
      <c r="C435" t="s">
        <v>53</v>
      </c>
      <c r="D435" t="s">
        <v>13</v>
      </c>
      <c r="E435" t="s">
        <v>32</v>
      </c>
      <c r="F435">
        <v>21</v>
      </c>
      <c r="G435">
        <v>32208</v>
      </c>
      <c r="H435">
        <v>0</v>
      </c>
      <c r="I435">
        <v>12</v>
      </c>
      <c r="J435">
        <v>757532.16000000003</v>
      </c>
      <c r="K435" t="s">
        <v>15</v>
      </c>
      <c r="L435" t="s">
        <v>26</v>
      </c>
      <c r="M435" s="7">
        <v>45813</v>
      </c>
      <c r="N435" s="7">
        <v>45828</v>
      </c>
      <c r="O435" s="8">
        <v>15</v>
      </c>
      <c r="P435" t="str">
        <f t="shared" si="6"/>
        <v>Delayed</v>
      </c>
    </row>
    <row r="436" spans="1:16" x14ac:dyDescent="0.3">
      <c r="A436" t="s">
        <v>183</v>
      </c>
      <c r="B436" s="6" t="s">
        <v>246</v>
      </c>
      <c r="C436" t="s">
        <v>80</v>
      </c>
      <c r="D436" t="s">
        <v>48</v>
      </c>
      <c r="E436" t="s">
        <v>49</v>
      </c>
      <c r="F436">
        <v>25</v>
      </c>
      <c r="G436">
        <v>33835</v>
      </c>
      <c r="H436">
        <v>10</v>
      </c>
      <c r="I436">
        <v>12</v>
      </c>
      <c r="J436">
        <v>852642</v>
      </c>
      <c r="K436" t="s">
        <v>15</v>
      </c>
      <c r="L436" t="s">
        <v>33</v>
      </c>
      <c r="M436" s="7">
        <v>45738</v>
      </c>
      <c r="N436" s="7">
        <v>45748</v>
      </c>
      <c r="O436" s="8">
        <v>10</v>
      </c>
      <c r="P436" t="str">
        <f t="shared" si="6"/>
        <v>Delayed</v>
      </c>
    </row>
    <row r="437" spans="1:16" x14ac:dyDescent="0.3">
      <c r="A437" t="s">
        <v>86</v>
      </c>
      <c r="B437" s="6" t="s">
        <v>241</v>
      </c>
      <c r="C437" t="s">
        <v>42</v>
      </c>
      <c r="D437" t="s">
        <v>35</v>
      </c>
      <c r="E437" t="s">
        <v>36</v>
      </c>
      <c r="F437">
        <v>18</v>
      </c>
      <c r="G437">
        <v>79328</v>
      </c>
      <c r="H437">
        <v>5</v>
      </c>
      <c r="I437">
        <v>28</v>
      </c>
      <c r="J437">
        <v>1736331.26</v>
      </c>
      <c r="K437" t="s">
        <v>15</v>
      </c>
      <c r="L437" t="s">
        <v>33</v>
      </c>
      <c r="M437" s="7">
        <v>45802</v>
      </c>
      <c r="N437" s="7">
        <v>45805</v>
      </c>
      <c r="O437" s="8">
        <v>3</v>
      </c>
      <c r="P437" t="str">
        <f t="shared" si="6"/>
        <v>On Delivery</v>
      </c>
    </row>
    <row r="438" spans="1:16" x14ac:dyDescent="0.3">
      <c r="A438" t="s">
        <v>187</v>
      </c>
      <c r="B438" s="6" t="s">
        <v>241</v>
      </c>
      <c r="C438" t="s">
        <v>42</v>
      </c>
      <c r="D438" t="s">
        <v>19</v>
      </c>
      <c r="E438" t="s">
        <v>20</v>
      </c>
      <c r="F438">
        <v>1</v>
      </c>
      <c r="G438">
        <v>73214</v>
      </c>
      <c r="H438">
        <v>12</v>
      </c>
      <c r="I438">
        <v>12</v>
      </c>
      <c r="J438">
        <v>72159.72</v>
      </c>
      <c r="K438" t="s">
        <v>21</v>
      </c>
      <c r="L438" t="s">
        <v>16</v>
      </c>
      <c r="M438" s="7">
        <v>45666</v>
      </c>
      <c r="N438" s="7">
        <v>45672</v>
      </c>
      <c r="O438" s="8">
        <v>6</v>
      </c>
      <c r="P438" t="str">
        <f t="shared" si="6"/>
        <v>Delayed</v>
      </c>
    </row>
    <row r="439" spans="1:16" x14ac:dyDescent="0.3">
      <c r="A439" t="s">
        <v>153</v>
      </c>
      <c r="B439" s="6" t="s">
        <v>240</v>
      </c>
      <c r="C439" t="s">
        <v>28</v>
      </c>
      <c r="D439" t="s">
        <v>24</v>
      </c>
      <c r="E439" t="s">
        <v>76</v>
      </c>
      <c r="F439">
        <v>20</v>
      </c>
      <c r="G439">
        <v>41365</v>
      </c>
      <c r="H439">
        <v>12</v>
      </c>
      <c r="I439">
        <v>12</v>
      </c>
      <c r="J439">
        <v>815386.88</v>
      </c>
      <c r="K439" t="s">
        <v>15</v>
      </c>
      <c r="L439" t="s">
        <v>26</v>
      </c>
      <c r="M439" s="7">
        <v>45830</v>
      </c>
      <c r="N439" s="7">
        <v>45839</v>
      </c>
      <c r="O439" s="8">
        <v>9</v>
      </c>
      <c r="P439" t="str">
        <f t="shared" si="6"/>
        <v>Delayed</v>
      </c>
    </row>
    <row r="440" spans="1:16" x14ac:dyDescent="0.3">
      <c r="A440" t="s">
        <v>61</v>
      </c>
      <c r="B440" s="6" t="s">
        <v>246</v>
      </c>
      <c r="C440" t="s">
        <v>80</v>
      </c>
      <c r="D440" t="s">
        <v>48</v>
      </c>
      <c r="E440" t="s">
        <v>49</v>
      </c>
      <c r="F440">
        <v>17</v>
      </c>
      <c r="G440">
        <v>29824</v>
      </c>
      <c r="H440">
        <v>10</v>
      </c>
      <c r="I440">
        <v>18</v>
      </c>
      <c r="J440">
        <v>538442.5</v>
      </c>
      <c r="K440" t="s">
        <v>46</v>
      </c>
      <c r="L440" t="s">
        <v>33</v>
      </c>
      <c r="M440" s="7">
        <v>45775</v>
      </c>
      <c r="N440" s="7">
        <v>45782</v>
      </c>
      <c r="O440" s="8">
        <v>7</v>
      </c>
      <c r="P440" t="str">
        <f t="shared" si="6"/>
        <v>Delayed</v>
      </c>
    </row>
    <row r="441" spans="1:16" x14ac:dyDescent="0.3">
      <c r="A441" t="s">
        <v>205</v>
      </c>
      <c r="B441" s="6" t="s">
        <v>239</v>
      </c>
      <c r="C441" t="s">
        <v>23</v>
      </c>
      <c r="D441" t="s">
        <v>13</v>
      </c>
      <c r="E441" t="s">
        <v>32</v>
      </c>
      <c r="F441">
        <v>34</v>
      </c>
      <c r="G441">
        <v>72273</v>
      </c>
      <c r="H441">
        <v>0</v>
      </c>
      <c r="I441">
        <v>28</v>
      </c>
      <c r="J441">
        <v>3145320.96</v>
      </c>
      <c r="K441" t="s">
        <v>37</v>
      </c>
      <c r="L441" t="s">
        <v>38</v>
      </c>
      <c r="M441" s="7">
        <v>45688</v>
      </c>
      <c r="N441" s="7">
        <v>45693</v>
      </c>
      <c r="O441" s="8">
        <v>5</v>
      </c>
      <c r="P441" t="str">
        <f t="shared" si="6"/>
        <v>Delayed</v>
      </c>
    </row>
    <row r="442" spans="1:16" x14ac:dyDescent="0.3">
      <c r="A442" t="s">
        <v>176</v>
      </c>
      <c r="B442" s="6" t="s">
        <v>238</v>
      </c>
      <c r="C442" t="s">
        <v>58</v>
      </c>
      <c r="D442" t="s">
        <v>24</v>
      </c>
      <c r="E442" t="s">
        <v>25</v>
      </c>
      <c r="F442">
        <v>21</v>
      </c>
      <c r="G442">
        <v>25560</v>
      </c>
      <c r="H442">
        <v>12</v>
      </c>
      <c r="I442">
        <v>12</v>
      </c>
      <c r="J442">
        <v>529030.66</v>
      </c>
      <c r="K442" t="s">
        <v>46</v>
      </c>
      <c r="L442" t="s">
        <v>38</v>
      </c>
      <c r="M442" s="7">
        <v>45776</v>
      </c>
      <c r="N442" s="7">
        <v>45783</v>
      </c>
      <c r="O442" s="8">
        <v>7</v>
      </c>
      <c r="P442" t="str">
        <f t="shared" si="6"/>
        <v>Delayed</v>
      </c>
    </row>
    <row r="443" spans="1:16" x14ac:dyDescent="0.3">
      <c r="A443" t="s">
        <v>110</v>
      </c>
      <c r="B443" s="6" t="s">
        <v>238</v>
      </c>
      <c r="C443" t="s">
        <v>58</v>
      </c>
      <c r="D443" t="s">
        <v>24</v>
      </c>
      <c r="E443" t="s">
        <v>25</v>
      </c>
      <c r="F443">
        <v>18</v>
      </c>
      <c r="G443">
        <v>28686</v>
      </c>
      <c r="H443">
        <v>12</v>
      </c>
      <c r="I443">
        <v>12</v>
      </c>
      <c r="J443">
        <v>508912.59</v>
      </c>
      <c r="K443" t="s">
        <v>21</v>
      </c>
      <c r="L443" t="s">
        <v>38</v>
      </c>
      <c r="M443" s="7">
        <v>45772</v>
      </c>
      <c r="N443" s="7">
        <v>45776</v>
      </c>
      <c r="O443" s="8">
        <v>4</v>
      </c>
      <c r="P443" t="str">
        <f t="shared" si="6"/>
        <v>Delayed</v>
      </c>
    </row>
    <row r="444" spans="1:16" x14ac:dyDescent="0.3">
      <c r="A444" t="s">
        <v>178</v>
      </c>
      <c r="B444" s="6" t="s">
        <v>246</v>
      </c>
      <c r="C444" t="s">
        <v>80</v>
      </c>
      <c r="D444" t="s">
        <v>13</v>
      </c>
      <c r="E444" t="s">
        <v>32</v>
      </c>
      <c r="F444">
        <v>6</v>
      </c>
      <c r="G444">
        <v>49680</v>
      </c>
      <c r="H444">
        <v>0</v>
      </c>
      <c r="I444">
        <v>28</v>
      </c>
      <c r="J444">
        <v>381542.40000000002</v>
      </c>
      <c r="K444" t="s">
        <v>46</v>
      </c>
      <c r="L444" t="s">
        <v>38</v>
      </c>
      <c r="M444" s="7">
        <v>45752</v>
      </c>
      <c r="N444" s="7">
        <v>45764</v>
      </c>
      <c r="O444" s="8">
        <v>12</v>
      </c>
      <c r="P444" t="str">
        <f t="shared" si="6"/>
        <v>Delayed</v>
      </c>
    </row>
    <row r="445" spans="1:16" x14ac:dyDescent="0.3">
      <c r="A445" t="s">
        <v>105</v>
      </c>
      <c r="B445" s="6" t="s">
        <v>242</v>
      </c>
      <c r="C445" t="s">
        <v>12</v>
      </c>
      <c r="D445" t="s">
        <v>24</v>
      </c>
      <c r="E445" t="s">
        <v>76</v>
      </c>
      <c r="F445">
        <v>32</v>
      </c>
      <c r="G445">
        <v>19570</v>
      </c>
      <c r="H445">
        <v>0</v>
      </c>
      <c r="I445">
        <v>12</v>
      </c>
      <c r="J445">
        <v>701388.80000000005</v>
      </c>
      <c r="K445" t="s">
        <v>37</v>
      </c>
      <c r="L445" t="s">
        <v>38</v>
      </c>
      <c r="M445" s="7">
        <v>45783</v>
      </c>
      <c r="N445" s="7">
        <v>45792</v>
      </c>
      <c r="O445" s="8">
        <v>9</v>
      </c>
      <c r="P445" t="str">
        <f t="shared" si="6"/>
        <v>Delayed</v>
      </c>
    </row>
    <row r="446" spans="1:16" x14ac:dyDescent="0.3">
      <c r="A446" t="s">
        <v>146</v>
      </c>
      <c r="B446" s="6" t="s">
        <v>239</v>
      </c>
      <c r="C446" t="s">
        <v>23</v>
      </c>
      <c r="D446" t="s">
        <v>19</v>
      </c>
      <c r="E446" t="s">
        <v>20</v>
      </c>
      <c r="F446">
        <v>15</v>
      </c>
      <c r="G446">
        <v>11738</v>
      </c>
      <c r="H446">
        <v>12</v>
      </c>
      <c r="I446">
        <v>18</v>
      </c>
      <c r="J446">
        <v>182831.09</v>
      </c>
      <c r="K446" t="s">
        <v>15</v>
      </c>
      <c r="L446" t="s">
        <v>16</v>
      </c>
      <c r="M446" s="7">
        <v>45810</v>
      </c>
      <c r="N446" s="7">
        <v>45818</v>
      </c>
      <c r="O446" s="8">
        <v>8</v>
      </c>
      <c r="P446" t="str">
        <f t="shared" si="6"/>
        <v>Delayed</v>
      </c>
    </row>
    <row r="447" spans="1:16" x14ac:dyDescent="0.3">
      <c r="A447" t="s">
        <v>88</v>
      </c>
      <c r="B447" s="6" t="s">
        <v>245</v>
      </c>
      <c r="C447" t="s">
        <v>18</v>
      </c>
      <c r="D447" t="s">
        <v>62</v>
      </c>
      <c r="E447" t="s">
        <v>92</v>
      </c>
      <c r="F447">
        <v>40</v>
      </c>
      <c r="G447">
        <v>24148</v>
      </c>
      <c r="H447">
        <v>12</v>
      </c>
      <c r="I447">
        <v>12</v>
      </c>
      <c r="J447">
        <v>952010.75</v>
      </c>
      <c r="K447" t="s">
        <v>21</v>
      </c>
      <c r="L447" t="s">
        <v>33</v>
      </c>
      <c r="M447" s="7">
        <v>45834</v>
      </c>
      <c r="N447" s="7">
        <v>45848</v>
      </c>
      <c r="O447" s="8">
        <v>14</v>
      </c>
      <c r="P447" t="str">
        <f t="shared" si="6"/>
        <v>Delayed</v>
      </c>
    </row>
    <row r="448" spans="1:16" x14ac:dyDescent="0.3">
      <c r="A448" t="s">
        <v>173</v>
      </c>
      <c r="B448" s="6" t="s">
        <v>245</v>
      </c>
      <c r="C448" t="s">
        <v>18</v>
      </c>
      <c r="D448" t="s">
        <v>19</v>
      </c>
      <c r="E448" t="s">
        <v>20</v>
      </c>
      <c r="F448">
        <v>35</v>
      </c>
      <c r="G448">
        <v>58239</v>
      </c>
      <c r="H448">
        <v>12</v>
      </c>
      <c r="I448">
        <v>28</v>
      </c>
      <c r="J448">
        <v>2296014.34</v>
      </c>
      <c r="K448" t="s">
        <v>21</v>
      </c>
      <c r="L448" t="s">
        <v>33</v>
      </c>
      <c r="M448" s="7">
        <v>45703</v>
      </c>
      <c r="N448" s="7">
        <v>45708</v>
      </c>
      <c r="O448" s="8">
        <v>5</v>
      </c>
      <c r="P448" t="str">
        <f t="shared" si="6"/>
        <v>Delayed</v>
      </c>
    </row>
    <row r="449" spans="1:16" x14ac:dyDescent="0.3">
      <c r="A449" t="s">
        <v>131</v>
      </c>
      <c r="B449" s="6" t="s">
        <v>245</v>
      </c>
      <c r="C449" t="s">
        <v>18</v>
      </c>
      <c r="D449" t="s">
        <v>13</v>
      </c>
      <c r="E449" t="s">
        <v>32</v>
      </c>
      <c r="F449">
        <v>22</v>
      </c>
      <c r="G449">
        <v>71818</v>
      </c>
      <c r="H449">
        <v>0</v>
      </c>
      <c r="I449">
        <v>12</v>
      </c>
      <c r="J449">
        <v>1769595.52</v>
      </c>
      <c r="K449" t="s">
        <v>21</v>
      </c>
      <c r="L449" t="s">
        <v>26</v>
      </c>
      <c r="M449" s="7">
        <v>45686</v>
      </c>
      <c r="N449" s="7">
        <v>45687</v>
      </c>
      <c r="O449" s="8">
        <v>1</v>
      </c>
      <c r="P449" t="str">
        <f t="shared" si="6"/>
        <v>On Delivery</v>
      </c>
    </row>
    <row r="450" spans="1:16" x14ac:dyDescent="0.3">
      <c r="A450" t="s">
        <v>150</v>
      </c>
      <c r="B450" s="6" t="s">
        <v>245</v>
      </c>
      <c r="C450" t="s">
        <v>18</v>
      </c>
      <c r="D450" t="s">
        <v>24</v>
      </c>
      <c r="E450" t="s">
        <v>25</v>
      </c>
      <c r="F450">
        <v>31</v>
      </c>
      <c r="G450">
        <v>1385</v>
      </c>
      <c r="H450">
        <v>0</v>
      </c>
      <c r="I450">
        <v>12</v>
      </c>
      <c r="J450">
        <v>48087.199999999997</v>
      </c>
      <c r="K450" t="s">
        <v>21</v>
      </c>
      <c r="L450" t="s">
        <v>38</v>
      </c>
      <c r="M450" s="7">
        <v>45739</v>
      </c>
      <c r="N450" s="7">
        <v>45748</v>
      </c>
      <c r="O450" s="8">
        <v>9</v>
      </c>
      <c r="P450" t="str">
        <f t="shared" ref="P450:P513" si="7">IF(O450="","Pending",IF(O450=0,"Delivered",IF(O450&lt;=3,"On Delivery","Delayed")))</f>
        <v>Delayed</v>
      </c>
    </row>
    <row r="451" spans="1:16" x14ac:dyDescent="0.3">
      <c r="A451" t="s">
        <v>72</v>
      </c>
      <c r="B451" s="6" t="s">
        <v>244</v>
      </c>
      <c r="C451" t="s">
        <v>70</v>
      </c>
      <c r="D451" t="s">
        <v>48</v>
      </c>
      <c r="E451" t="s">
        <v>49</v>
      </c>
      <c r="F451">
        <v>14</v>
      </c>
      <c r="G451">
        <v>67288</v>
      </c>
      <c r="H451">
        <v>12</v>
      </c>
      <c r="I451">
        <v>28</v>
      </c>
      <c r="J451">
        <v>1061104.8400000001</v>
      </c>
      <c r="K451" t="s">
        <v>15</v>
      </c>
      <c r="L451" t="s">
        <v>38</v>
      </c>
      <c r="M451" s="7">
        <v>45706</v>
      </c>
      <c r="N451" s="7">
        <v>45719</v>
      </c>
      <c r="O451" s="8">
        <v>13</v>
      </c>
      <c r="P451" t="str">
        <f t="shared" si="7"/>
        <v>Delayed</v>
      </c>
    </row>
    <row r="452" spans="1:16" x14ac:dyDescent="0.3">
      <c r="A452" t="s">
        <v>214</v>
      </c>
      <c r="B452" s="6" t="s">
        <v>240</v>
      </c>
      <c r="C452" t="s">
        <v>28</v>
      </c>
      <c r="D452" t="s">
        <v>19</v>
      </c>
      <c r="E452" t="s">
        <v>20</v>
      </c>
      <c r="F452">
        <v>27</v>
      </c>
      <c r="G452">
        <v>77389</v>
      </c>
      <c r="H452">
        <v>12</v>
      </c>
      <c r="I452">
        <v>28</v>
      </c>
      <c r="J452">
        <v>2353616.1800000002</v>
      </c>
      <c r="K452" t="s">
        <v>37</v>
      </c>
      <c r="L452" t="s">
        <v>38</v>
      </c>
      <c r="M452" s="7">
        <v>45713</v>
      </c>
      <c r="N452" s="7">
        <v>45727</v>
      </c>
      <c r="O452" s="8">
        <v>14</v>
      </c>
      <c r="P452" t="str">
        <f t="shared" si="7"/>
        <v>Delayed</v>
      </c>
    </row>
    <row r="453" spans="1:16" x14ac:dyDescent="0.3">
      <c r="A453" t="s">
        <v>122</v>
      </c>
      <c r="B453" s="6" t="s">
        <v>240</v>
      </c>
      <c r="C453" t="s">
        <v>28</v>
      </c>
      <c r="D453" t="s">
        <v>48</v>
      </c>
      <c r="E453" t="s">
        <v>59</v>
      </c>
      <c r="F453">
        <v>35</v>
      </c>
      <c r="G453">
        <v>83404</v>
      </c>
      <c r="H453">
        <v>5</v>
      </c>
      <c r="I453">
        <v>12</v>
      </c>
      <c r="J453">
        <v>3105964.96</v>
      </c>
      <c r="K453" t="s">
        <v>37</v>
      </c>
      <c r="L453" t="s">
        <v>33</v>
      </c>
      <c r="M453" s="7">
        <v>45729</v>
      </c>
      <c r="N453" s="7">
        <v>45744</v>
      </c>
      <c r="O453" s="8">
        <v>15</v>
      </c>
      <c r="P453" t="str">
        <f t="shared" si="7"/>
        <v>Delayed</v>
      </c>
    </row>
    <row r="454" spans="1:16" x14ac:dyDescent="0.3">
      <c r="A454" t="s">
        <v>132</v>
      </c>
      <c r="B454" s="6" t="s">
        <v>244</v>
      </c>
      <c r="C454" t="s">
        <v>70</v>
      </c>
      <c r="D454" t="s">
        <v>13</v>
      </c>
      <c r="E454" t="s">
        <v>32</v>
      </c>
      <c r="F454">
        <v>11</v>
      </c>
      <c r="G454">
        <v>77041</v>
      </c>
      <c r="H454">
        <v>10</v>
      </c>
      <c r="I454">
        <v>12</v>
      </c>
      <c r="J454">
        <v>854230.61</v>
      </c>
      <c r="K454" t="s">
        <v>37</v>
      </c>
      <c r="L454" t="s">
        <v>38</v>
      </c>
      <c r="M454" s="7">
        <v>45671</v>
      </c>
      <c r="N454" s="7">
        <v>45680</v>
      </c>
      <c r="O454" s="8">
        <v>9</v>
      </c>
      <c r="P454" t="str">
        <f t="shared" si="7"/>
        <v>Delayed</v>
      </c>
    </row>
    <row r="455" spans="1:16" x14ac:dyDescent="0.3">
      <c r="A455" t="s">
        <v>98</v>
      </c>
      <c r="B455" s="6" t="s">
        <v>246</v>
      </c>
      <c r="C455" t="s">
        <v>80</v>
      </c>
      <c r="D455" t="s">
        <v>48</v>
      </c>
      <c r="E455" t="s">
        <v>49</v>
      </c>
      <c r="F455">
        <v>5</v>
      </c>
      <c r="G455">
        <v>76880</v>
      </c>
      <c r="H455">
        <v>5</v>
      </c>
      <c r="I455">
        <v>12</v>
      </c>
      <c r="J455">
        <v>409001.6</v>
      </c>
      <c r="K455" t="s">
        <v>46</v>
      </c>
      <c r="L455" t="s">
        <v>38</v>
      </c>
      <c r="M455" s="7">
        <v>45726</v>
      </c>
      <c r="N455" s="7">
        <v>45736</v>
      </c>
      <c r="O455" s="8">
        <v>10</v>
      </c>
      <c r="P455" t="str">
        <f t="shared" si="7"/>
        <v>Delayed</v>
      </c>
    </row>
    <row r="456" spans="1:16" x14ac:dyDescent="0.3">
      <c r="A456" t="s">
        <v>165</v>
      </c>
      <c r="B456" s="6" t="s">
        <v>246</v>
      </c>
      <c r="C456" t="s">
        <v>80</v>
      </c>
      <c r="D456" t="s">
        <v>29</v>
      </c>
      <c r="E456" t="s">
        <v>30</v>
      </c>
      <c r="F456">
        <v>21</v>
      </c>
      <c r="G456">
        <v>79418</v>
      </c>
      <c r="H456">
        <v>10</v>
      </c>
      <c r="I456">
        <v>28</v>
      </c>
      <c r="J456">
        <v>1921280.26</v>
      </c>
      <c r="K456" t="s">
        <v>21</v>
      </c>
      <c r="L456" t="s">
        <v>38</v>
      </c>
      <c r="M456" s="7">
        <v>45693</v>
      </c>
      <c r="N456" s="7">
        <v>45706</v>
      </c>
      <c r="O456" s="8">
        <v>13</v>
      </c>
      <c r="P456" t="str">
        <f t="shared" si="7"/>
        <v>Delayed</v>
      </c>
    </row>
    <row r="457" spans="1:16" x14ac:dyDescent="0.3">
      <c r="A457" t="s">
        <v>100</v>
      </c>
      <c r="B457" s="6" t="s">
        <v>242</v>
      </c>
      <c r="C457" t="s">
        <v>12</v>
      </c>
      <c r="D457" t="s">
        <v>35</v>
      </c>
      <c r="E457" t="s">
        <v>36</v>
      </c>
      <c r="F457">
        <v>10</v>
      </c>
      <c r="G457">
        <v>46490</v>
      </c>
      <c r="H457">
        <v>5</v>
      </c>
      <c r="I457">
        <v>18</v>
      </c>
      <c r="J457">
        <v>521152.9</v>
      </c>
      <c r="K457" t="s">
        <v>37</v>
      </c>
      <c r="L457" t="s">
        <v>16</v>
      </c>
      <c r="M457" s="7">
        <v>45760</v>
      </c>
      <c r="N457" s="7">
        <v>45769</v>
      </c>
      <c r="O457" s="8">
        <v>9</v>
      </c>
      <c r="P457" t="str">
        <f t="shared" si="7"/>
        <v>Delayed</v>
      </c>
    </row>
    <row r="458" spans="1:16" x14ac:dyDescent="0.3">
      <c r="A458" t="s">
        <v>214</v>
      </c>
      <c r="B458" s="6" t="s">
        <v>246</v>
      </c>
      <c r="C458" t="s">
        <v>80</v>
      </c>
      <c r="D458" t="s">
        <v>35</v>
      </c>
      <c r="E458" t="s">
        <v>77</v>
      </c>
      <c r="F458">
        <v>27</v>
      </c>
      <c r="G458">
        <v>69634</v>
      </c>
      <c r="H458">
        <v>12</v>
      </c>
      <c r="I458">
        <v>28</v>
      </c>
      <c r="J458">
        <v>2117764.92</v>
      </c>
      <c r="K458" t="s">
        <v>46</v>
      </c>
      <c r="L458" t="s">
        <v>26</v>
      </c>
      <c r="M458" s="7">
        <v>45716</v>
      </c>
      <c r="N458" s="7">
        <v>45727</v>
      </c>
      <c r="O458" s="8">
        <v>11</v>
      </c>
      <c r="P458" t="str">
        <f t="shared" si="7"/>
        <v>Delayed</v>
      </c>
    </row>
    <row r="459" spans="1:16" x14ac:dyDescent="0.3">
      <c r="A459" t="s">
        <v>96</v>
      </c>
      <c r="B459" s="6" t="s">
        <v>239</v>
      </c>
      <c r="C459" t="s">
        <v>23</v>
      </c>
      <c r="D459" t="s">
        <v>24</v>
      </c>
      <c r="E459" t="s">
        <v>25</v>
      </c>
      <c r="F459">
        <v>31</v>
      </c>
      <c r="G459">
        <v>42414</v>
      </c>
      <c r="H459">
        <v>10</v>
      </c>
      <c r="I459">
        <v>18</v>
      </c>
      <c r="J459">
        <v>1396353.71</v>
      </c>
      <c r="K459" t="s">
        <v>21</v>
      </c>
      <c r="L459" t="s">
        <v>33</v>
      </c>
      <c r="M459" s="7">
        <v>45752</v>
      </c>
      <c r="N459" s="7">
        <v>45759</v>
      </c>
      <c r="O459" s="8">
        <v>7</v>
      </c>
      <c r="P459" t="str">
        <f t="shared" si="7"/>
        <v>Delayed</v>
      </c>
    </row>
    <row r="460" spans="1:16" x14ac:dyDescent="0.3">
      <c r="A460" t="s">
        <v>139</v>
      </c>
      <c r="B460" s="6" t="s">
        <v>243</v>
      </c>
      <c r="C460" t="s">
        <v>53</v>
      </c>
      <c r="D460" t="s">
        <v>24</v>
      </c>
      <c r="E460" t="s">
        <v>40</v>
      </c>
      <c r="F460">
        <v>36</v>
      </c>
      <c r="G460">
        <v>20051</v>
      </c>
      <c r="H460">
        <v>10</v>
      </c>
      <c r="I460">
        <v>12</v>
      </c>
      <c r="J460">
        <v>727610.69</v>
      </c>
      <c r="K460" t="s">
        <v>46</v>
      </c>
      <c r="L460" t="s">
        <v>26</v>
      </c>
      <c r="M460" s="7">
        <v>45787</v>
      </c>
      <c r="N460" s="7">
        <v>45800</v>
      </c>
      <c r="O460" s="8">
        <v>13</v>
      </c>
      <c r="P460" t="str">
        <f t="shared" si="7"/>
        <v>Delayed</v>
      </c>
    </row>
    <row r="461" spans="1:16" x14ac:dyDescent="0.3">
      <c r="A461" t="s">
        <v>134</v>
      </c>
      <c r="B461" s="6" t="s">
        <v>246</v>
      </c>
      <c r="C461" t="s">
        <v>80</v>
      </c>
      <c r="D461" t="s">
        <v>24</v>
      </c>
      <c r="E461" t="s">
        <v>25</v>
      </c>
      <c r="F461">
        <v>17</v>
      </c>
      <c r="G461">
        <v>27001</v>
      </c>
      <c r="H461">
        <v>10</v>
      </c>
      <c r="I461">
        <v>28</v>
      </c>
      <c r="J461">
        <v>528787.57999999996</v>
      </c>
      <c r="K461" t="s">
        <v>46</v>
      </c>
      <c r="L461" t="s">
        <v>33</v>
      </c>
      <c r="M461" s="7">
        <v>45773</v>
      </c>
      <c r="N461" s="7">
        <v>45785</v>
      </c>
      <c r="O461" s="8">
        <v>12</v>
      </c>
      <c r="P461" t="str">
        <f t="shared" si="7"/>
        <v>Delayed</v>
      </c>
    </row>
    <row r="462" spans="1:16" x14ac:dyDescent="0.3">
      <c r="A462" t="s">
        <v>86</v>
      </c>
      <c r="B462" s="6" t="s">
        <v>244</v>
      </c>
      <c r="C462" t="s">
        <v>70</v>
      </c>
      <c r="D462" t="s">
        <v>29</v>
      </c>
      <c r="E462" t="s">
        <v>30</v>
      </c>
      <c r="F462">
        <v>28</v>
      </c>
      <c r="G462">
        <v>42688</v>
      </c>
      <c r="H462">
        <v>10</v>
      </c>
      <c r="I462">
        <v>18</v>
      </c>
      <c r="J462">
        <v>1269370.3700000001</v>
      </c>
      <c r="K462" t="s">
        <v>37</v>
      </c>
      <c r="L462" t="s">
        <v>16</v>
      </c>
      <c r="M462" s="7">
        <v>45805</v>
      </c>
      <c r="N462" s="7">
        <v>45812</v>
      </c>
      <c r="O462" s="8">
        <v>7</v>
      </c>
      <c r="P462" t="str">
        <f t="shared" si="7"/>
        <v>Delayed</v>
      </c>
    </row>
    <row r="463" spans="1:16" x14ac:dyDescent="0.3">
      <c r="A463" t="s">
        <v>160</v>
      </c>
      <c r="B463" s="6" t="s">
        <v>241</v>
      </c>
      <c r="C463" t="s">
        <v>42</v>
      </c>
      <c r="D463" t="s">
        <v>62</v>
      </c>
      <c r="E463" t="s">
        <v>92</v>
      </c>
      <c r="F463">
        <v>11</v>
      </c>
      <c r="G463">
        <v>4086</v>
      </c>
      <c r="H463">
        <v>10</v>
      </c>
      <c r="I463">
        <v>12</v>
      </c>
      <c r="J463">
        <v>45305.57</v>
      </c>
      <c r="K463" t="s">
        <v>46</v>
      </c>
      <c r="L463" t="s">
        <v>26</v>
      </c>
      <c r="M463" s="7">
        <v>45734</v>
      </c>
      <c r="N463" s="7">
        <v>45745</v>
      </c>
      <c r="O463" s="8">
        <v>11</v>
      </c>
      <c r="P463" t="str">
        <f t="shared" si="7"/>
        <v>Delayed</v>
      </c>
    </row>
    <row r="464" spans="1:16" x14ac:dyDescent="0.3">
      <c r="A464" t="s">
        <v>168</v>
      </c>
      <c r="B464" s="6" t="s">
        <v>239</v>
      </c>
      <c r="C464" t="s">
        <v>23</v>
      </c>
      <c r="D464" t="s">
        <v>19</v>
      </c>
      <c r="E464" t="s">
        <v>20</v>
      </c>
      <c r="F464">
        <v>40</v>
      </c>
      <c r="G464">
        <v>64495</v>
      </c>
      <c r="H464">
        <v>5</v>
      </c>
      <c r="I464">
        <v>18</v>
      </c>
      <c r="J464">
        <v>2891955.8</v>
      </c>
      <c r="K464" t="s">
        <v>21</v>
      </c>
      <c r="L464" t="s">
        <v>16</v>
      </c>
      <c r="M464" s="7">
        <v>45763</v>
      </c>
      <c r="N464" s="7">
        <v>45766</v>
      </c>
      <c r="O464" s="8">
        <v>3</v>
      </c>
      <c r="P464" t="str">
        <f t="shared" si="7"/>
        <v>On Delivery</v>
      </c>
    </row>
    <row r="465" spans="1:16" x14ac:dyDescent="0.3">
      <c r="A465" t="s">
        <v>50</v>
      </c>
      <c r="B465" s="6" t="s">
        <v>238</v>
      </c>
      <c r="C465" t="s">
        <v>58</v>
      </c>
      <c r="D465" t="s">
        <v>29</v>
      </c>
      <c r="E465" t="s">
        <v>30</v>
      </c>
      <c r="F465">
        <v>5</v>
      </c>
      <c r="G465">
        <v>64100</v>
      </c>
      <c r="H465">
        <v>10</v>
      </c>
      <c r="I465">
        <v>12</v>
      </c>
      <c r="J465">
        <v>323064</v>
      </c>
      <c r="K465" t="s">
        <v>46</v>
      </c>
      <c r="L465" t="s">
        <v>38</v>
      </c>
      <c r="M465" s="7">
        <v>45826</v>
      </c>
      <c r="N465" s="7">
        <v>45832</v>
      </c>
      <c r="O465" s="8">
        <v>6</v>
      </c>
      <c r="P465" t="str">
        <f t="shared" si="7"/>
        <v>Delayed</v>
      </c>
    </row>
    <row r="466" spans="1:16" x14ac:dyDescent="0.3">
      <c r="A466" t="s">
        <v>155</v>
      </c>
      <c r="B466" s="6" t="s">
        <v>244</v>
      </c>
      <c r="C466" t="s">
        <v>70</v>
      </c>
      <c r="D466" t="s">
        <v>24</v>
      </c>
      <c r="E466" t="s">
        <v>25</v>
      </c>
      <c r="F466">
        <v>4</v>
      </c>
      <c r="G466">
        <v>49754</v>
      </c>
      <c r="H466">
        <v>0</v>
      </c>
      <c r="I466">
        <v>12</v>
      </c>
      <c r="J466">
        <v>222897.92000000001</v>
      </c>
      <c r="K466" t="s">
        <v>37</v>
      </c>
      <c r="L466" t="s">
        <v>16</v>
      </c>
      <c r="M466" s="7">
        <v>45758</v>
      </c>
      <c r="N466" s="7">
        <v>45773</v>
      </c>
      <c r="O466" s="8">
        <v>15</v>
      </c>
      <c r="P466" t="str">
        <f t="shared" si="7"/>
        <v>Delayed</v>
      </c>
    </row>
    <row r="467" spans="1:16" x14ac:dyDescent="0.3">
      <c r="A467" t="s">
        <v>211</v>
      </c>
      <c r="B467" s="6" t="s">
        <v>242</v>
      </c>
      <c r="C467" t="s">
        <v>12</v>
      </c>
      <c r="D467" t="s">
        <v>29</v>
      </c>
      <c r="E467" t="s">
        <v>30</v>
      </c>
      <c r="F467">
        <v>9</v>
      </c>
      <c r="G467">
        <v>33669</v>
      </c>
      <c r="H467">
        <v>10</v>
      </c>
      <c r="I467">
        <v>28</v>
      </c>
      <c r="J467">
        <v>349080.19</v>
      </c>
      <c r="K467" t="s">
        <v>46</v>
      </c>
      <c r="L467" t="s">
        <v>33</v>
      </c>
      <c r="M467" s="7">
        <v>45765</v>
      </c>
      <c r="N467" s="7">
        <v>45780</v>
      </c>
      <c r="O467" s="8">
        <v>15</v>
      </c>
      <c r="P467" t="str">
        <f t="shared" si="7"/>
        <v>Delayed</v>
      </c>
    </row>
    <row r="468" spans="1:16" x14ac:dyDescent="0.3">
      <c r="A468" t="s">
        <v>74</v>
      </c>
      <c r="B468" s="6" t="s">
        <v>242</v>
      </c>
      <c r="C468" t="s">
        <v>12</v>
      </c>
      <c r="D468" t="s">
        <v>35</v>
      </c>
      <c r="E468" t="s">
        <v>77</v>
      </c>
      <c r="F468">
        <v>20</v>
      </c>
      <c r="G468">
        <v>57281</v>
      </c>
      <c r="H468">
        <v>5</v>
      </c>
      <c r="I468">
        <v>12</v>
      </c>
      <c r="J468">
        <v>1218939.68</v>
      </c>
      <c r="K468" t="s">
        <v>46</v>
      </c>
      <c r="L468" t="s">
        <v>33</v>
      </c>
      <c r="M468" s="7">
        <v>45839</v>
      </c>
      <c r="N468" s="7">
        <v>45852</v>
      </c>
      <c r="O468" s="8">
        <v>13</v>
      </c>
      <c r="P468" t="str">
        <f t="shared" si="7"/>
        <v>Delayed</v>
      </c>
    </row>
    <row r="469" spans="1:16" x14ac:dyDescent="0.3">
      <c r="A469" t="s">
        <v>52</v>
      </c>
      <c r="B469" s="6" t="s">
        <v>242</v>
      </c>
      <c r="C469" t="s">
        <v>12</v>
      </c>
      <c r="D469" t="s">
        <v>35</v>
      </c>
      <c r="E469" t="s">
        <v>56</v>
      </c>
      <c r="F469">
        <v>40</v>
      </c>
      <c r="G469">
        <v>38524</v>
      </c>
      <c r="H469">
        <v>0</v>
      </c>
      <c r="I469">
        <v>18</v>
      </c>
      <c r="J469">
        <v>1818332.8</v>
      </c>
      <c r="K469" t="s">
        <v>46</v>
      </c>
      <c r="L469" t="s">
        <v>33</v>
      </c>
      <c r="M469" s="7">
        <v>45768</v>
      </c>
      <c r="N469" s="7">
        <v>45779</v>
      </c>
      <c r="O469" s="8">
        <v>11</v>
      </c>
      <c r="P469" t="str">
        <f t="shared" si="7"/>
        <v>Delayed</v>
      </c>
    </row>
    <row r="470" spans="1:16" x14ac:dyDescent="0.3">
      <c r="A470" t="s">
        <v>131</v>
      </c>
      <c r="B470" s="6" t="s">
        <v>243</v>
      </c>
      <c r="C470" t="s">
        <v>53</v>
      </c>
      <c r="D470" t="s">
        <v>13</v>
      </c>
      <c r="E470" t="s">
        <v>14</v>
      </c>
      <c r="F470">
        <v>1</v>
      </c>
      <c r="G470">
        <v>63585</v>
      </c>
      <c r="H470">
        <v>10</v>
      </c>
      <c r="I470">
        <v>28</v>
      </c>
      <c r="J470">
        <v>73249.919999999998</v>
      </c>
      <c r="K470" t="s">
        <v>21</v>
      </c>
      <c r="L470" t="s">
        <v>38</v>
      </c>
      <c r="M470" s="7">
        <v>45682</v>
      </c>
      <c r="N470" s="7">
        <v>45684</v>
      </c>
      <c r="O470" s="8">
        <v>2</v>
      </c>
      <c r="P470" t="str">
        <f t="shared" si="7"/>
        <v>On Delivery</v>
      </c>
    </row>
    <row r="471" spans="1:16" x14ac:dyDescent="0.3">
      <c r="A471" t="s">
        <v>137</v>
      </c>
      <c r="B471" s="6" t="s">
        <v>242</v>
      </c>
      <c r="C471" t="s">
        <v>12</v>
      </c>
      <c r="D471" t="s">
        <v>29</v>
      </c>
      <c r="E471" t="s">
        <v>30</v>
      </c>
      <c r="F471">
        <v>32</v>
      </c>
      <c r="G471">
        <v>34903</v>
      </c>
      <c r="H471">
        <v>10</v>
      </c>
      <c r="I471">
        <v>18</v>
      </c>
      <c r="J471">
        <v>1186143.55</v>
      </c>
      <c r="K471" t="s">
        <v>37</v>
      </c>
      <c r="L471" t="s">
        <v>33</v>
      </c>
      <c r="M471" s="7">
        <v>45662</v>
      </c>
      <c r="N471" s="7">
        <v>45665</v>
      </c>
      <c r="O471" s="8">
        <v>3</v>
      </c>
      <c r="P471" t="str">
        <f t="shared" si="7"/>
        <v>On Delivery</v>
      </c>
    </row>
    <row r="472" spans="1:16" x14ac:dyDescent="0.3">
      <c r="A472" t="s">
        <v>57</v>
      </c>
      <c r="B472" s="6" t="s">
        <v>246</v>
      </c>
      <c r="C472" t="s">
        <v>80</v>
      </c>
      <c r="D472" t="s">
        <v>24</v>
      </c>
      <c r="E472" t="s">
        <v>40</v>
      </c>
      <c r="F472">
        <v>5</v>
      </c>
      <c r="G472">
        <v>16005</v>
      </c>
      <c r="H472">
        <v>0</v>
      </c>
      <c r="I472">
        <v>18</v>
      </c>
      <c r="J472">
        <v>94429.5</v>
      </c>
      <c r="K472" t="s">
        <v>46</v>
      </c>
      <c r="L472" t="s">
        <v>16</v>
      </c>
      <c r="M472" s="7">
        <v>45799</v>
      </c>
      <c r="N472" s="7">
        <v>45811</v>
      </c>
      <c r="O472" s="8">
        <v>12</v>
      </c>
      <c r="P472" t="str">
        <f t="shared" si="7"/>
        <v>Delayed</v>
      </c>
    </row>
    <row r="473" spans="1:16" x14ac:dyDescent="0.3">
      <c r="A473" t="s">
        <v>213</v>
      </c>
      <c r="B473" s="6" t="s">
        <v>242</v>
      </c>
      <c r="C473" t="s">
        <v>12</v>
      </c>
      <c r="D473" t="s">
        <v>62</v>
      </c>
      <c r="E473" t="s">
        <v>63</v>
      </c>
      <c r="F473">
        <v>19</v>
      </c>
      <c r="G473">
        <v>37671</v>
      </c>
      <c r="H473">
        <v>12</v>
      </c>
      <c r="I473">
        <v>18</v>
      </c>
      <c r="J473">
        <v>743233.76</v>
      </c>
      <c r="K473" t="s">
        <v>37</v>
      </c>
      <c r="L473" t="s">
        <v>38</v>
      </c>
      <c r="M473" s="7">
        <v>45812</v>
      </c>
      <c r="N473" s="7">
        <v>45826</v>
      </c>
      <c r="O473" s="8">
        <v>14</v>
      </c>
      <c r="P473" t="str">
        <f t="shared" si="7"/>
        <v>Delayed</v>
      </c>
    </row>
    <row r="474" spans="1:16" x14ac:dyDescent="0.3">
      <c r="A474" t="s">
        <v>156</v>
      </c>
      <c r="B474" s="6" t="s">
        <v>243</v>
      </c>
      <c r="C474" t="s">
        <v>53</v>
      </c>
      <c r="D474" t="s">
        <v>35</v>
      </c>
      <c r="E474" t="s">
        <v>56</v>
      </c>
      <c r="F474">
        <v>9</v>
      </c>
      <c r="G474">
        <v>35839</v>
      </c>
      <c r="H474">
        <v>12</v>
      </c>
      <c r="I474">
        <v>28</v>
      </c>
      <c r="J474">
        <v>363321.45</v>
      </c>
      <c r="K474" t="s">
        <v>21</v>
      </c>
      <c r="L474" t="s">
        <v>16</v>
      </c>
      <c r="M474" s="7">
        <v>45824</v>
      </c>
      <c r="N474" s="7">
        <v>45827</v>
      </c>
      <c r="O474" s="8">
        <v>3</v>
      </c>
      <c r="P474" t="str">
        <f t="shared" si="7"/>
        <v>On Delivery</v>
      </c>
    </row>
    <row r="475" spans="1:16" x14ac:dyDescent="0.3">
      <c r="A475" t="s">
        <v>154</v>
      </c>
      <c r="B475" s="6" t="s">
        <v>246</v>
      </c>
      <c r="C475" t="s">
        <v>80</v>
      </c>
      <c r="D475" t="s">
        <v>62</v>
      </c>
      <c r="E475" t="s">
        <v>63</v>
      </c>
      <c r="F475">
        <v>28</v>
      </c>
      <c r="G475">
        <v>41145</v>
      </c>
      <c r="H475">
        <v>12</v>
      </c>
      <c r="I475">
        <v>12</v>
      </c>
      <c r="J475">
        <v>1135470.3400000001</v>
      </c>
      <c r="K475" t="s">
        <v>15</v>
      </c>
      <c r="L475" t="s">
        <v>33</v>
      </c>
      <c r="M475" s="7">
        <v>45836</v>
      </c>
      <c r="N475" s="7">
        <v>45843</v>
      </c>
      <c r="O475" s="8">
        <v>7</v>
      </c>
      <c r="P475" t="str">
        <f t="shared" si="7"/>
        <v>Delayed</v>
      </c>
    </row>
    <row r="476" spans="1:16" x14ac:dyDescent="0.3">
      <c r="A476" t="s">
        <v>116</v>
      </c>
      <c r="B476" s="6" t="s">
        <v>244</v>
      </c>
      <c r="C476" t="s">
        <v>70</v>
      </c>
      <c r="D476" t="s">
        <v>24</v>
      </c>
      <c r="E476" t="s">
        <v>25</v>
      </c>
      <c r="F476">
        <v>22</v>
      </c>
      <c r="G476">
        <v>20472</v>
      </c>
      <c r="H476">
        <v>5</v>
      </c>
      <c r="I476">
        <v>18</v>
      </c>
      <c r="J476">
        <v>504880.46</v>
      </c>
      <c r="K476" t="s">
        <v>21</v>
      </c>
      <c r="L476" t="s">
        <v>33</v>
      </c>
      <c r="M476" s="7">
        <v>45788</v>
      </c>
      <c r="N476" s="7">
        <v>45797</v>
      </c>
      <c r="O476" s="8">
        <v>9</v>
      </c>
      <c r="P476" t="str">
        <f t="shared" si="7"/>
        <v>Delayed</v>
      </c>
    </row>
    <row r="477" spans="1:16" x14ac:dyDescent="0.3">
      <c r="A477" t="s">
        <v>196</v>
      </c>
      <c r="B477" s="6" t="s">
        <v>242</v>
      </c>
      <c r="C477" t="s">
        <v>12</v>
      </c>
      <c r="D477" t="s">
        <v>44</v>
      </c>
      <c r="E477" t="s">
        <v>51</v>
      </c>
      <c r="F477">
        <v>13</v>
      </c>
      <c r="G477">
        <v>20528</v>
      </c>
      <c r="H477">
        <v>5</v>
      </c>
      <c r="I477">
        <v>18</v>
      </c>
      <c r="J477">
        <v>299154.53999999998</v>
      </c>
      <c r="K477" t="s">
        <v>15</v>
      </c>
      <c r="L477" t="s">
        <v>26</v>
      </c>
      <c r="M477" s="7">
        <v>45808</v>
      </c>
      <c r="N477" s="7">
        <v>45811</v>
      </c>
      <c r="O477" s="8">
        <v>3</v>
      </c>
      <c r="P477" t="str">
        <f t="shared" si="7"/>
        <v>On Delivery</v>
      </c>
    </row>
    <row r="478" spans="1:16" x14ac:dyDescent="0.3">
      <c r="A478" t="s">
        <v>132</v>
      </c>
      <c r="B478" s="6" t="s">
        <v>239</v>
      </c>
      <c r="C478" t="s">
        <v>23</v>
      </c>
      <c r="D478" t="s">
        <v>24</v>
      </c>
      <c r="E478" t="s">
        <v>40</v>
      </c>
      <c r="F478">
        <v>12</v>
      </c>
      <c r="G478">
        <v>64128</v>
      </c>
      <c r="H478">
        <v>0</v>
      </c>
      <c r="I478">
        <v>28</v>
      </c>
      <c r="J478">
        <v>985006.07999999996</v>
      </c>
      <c r="K478" t="s">
        <v>15</v>
      </c>
      <c r="L478" t="s">
        <v>26</v>
      </c>
      <c r="M478" s="7">
        <v>45672</v>
      </c>
      <c r="N478" s="7">
        <v>45682</v>
      </c>
      <c r="O478" s="8">
        <v>10</v>
      </c>
      <c r="P478" t="str">
        <f t="shared" si="7"/>
        <v>Delayed</v>
      </c>
    </row>
    <row r="479" spans="1:16" x14ac:dyDescent="0.3">
      <c r="A479" t="s">
        <v>115</v>
      </c>
      <c r="B479" s="6" t="s">
        <v>244</v>
      </c>
      <c r="C479" t="s">
        <v>70</v>
      </c>
      <c r="D479" t="s">
        <v>19</v>
      </c>
      <c r="E479" t="s">
        <v>20</v>
      </c>
      <c r="F479">
        <v>31</v>
      </c>
      <c r="G479">
        <v>24858</v>
      </c>
      <c r="H479">
        <v>5</v>
      </c>
      <c r="I479">
        <v>28</v>
      </c>
      <c r="J479">
        <v>937047.17</v>
      </c>
      <c r="K479" t="s">
        <v>37</v>
      </c>
      <c r="L479" t="s">
        <v>16</v>
      </c>
      <c r="M479" s="7">
        <v>45790</v>
      </c>
      <c r="N479" s="7">
        <v>45804</v>
      </c>
      <c r="O479" s="8">
        <v>14</v>
      </c>
      <c r="P479" t="str">
        <f t="shared" si="7"/>
        <v>Delayed</v>
      </c>
    </row>
    <row r="480" spans="1:16" x14ac:dyDescent="0.3">
      <c r="A480" t="s">
        <v>149</v>
      </c>
      <c r="B480" s="6" t="s">
        <v>239</v>
      </c>
      <c r="C480" t="s">
        <v>23</v>
      </c>
      <c r="D480" t="s">
        <v>24</v>
      </c>
      <c r="E480" t="s">
        <v>25</v>
      </c>
      <c r="F480">
        <v>27</v>
      </c>
      <c r="G480">
        <v>17170</v>
      </c>
      <c r="H480">
        <v>10</v>
      </c>
      <c r="I480">
        <v>18</v>
      </c>
      <c r="J480">
        <v>492332.58</v>
      </c>
      <c r="K480" t="s">
        <v>21</v>
      </c>
      <c r="L480" t="s">
        <v>16</v>
      </c>
      <c r="M480" s="7">
        <v>45790</v>
      </c>
      <c r="N480" s="7">
        <v>45793</v>
      </c>
      <c r="O480" s="8">
        <v>3</v>
      </c>
      <c r="P480" t="str">
        <f t="shared" si="7"/>
        <v>On Delivery</v>
      </c>
    </row>
    <row r="481" spans="1:16" x14ac:dyDescent="0.3">
      <c r="A481" t="s">
        <v>115</v>
      </c>
      <c r="B481" s="6" t="s">
        <v>245</v>
      </c>
      <c r="C481" t="s">
        <v>18</v>
      </c>
      <c r="D481" t="s">
        <v>24</v>
      </c>
      <c r="E481" t="s">
        <v>25</v>
      </c>
      <c r="F481">
        <v>26</v>
      </c>
      <c r="G481">
        <v>75060</v>
      </c>
      <c r="H481">
        <v>0</v>
      </c>
      <c r="I481">
        <v>18</v>
      </c>
      <c r="J481">
        <v>2302840.7999999998</v>
      </c>
      <c r="K481" t="s">
        <v>37</v>
      </c>
      <c r="L481" t="s">
        <v>16</v>
      </c>
      <c r="M481" s="7">
        <v>45789</v>
      </c>
      <c r="N481" s="7">
        <v>45795</v>
      </c>
      <c r="O481" s="8">
        <v>6</v>
      </c>
      <c r="P481" t="str">
        <f t="shared" si="7"/>
        <v>Delayed</v>
      </c>
    </row>
    <row r="482" spans="1:16" x14ac:dyDescent="0.3">
      <c r="A482" t="s">
        <v>163</v>
      </c>
      <c r="B482" s="6" t="s">
        <v>244</v>
      </c>
      <c r="C482" t="s">
        <v>70</v>
      </c>
      <c r="D482" t="s">
        <v>24</v>
      </c>
      <c r="E482" t="s">
        <v>76</v>
      </c>
      <c r="F482">
        <v>11</v>
      </c>
      <c r="G482">
        <v>29144</v>
      </c>
      <c r="H482">
        <v>12</v>
      </c>
      <c r="I482">
        <v>18</v>
      </c>
      <c r="J482">
        <v>332894.43</v>
      </c>
      <c r="K482" t="s">
        <v>37</v>
      </c>
      <c r="L482" t="s">
        <v>38</v>
      </c>
      <c r="M482" s="7">
        <v>45712</v>
      </c>
      <c r="N482" s="7">
        <v>45722</v>
      </c>
      <c r="O482" s="8">
        <v>10</v>
      </c>
      <c r="P482" t="str">
        <f t="shared" si="7"/>
        <v>Delayed</v>
      </c>
    </row>
    <row r="483" spans="1:16" x14ac:dyDescent="0.3">
      <c r="A483" t="s">
        <v>150</v>
      </c>
      <c r="B483" s="6" t="s">
        <v>238</v>
      </c>
      <c r="C483" t="s">
        <v>58</v>
      </c>
      <c r="D483" t="s">
        <v>13</v>
      </c>
      <c r="E483" t="s">
        <v>14</v>
      </c>
      <c r="F483">
        <v>20</v>
      </c>
      <c r="G483">
        <v>31688</v>
      </c>
      <c r="H483">
        <v>5</v>
      </c>
      <c r="I483">
        <v>18</v>
      </c>
      <c r="J483">
        <v>710444.96</v>
      </c>
      <c r="K483" t="s">
        <v>37</v>
      </c>
      <c r="L483" t="s">
        <v>26</v>
      </c>
      <c r="M483" s="7">
        <v>45738</v>
      </c>
      <c r="N483" s="7">
        <v>45741</v>
      </c>
      <c r="O483" s="8">
        <v>3</v>
      </c>
      <c r="P483" t="str">
        <f t="shared" si="7"/>
        <v>On Delivery</v>
      </c>
    </row>
    <row r="484" spans="1:16" x14ac:dyDescent="0.3">
      <c r="A484" t="s">
        <v>98</v>
      </c>
      <c r="B484" s="6" t="s">
        <v>243</v>
      </c>
      <c r="C484" t="s">
        <v>53</v>
      </c>
      <c r="D484" t="s">
        <v>19</v>
      </c>
      <c r="E484" t="s">
        <v>20</v>
      </c>
      <c r="F484">
        <v>29</v>
      </c>
      <c r="G484">
        <v>31734</v>
      </c>
      <c r="H484">
        <v>12</v>
      </c>
      <c r="I484">
        <v>28</v>
      </c>
      <c r="J484">
        <v>1036610.15</v>
      </c>
      <c r="K484" t="s">
        <v>37</v>
      </c>
      <c r="L484" t="s">
        <v>26</v>
      </c>
      <c r="M484" s="7">
        <v>45727</v>
      </c>
      <c r="N484" s="7">
        <v>45738</v>
      </c>
      <c r="O484" s="8">
        <v>11</v>
      </c>
      <c r="P484" t="str">
        <f t="shared" si="7"/>
        <v>Delayed</v>
      </c>
    </row>
    <row r="485" spans="1:16" x14ac:dyDescent="0.3">
      <c r="A485" t="s">
        <v>124</v>
      </c>
      <c r="B485" s="6" t="s">
        <v>242</v>
      </c>
      <c r="C485" t="s">
        <v>12</v>
      </c>
      <c r="D485" t="s">
        <v>24</v>
      </c>
      <c r="E485" t="s">
        <v>25</v>
      </c>
      <c r="F485">
        <v>39</v>
      </c>
      <c r="G485">
        <v>13409</v>
      </c>
      <c r="H485">
        <v>12</v>
      </c>
      <c r="I485">
        <v>28</v>
      </c>
      <c r="J485">
        <v>589052.01</v>
      </c>
      <c r="K485" t="s">
        <v>37</v>
      </c>
      <c r="L485" t="s">
        <v>33</v>
      </c>
      <c r="M485" s="7">
        <v>45815</v>
      </c>
      <c r="N485" s="7">
        <v>45819</v>
      </c>
      <c r="O485" s="8">
        <v>4</v>
      </c>
      <c r="P485" t="str">
        <f t="shared" si="7"/>
        <v>Delayed</v>
      </c>
    </row>
    <row r="486" spans="1:16" x14ac:dyDescent="0.3">
      <c r="A486" t="s">
        <v>215</v>
      </c>
      <c r="B486" s="6" t="s">
        <v>240</v>
      </c>
      <c r="C486" t="s">
        <v>28</v>
      </c>
      <c r="D486" t="s">
        <v>19</v>
      </c>
      <c r="E486" t="s">
        <v>20</v>
      </c>
      <c r="F486">
        <v>9</v>
      </c>
      <c r="G486">
        <v>34144</v>
      </c>
      <c r="H486">
        <v>5</v>
      </c>
      <c r="I486">
        <v>12</v>
      </c>
      <c r="J486">
        <v>326962.94</v>
      </c>
      <c r="K486" t="s">
        <v>15</v>
      </c>
      <c r="L486" t="s">
        <v>26</v>
      </c>
      <c r="M486" s="7">
        <v>45809</v>
      </c>
      <c r="N486" s="7">
        <v>45823</v>
      </c>
      <c r="O486" s="8">
        <v>14</v>
      </c>
      <c r="P486" t="str">
        <f t="shared" si="7"/>
        <v>Delayed</v>
      </c>
    </row>
    <row r="487" spans="1:16" x14ac:dyDescent="0.3">
      <c r="A487" t="s">
        <v>54</v>
      </c>
      <c r="B487" s="6" t="s">
        <v>244</v>
      </c>
      <c r="C487" t="s">
        <v>70</v>
      </c>
      <c r="D487" t="s">
        <v>24</v>
      </c>
      <c r="E487" t="s">
        <v>25</v>
      </c>
      <c r="F487">
        <v>26</v>
      </c>
      <c r="G487">
        <v>80648</v>
      </c>
      <c r="H487">
        <v>5</v>
      </c>
      <c r="I487">
        <v>28</v>
      </c>
      <c r="J487">
        <v>2549767.17</v>
      </c>
      <c r="K487" t="s">
        <v>21</v>
      </c>
      <c r="L487" t="s">
        <v>33</v>
      </c>
      <c r="M487" s="7">
        <v>45742</v>
      </c>
      <c r="N487" s="7">
        <v>45755</v>
      </c>
      <c r="O487" s="8">
        <v>13</v>
      </c>
      <c r="P487" t="str">
        <f t="shared" si="7"/>
        <v>Delayed</v>
      </c>
    </row>
    <row r="488" spans="1:16" x14ac:dyDescent="0.3">
      <c r="A488" t="s">
        <v>117</v>
      </c>
      <c r="B488" s="6" t="s">
        <v>246</v>
      </c>
      <c r="C488" t="s">
        <v>80</v>
      </c>
      <c r="D488" t="s">
        <v>48</v>
      </c>
      <c r="E488" t="s">
        <v>59</v>
      </c>
      <c r="F488">
        <v>36</v>
      </c>
      <c r="G488">
        <v>80900</v>
      </c>
      <c r="H488">
        <v>10</v>
      </c>
      <c r="I488">
        <v>28</v>
      </c>
      <c r="J488">
        <v>3355084.7999999998</v>
      </c>
      <c r="K488" t="s">
        <v>46</v>
      </c>
      <c r="L488" t="s">
        <v>33</v>
      </c>
      <c r="M488" s="7">
        <v>45778</v>
      </c>
      <c r="N488" s="7">
        <v>45780</v>
      </c>
      <c r="O488" s="8">
        <v>2</v>
      </c>
      <c r="P488" t="str">
        <f t="shared" si="7"/>
        <v>On Delivery</v>
      </c>
    </row>
    <row r="489" spans="1:16" x14ac:dyDescent="0.3">
      <c r="A489" t="s">
        <v>152</v>
      </c>
      <c r="B489" s="6" t="s">
        <v>245</v>
      </c>
      <c r="C489" t="s">
        <v>18</v>
      </c>
      <c r="D489" t="s">
        <v>48</v>
      </c>
      <c r="E489" t="s">
        <v>59</v>
      </c>
      <c r="F489">
        <v>29</v>
      </c>
      <c r="G489">
        <v>46028</v>
      </c>
      <c r="H489">
        <v>5</v>
      </c>
      <c r="I489">
        <v>12</v>
      </c>
      <c r="J489">
        <v>1420239.97</v>
      </c>
      <c r="K489" t="s">
        <v>37</v>
      </c>
      <c r="L489" t="s">
        <v>16</v>
      </c>
      <c r="M489" s="7">
        <v>45771</v>
      </c>
      <c r="N489" s="7">
        <v>45785</v>
      </c>
      <c r="O489" s="8">
        <v>14</v>
      </c>
      <c r="P489" t="str">
        <f t="shared" si="7"/>
        <v>Delayed</v>
      </c>
    </row>
    <row r="490" spans="1:16" x14ac:dyDescent="0.3">
      <c r="A490" t="s">
        <v>163</v>
      </c>
      <c r="B490" s="6" t="s">
        <v>246</v>
      </c>
      <c r="C490" t="s">
        <v>80</v>
      </c>
      <c r="D490" t="s">
        <v>35</v>
      </c>
      <c r="E490" t="s">
        <v>36</v>
      </c>
      <c r="F490">
        <v>7</v>
      </c>
      <c r="G490">
        <v>71399</v>
      </c>
      <c r="H490">
        <v>12</v>
      </c>
      <c r="I490">
        <v>28</v>
      </c>
      <c r="J490">
        <v>562966.84</v>
      </c>
      <c r="K490" t="s">
        <v>46</v>
      </c>
      <c r="L490" t="s">
        <v>16</v>
      </c>
      <c r="M490" s="7">
        <v>45711</v>
      </c>
      <c r="N490" s="7">
        <v>45713</v>
      </c>
      <c r="O490" s="8">
        <v>2</v>
      </c>
      <c r="P490" t="str">
        <f t="shared" si="7"/>
        <v>On Delivery</v>
      </c>
    </row>
    <row r="491" spans="1:16" x14ac:dyDescent="0.3">
      <c r="A491" t="s">
        <v>188</v>
      </c>
      <c r="B491" s="6" t="s">
        <v>244</v>
      </c>
      <c r="C491" t="s">
        <v>70</v>
      </c>
      <c r="D491" t="s">
        <v>48</v>
      </c>
      <c r="E491" t="s">
        <v>59</v>
      </c>
      <c r="F491">
        <v>6</v>
      </c>
      <c r="G491">
        <v>69458</v>
      </c>
      <c r="H491">
        <v>12</v>
      </c>
      <c r="I491">
        <v>28</v>
      </c>
      <c r="J491">
        <v>469424.95</v>
      </c>
      <c r="K491" t="s">
        <v>21</v>
      </c>
      <c r="L491" t="s">
        <v>38</v>
      </c>
      <c r="M491" s="7">
        <v>45827</v>
      </c>
      <c r="N491" s="7">
        <v>45842</v>
      </c>
      <c r="O491" s="8">
        <v>15</v>
      </c>
      <c r="P491" t="str">
        <f t="shared" si="7"/>
        <v>Delayed</v>
      </c>
    </row>
    <row r="492" spans="1:16" x14ac:dyDescent="0.3">
      <c r="A492" t="s">
        <v>78</v>
      </c>
      <c r="B492" s="6" t="s">
        <v>238</v>
      </c>
      <c r="C492" t="s">
        <v>58</v>
      </c>
      <c r="D492" t="s">
        <v>48</v>
      </c>
      <c r="E492" t="s">
        <v>59</v>
      </c>
      <c r="F492">
        <v>8</v>
      </c>
      <c r="G492">
        <v>5125</v>
      </c>
      <c r="H492">
        <v>12</v>
      </c>
      <c r="I492">
        <v>28</v>
      </c>
      <c r="J492">
        <v>46182.400000000001</v>
      </c>
      <c r="K492" t="s">
        <v>46</v>
      </c>
      <c r="L492" t="s">
        <v>33</v>
      </c>
      <c r="M492" s="7">
        <v>45833</v>
      </c>
      <c r="N492" s="7">
        <v>45847</v>
      </c>
      <c r="O492" s="8">
        <v>14</v>
      </c>
      <c r="P492" t="str">
        <f t="shared" si="7"/>
        <v>Delayed</v>
      </c>
    </row>
    <row r="493" spans="1:16" x14ac:dyDescent="0.3">
      <c r="A493" t="s">
        <v>27</v>
      </c>
      <c r="B493" s="6" t="s">
        <v>242</v>
      </c>
      <c r="C493" t="s">
        <v>12</v>
      </c>
      <c r="D493" t="s">
        <v>44</v>
      </c>
      <c r="E493" t="s">
        <v>45</v>
      </c>
      <c r="F493">
        <v>3</v>
      </c>
      <c r="G493">
        <v>62142</v>
      </c>
      <c r="H493">
        <v>0</v>
      </c>
      <c r="I493">
        <v>28</v>
      </c>
      <c r="J493">
        <v>238625.28</v>
      </c>
      <c r="K493" t="s">
        <v>46</v>
      </c>
      <c r="L493" t="s">
        <v>38</v>
      </c>
      <c r="M493" s="7">
        <v>45806</v>
      </c>
      <c r="N493" s="7">
        <v>45817</v>
      </c>
      <c r="O493" s="8">
        <v>11</v>
      </c>
      <c r="P493" t="str">
        <f t="shared" si="7"/>
        <v>Delayed</v>
      </c>
    </row>
    <row r="494" spans="1:16" x14ac:dyDescent="0.3">
      <c r="A494" t="s">
        <v>120</v>
      </c>
      <c r="B494" s="6" t="s">
        <v>238</v>
      </c>
      <c r="C494" t="s">
        <v>58</v>
      </c>
      <c r="D494" t="s">
        <v>48</v>
      </c>
      <c r="E494" t="s">
        <v>49</v>
      </c>
      <c r="F494">
        <v>25</v>
      </c>
      <c r="G494">
        <v>21550</v>
      </c>
      <c r="H494">
        <v>12</v>
      </c>
      <c r="I494">
        <v>28</v>
      </c>
      <c r="J494">
        <v>606848</v>
      </c>
      <c r="K494" t="s">
        <v>37</v>
      </c>
      <c r="L494" t="s">
        <v>16</v>
      </c>
      <c r="M494" s="7">
        <v>45698</v>
      </c>
      <c r="N494" s="7">
        <v>45699</v>
      </c>
      <c r="O494" s="8">
        <v>1</v>
      </c>
      <c r="P494" t="str">
        <f t="shared" si="7"/>
        <v>On Delivery</v>
      </c>
    </row>
    <row r="495" spans="1:16" x14ac:dyDescent="0.3">
      <c r="A495" t="s">
        <v>179</v>
      </c>
      <c r="B495" s="6" t="s">
        <v>243</v>
      </c>
      <c r="C495" t="s">
        <v>53</v>
      </c>
      <c r="D495" t="s">
        <v>35</v>
      </c>
      <c r="E495" t="s">
        <v>36</v>
      </c>
      <c r="F495">
        <v>16</v>
      </c>
      <c r="G495">
        <v>70068</v>
      </c>
      <c r="H495">
        <v>12</v>
      </c>
      <c r="I495">
        <v>18</v>
      </c>
      <c r="J495">
        <v>1164137.78</v>
      </c>
      <c r="K495" t="s">
        <v>37</v>
      </c>
      <c r="L495" t="s">
        <v>16</v>
      </c>
      <c r="M495" s="7">
        <v>45841</v>
      </c>
      <c r="N495" s="7">
        <v>45846</v>
      </c>
      <c r="O495" s="8">
        <v>5</v>
      </c>
      <c r="P495" t="str">
        <f t="shared" si="7"/>
        <v>Delayed</v>
      </c>
    </row>
    <row r="496" spans="1:16" x14ac:dyDescent="0.3">
      <c r="A496" t="s">
        <v>108</v>
      </c>
      <c r="B496" s="6" t="s">
        <v>245</v>
      </c>
      <c r="C496" t="s">
        <v>18</v>
      </c>
      <c r="D496" t="s">
        <v>44</v>
      </c>
      <c r="E496" t="s">
        <v>45</v>
      </c>
      <c r="F496">
        <v>32</v>
      </c>
      <c r="G496">
        <v>31990</v>
      </c>
      <c r="H496">
        <v>12</v>
      </c>
      <c r="I496">
        <v>18</v>
      </c>
      <c r="J496">
        <v>1062989.31</v>
      </c>
      <c r="K496" t="s">
        <v>15</v>
      </c>
      <c r="L496" t="s">
        <v>33</v>
      </c>
      <c r="M496" s="7">
        <v>45751</v>
      </c>
      <c r="N496" s="7">
        <v>45753</v>
      </c>
      <c r="O496" s="8">
        <v>2</v>
      </c>
      <c r="P496" t="str">
        <f t="shared" si="7"/>
        <v>On Delivery</v>
      </c>
    </row>
    <row r="497" spans="1:16" x14ac:dyDescent="0.3">
      <c r="A497" t="s">
        <v>181</v>
      </c>
      <c r="B497" s="6" t="s">
        <v>240</v>
      </c>
      <c r="C497" t="s">
        <v>28</v>
      </c>
      <c r="D497" t="s">
        <v>24</v>
      </c>
      <c r="E497" t="s">
        <v>76</v>
      </c>
      <c r="F497">
        <v>19</v>
      </c>
      <c r="G497">
        <v>74708</v>
      </c>
      <c r="H497">
        <v>0</v>
      </c>
      <c r="I497">
        <v>28</v>
      </c>
      <c r="J497">
        <v>1816898.5600000001</v>
      </c>
      <c r="K497" t="s">
        <v>46</v>
      </c>
      <c r="L497" t="s">
        <v>33</v>
      </c>
      <c r="M497" s="7">
        <v>45669</v>
      </c>
      <c r="N497" s="7">
        <v>45676</v>
      </c>
      <c r="O497" s="8">
        <v>7</v>
      </c>
      <c r="P497" t="str">
        <f t="shared" si="7"/>
        <v>Delayed</v>
      </c>
    </row>
    <row r="498" spans="1:16" x14ac:dyDescent="0.3">
      <c r="A498" t="s">
        <v>180</v>
      </c>
      <c r="B498" s="6" t="s">
        <v>244</v>
      </c>
      <c r="C498" t="s">
        <v>70</v>
      </c>
      <c r="D498" t="s">
        <v>35</v>
      </c>
      <c r="E498" t="s">
        <v>56</v>
      </c>
      <c r="F498">
        <v>27</v>
      </c>
      <c r="G498">
        <v>41681</v>
      </c>
      <c r="H498">
        <v>10</v>
      </c>
      <c r="I498">
        <v>12</v>
      </c>
      <c r="J498">
        <v>1134390.1000000001</v>
      </c>
      <c r="K498" t="s">
        <v>46</v>
      </c>
      <c r="L498" t="s">
        <v>16</v>
      </c>
      <c r="M498" s="7">
        <v>45726</v>
      </c>
      <c r="N498" s="7">
        <v>45729</v>
      </c>
      <c r="O498" s="8">
        <v>3</v>
      </c>
      <c r="P498" t="str">
        <f t="shared" si="7"/>
        <v>On Delivery</v>
      </c>
    </row>
    <row r="499" spans="1:16" x14ac:dyDescent="0.3">
      <c r="A499" t="s">
        <v>211</v>
      </c>
      <c r="B499" s="6" t="s">
        <v>242</v>
      </c>
      <c r="C499" t="s">
        <v>12</v>
      </c>
      <c r="D499" t="s">
        <v>48</v>
      </c>
      <c r="E499" t="s">
        <v>59</v>
      </c>
      <c r="F499">
        <v>27</v>
      </c>
      <c r="G499">
        <v>19770</v>
      </c>
      <c r="H499">
        <v>10</v>
      </c>
      <c r="I499">
        <v>18</v>
      </c>
      <c r="J499">
        <v>566884.98</v>
      </c>
      <c r="K499" t="s">
        <v>21</v>
      </c>
      <c r="L499" t="s">
        <v>26</v>
      </c>
      <c r="M499" s="7">
        <v>45764</v>
      </c>
      <c r="N499" s="7">
        <v>45769</v>
      </c>
      <c r="O499" s="8">
        <v>5</v>
      </c>
      <c r="P499" t="str">
        <f t="shared" si="7"/>
        <v>Delayed</v>
      </c>
    </row>
    <row r="500" spans="1:16" x14ac:dyDescent="0.3">
      <c r="A500" t="s">
        <v>117</v>
      </c>
      <c r="B500" s="6" t="s">
        <v>242</v>
      </c>
      <c r="C500" t="s">
        <v>12</v>
      </c>
      <c r="D500" t="s">
        <v>35</v>
      </c>
      <c r="E500" t="s">
        <v>56</v>
      </c>
      <c r="F500">
        <v>24</v>
      </c>
      <c r="G500">
        <v>16122</v>
      </c>
      <c r="H500">
        <v>10</v>
      </c>
      <c r="I500">
        <v>12</v>
      </c>
      <c r="J500">
        <v>390023.42</v>
      </c>
      <c r="K500" t="s">
        <v>21</v>
      </c>
      <c r="L500" t="s">
        <v>38</v>
      </c>
      <c r="M500" s="7">
        <v>45776</v>
      </c>
      <c r="N500" s="7">
        <v>45780</v>
      </c>
      <c r="O500" s="8">
        <v>4</v>
      </c>
      <c r="P500" t="str">
        <f t="shared" si="7"/>
        <v>Delayed</v>
      </c>
    </row>
    <row r="501" spans="1:16" x14ac:dyDescent="0.3">
      <c r="A501" t="s">
        <v>199</v>
      </c>
      <c r="B501" s="6" t="s">
        <v>246</v>
      </c>
      <c r="C501" t="s">
        <v>80</v>
      </c>
      <c r="D501" t="s">
        <v>48</v>
      </c>
      <c r="E501" t="s">
        <v>49</v>
      </c>
      <c r="F501">
        <v>36</v>
      </c>
      <c r="G501">
        <v>47172</v>
      </c>
      <c r="H501">
        <v>0</v>
      </c>
      <c r="I501">
        <v>18</v>
      </c>
      <c r="J501">
        <v>2003866.56</v>
      </c>
      <c r="K501" t="s">
        <v>15</v>
      </c>
      <c r="L501" t="s">
        <v>26</v>
      </c>
      <c r="M501" s="7">
        <v>45832</v>
      </c>
      <c r="N501" s="7">
        <v>45840</v>
      </c>
      <c r="O501" s="8">
        <v>8</v>
      </c>
      <c r="P501" t="str">
        <f t="shared" si="7"/>
        <v>Delayed</v>
      </c>
    </row>
    <row r="502" spans="1:16" x14ac:dyDescent="0.3">
      <c r="A502" t="s">
        <v>84</v>
      </c>
      <c r="B502" s="6" t="s">
        <v>244</v>
      </c>
      <c r="C502" t="s">
        <v>70</v>
      </c>
      <c r="D502" t="s">
        <v>62</v>
      </c>
      <c r="E502" t="s">
        <v>92</v>
      </c>
      <c r="F502">
        <v>33</v>
      </c>
      <c r="G502">
        <v>54034</v>
      </c>
      <c r="H502">
        <v>5</v>
      </c>
      <c r="I502">
        <v>18</v>
      </c>
      <c r="J502">
        <v>1998879.76</v>
      </c>
      <c r="K502" t="s">
        <v>21</v>
      </c>
      <c r="L502" t="s">
        <v>16</v>
      </c>
      <c r="M502" s="7">
        <v>45778</v>
      </c>
      <c r="N502" s="7">
        <v>45781</v>
      </c>
      <c r="O502" s="8">
        <v>3</v>
      </c>
      <c r="P502" t="str">
        <f t="shared" si="7"/>
        <v>On Delivery</v>
      </c>
    </row>
    <row r="503" spans="1:16" x14ac:dyDescent="0.3">
      <c r="A503" t="s">
        <v>168</v>
      </c>
      <c r="B503" s="6" t="s">
        <v>241</v>
      </c>
      <c r="C503" t="s">
        <v>42</v>
      </c>
      <c r="D503" t="s">
        <v>35</v>
      </c>
      <c r="E503" t="s">
        <v>77</v>
      </c>
      <c r="F503">
        <v>15</v>
      </c>
      <c r="G503">
        <v>62836</v>
      </c>
      <c r="H503">
        <v>12</v>
      </c>
      <c r="I503">
        <v>28</v>
      </c>
      <c r="J503">
        <v>1061677.06</v>
      </c>
      <c r="K503" t="s">
        <v>21</v>
      </c>
      <c r="L503" t="s">
        <v>26</v>
      </c>
      <c r="M503" s="7">
        <v>45766</v>
      </c>
      <c r="N503" s="7">
        <v>45777</v>
      </c>
      <c r="O503" s="8">
        <v>11</v>
      </c>
      <c r="P503" t="str">
        <f t="shared" si="7"/>
        <v>Delayed</v>
      </c>
    </row>
    <row r="504" spans="1:16" x14ac:dyDescent="0.3">
      <c r="A504" t="s">
        <v>71</v>
      </c>
      <c r="B504" s="6" t="s">
        <v>238</v>
      </c>
      <c r="C504" t="s">
        <v>58</v>
      </c>
      <c r="D504" t="s">
        <v>24</v>
      </c>
      <c r="E504" t="s">
        <v>25</v>
      </c>
      <c r="F504">
        <v>24</v>
      </c>
      <c r="G504">
        <v>14441</v>
      </c>
      <c r="H504">
        <v>5</v>
      </c>
      <c r="I504">
        <v>12</v>
      </c>
      <c r="J504">
        <v>368765.38</v>
      </c>
      <c r="K504" t="s">
        <v>21</v>
      </c>
      <c r="L504" t="s">
        <v>38</v>
      </c>
      <c r="M504" s="7">
        <v>45728</v>
      </c>
      <c r="N504" s="7">
        <v>45741</v>
      </c>
      <c r="O504" s="8">
        <v>13</v>
      </c>
      <c r="P504" t="str">
        <f t="shared" si="7"/>
        <v>Delayed</v>
      </c>
    </row>
    <row r="505" spans="1:16" x14ac:dyDescent="0.3">
      <c r="A505" t="s">
        <v>82</v>
      </c>
      <c r="B505" s="6" t="s">
        <v>244</v>
      </c>
      <c r="C505" t="s">
        <v>70</v>
      </c>
      <c r="D505" t="s">
        <v>29</v>
      </c>
      <c r="E505" t="s">
        <v>30</v>
      </c>
      <c r="F505">
        <v>35</v>
      </c>
      <c r="G505">
        <v>60365</v>
      </c>
      <c r="H505">
        <v>12</v>
      </c>
      <c r="I505">
        <v>28</v>
      </c>
      <c r="J505">
        <v>2379829.7599999998</v>
      </c>
      <c r="K505" t="s">
        <v>46</v>
      </c>
      <c r="L505" t="s">
        <v>38</v>
      </c>
      <c r="M505" s="7">
        <v>45841</v>
      </c>
      <c r="N505" s="7">
        <v>45849</v>
      </c>
      <c r="O505" s="8">
        <v>8</v>
      </c>
      <c r="P505" t="str">
        <f t="shared" si="7"/>
        <v>Delayed</v>
      </c>
    </row>
    <row r="506" spans="1:16" x14ac:dyDescent="0.3">
      <c r="A506" t="s">
        <v>66</v>
      </c>
      <c r="B506" s="6" t="s">
        <v>244</v>
      </c>
      <c r="C506" t="s">
        <v>70</v>
      </c>
      <c r="D506" t="s">
        <v>35</v>
      </c>
      <c r="E506" t="s">
        <v>56</v>
      </c>
      <c r="F506">
        <v>15</v>
      </c>
      <c r="G506">
        <v>38629</v>
      </c>
      <c r="H506">
        <v>10</v>
      </c>
      <c r="I506">
        <v>12</v>
      </c>
      <c r="J506">
        <v>584070.48</v>
      </c>
      <c r="K506" t="s">
        <v>15</v>
      </c>
      <c r="L506" t="s">
        <v>26</v>
      </c>
      <c r="M506" s="7">
        <v>45696</v>
      </c>
      <c r="N506" s="7">
        <v>45709</v>
      </c>
      <c r="O506" s="8">
        <v>13</v>
      </c>
      <c r="P506" t="str">
        <f t="shared" si="7"/>
        <v>Delayed</v>
      </c>
    </row>
    <row r="507" spans="1:16" x14ac:dyDescent="0.3">
      <c r="A507" t="s">
        <v>161</v>
      </c>
      <c r="B507" s="6" t="s">
        <v>244</v>
      </c>
      <c r="C507" t="s">
        <v>70</v>
      </c>
      <c r="D507" t="s">
        <v>35</v>
      </c>
      <c r="E507" t="s">
        <v>56</v>
      </c>
      <c r="F507">
        <v>40</v>
      </c>
      <c r="G507">
        <v>79708</v>
      </c>
      <c r="H507">
        <v>10</v>
      </c>
      <c r="I507">
        <v>28</v>
      </c>
      <c r="J507">
        <v>3672944.6400000001</v>
      </c>
      <c r="K507" t="s">
        <v>15</v>
      </c>
      <c r="L507" t="s">
        <v>33</v>
      </c>
      <c r="M507" s="7">
        <v>45722</v>
      </c>
      <c r="N507" s="7">
        <v>45729</v>
      </c>
      <c r="O507" s="8">
        <v>7</v>
      </c>
      <c r="P507" t="str">
        <f t="shared" si="7"/>
        <v>Delayed</v>
      </c>
    </row>
    <row r="508" spans="1:16" x14ac:dyDescent="0.3">
      <c r="A508" t="s">
        <v>154</v>
      </c>
      <c r="B508" s="6" t="s">
        <v>241</v>
      </c>
      <c r="C508" t="s">
        <v>42</v>
      </c>
      <c r="D508" t="s">
        <v>24</v>
      </c>
      <c r="E508" t="s">
        <v>25</v>
      </c>
      <c r="F508">
        <v>27</v>
      </c>
      <c r="G508">
        <v>66813</v>
      </c>
      <c r="H508">
        <v>5</v>
      </c>
      <c r="I508">
        <v>12</v>
      </c>
      <c r="J508">
        <v>1919403.86</v>
      </c>
      <c r="K508" t="s">
        <v>46</v>
      </c>
      <c r="L508" t="s">
        <v>26</v>
      </c>
      <c r="M508" s="7">
        <v>45832</v>
      </c>
      <c r="N508" s="7">
        <v>45845</v>
      </c>
      <c r="O508" s="8">
        <v>13</v>
      </c>
      <c r="P508" t="str">
        <f t="shared" si="7"/>
        <v>Delayed</v>
      </c>
    </row>
    <row r="509" spans="1:16" x14ac:dyDescent="0.3">
      <c r="A509" t="s">
        <v>118</v>
      </c>
      <c r="B509" s="6" t="s">
        <v>245</v>
      </c>
      <c r="C509" t="s">
        <v>18</v>
      </c>
      <c r="D509" t="s">
        <v>35</v>
      </c>
      <c r="E509" t="s">
        <v>77</v>
      </c>
      <c r="F509">
        <v>20</v>
      </c>
      <c r="G509">
        <v>14300</v>
      </c>
      <c r="H509">
        <v>5</v>
      </c>
      <c r="I509">
        <v>28</v>
      </c>
      <c r="J509">
        <v>347776</v>
      </c>
      <c r="K509" t="s">
        <v>37</v>
      </c>
      <c r="L509" t="s">
        <v>38</v>
      </c>
      <c r="M509" s="7">
        <v>45707</v>
      </c>
      <c r="N509" s="7">
        <v>45708</v>
      </c>
      <c r="O509" s="8">
        <v>1</v>
      </c>
      <c r="P509" t="str">
        <f t="shared" si="7"/>
        <v>On Delivery</v>
      </c>
    </row>
    <row r="510" spans="1:16" x14ac:dyDescent="0.3">
      <c r="A510" t="s">
        <v>179</v>
      </c>
      <c r="B510" s="6" t="s">
        <v>240</v>
      </c>
      <c r="C510" t="s">
        <v>28</v>
      </c>
      <c r="D510" t="s">
        <v>62</v>
      </c>
      <c r="E510" t="s">
        <v>92</v>
      </c>
      <c r="F510">
        <v>18</v>
      </c>
      <c r="G510">
        <v>69641</v>
      </c>
      <c r="H510">
        <v>0</v>
      </c>
      <c r="I510">
        <v>12</v>
      </c>
      <c r="J510">
        <v>1403962.56</v>
      </c>
      <c r="K510" t="s">
        <v>21</v>
      </c>
      <c r="L510" t="s">
        <v>33</v>
      </c>
      <c r="M510" s="7">
        <v>45839</v>
      </c>
      <c r="N510" s="7">
        <v>45853</v>
      </c>
      <c r="O510" s="8">
        <v>14</v>
      </c>
      <c r="P510" t="str">
        <f t="shared" si="7"/>
        <v>Delayed</v>
      </c>
    </row>
    <row r="511" spans="1:16" x14ac:dyDescent="0.3">
      <c r="A511" t="s">
        <v>207</v>
      </c>
      <c r="B511" s="6" t="s">
        <v>240</v>
      </c>
      <c r="C511" t="s">
        <v>28</v>
      </c>
      <c r="D511" t="s">
        <v>35</v>
      </c>
      <c r="E511" t="s">
        <v>77</v>
      </c>
      <c r="F511">
        <v>36</v>
      </c>
      <c r="G511">
        <v>40468</v>
      </c>
      <c r="H511">
        <v>5</v>
      </c>
      <c r="I511">
        <v>28</v>
      </c>
      <c r="J511">
        <v>1771527.17</v>
      </c>
      <c r="K511" t="s">
        <v>21</v>
      </c>
      <c r="L511" t="s">
        <v>16</v>
      </c>
      <c r="M511" s="7">
        <v>45813</v>
      </c>
      <c r="N511" s="7">
        <v>45826</v>
      </c>
      <c r="O511" s="8">
        <v>13</v>
      </c>
      <c r="P511" t="str">
        <f t="shared" si="7"/>
        <v>Delayed</v>
      </c>
    </row>
    <row r="512" spans="1:16" x14ac:dyDescent="0.3">
      <c r="A512" t="s">
        <v>34</v>
      </c>
      <c r="B512" s="6" t="s">
        <v>245</v>
      </c>
      <c r="C512" t="s">
        <v>18</v>
      </c>
      <c r="D512" t="s">
        <v>13</v>
      </c>
      <c r="E512" t="s">
        <v>14</v>
      </c>
      <c r="F512">
        <v>12</v>
      </c>
      <c r="G512">
        <v>68983</v>
      </c>
      <c r="H512">
        <v>12</v>
      </c>
      <c r="I512">
        <v>28</v>
      </c>
      <c r="J512">
        <v>932429.41</v>
      </c>
      <c r="K512" t="s">
        <v>21</v>
      </c>
      <c r="L512" t="s">
        <v>26</v>
      </c>
      <c r="M512" s="7">
        <v>45783</v>
      </c>
      <c r="N512" s="7">
        <v>45789</v>
      </c>
      <c r="O512" s="8">
        <v>6</v>
      </c>
      <c r="P512" t="str">
        <f t="shared" si="7"/>
        <v>Delayed</v>
      </c>
    </row>
    <row r="513" spans="1:16" x14ac:dyDescent="0.3">
      <c r="A513" t="s">
        <v>153</v>
      </c>
      <c r="B513" s="6" t="s">
        <v>241</v>
      </c>
      <c r="C513" t="s">
        <v>42</v>
      </c>
      <c r="D513" t="s">
        <v>35</v>
      </c>
      <c r="E513" t="s">
        <v>56</v>
      </c>
      <c r="F513">
        <v>21</v>
      </c>
      <c r="G513">
        <v>2233</v>
      </c>
      <c r="H513">
        <v>0</v>
      </c>
      <c r="I513">
        <v>12</v>
      </c>
      <c r="J513">
        <v>52520.160000000003</v>
      </c>
      <c r="K513" t="s">
        <v>21</v>
      </c>
      <c r="L513" t="s">
        <v>38</v>
      </c>
      <c r="M513" s="7">
        <v>45834</v>
      </c>
      <c r="N513" s="7">
        <v>45839</v>
      </c>
      <c r="O513" s="8">
        <v>5</v>
      </c>
      <c r="P513" t="str">
        <f t="shared" si="7"/>
        <v>Delayed</v>
      </c>
    </row>
    <row r="514" spans="1:16" x14ac:dyDescent="0.3">
      <c r="A514" t="s">
        <v>78</v>
      </c>
      <c r="B514" s="6" t="s">
        <v>239</v>
      </c>
      <c r="C514" t="s">
        <v>23</v>
      </c>
      <c r="D514" t="s">
        <v>44</v>
      </c>
      <c r="E514" t="s">
        <v>45</v>
      </c>
      <c r="F514">
        <v>2</v>
      </c>
      <c r="G514">
        <v>69436</v>
      </c>
      <c r="H514">
        <v>5</v>
      </c>
      <c r="I514">
        <v>28</v>
      </c>
      <c r="J514">
        <v>168868.35</v>
      </c>
      <c r="K514" t="s">
        <v>21</v>
      </c>
      <c r="L514" t="s">
        <v>38</v>
      </c>
      <c r="M514" s="7">
        <v>45838</v>
      </c>
      <c r="N514" s="7">
        <v>45847</v>
      </c>
      <c r="O514" s="8">
        <v>9</v>
      </c>
      <c r="P514" t="str">
        <f t="shared" ref="P514:P577" si="8">IF(O514="","Pending",IF(O514=0,"Delivered",IF(O514&lt;=3,"On Delivery","Delayed")))</f>
        <v>Delayed</v>
      </c>
    </row>
    <row r="515" spans="1:16" x14ac:dyDescent="0.3">
      <c r="A515" t="s">
        <v>91</v>
      </c>
      <c r="B515" s="6" t="s">
        <v>238</v>
      </c>
      <c r="C515" t="s">
        <v>58</v>
      </c>
      <c r="D515" t="s">
        <v>44</v>
      </c>
      <c r="E515" t="s">
        <v>45</v>
      </c>
      <c r="F515">
        <v>21</v>
      </c>
      <c r="G515">
        <v>22821</v>
      </c>
      <c r="H515">
        <v>0</v>
      </c>
      <c r="I515">
        <v>12</v>
      </c>
      <c r="J515">
        <v>536749.92000000004</v>
      </c>
      <c r="K515" t="s">
        <v>15</v>
      </c>
      <c r="L515" t="s">
        <v>16</v>
      </c>
      <c r="M515" s="7">
        <v>45728</v>
      </c>
      <c r="N515" s="7">
        <v>45737</v>
      </c>
      <c r="O515" s="8">
        <v>9</v>
      </c>
      <c r="P515" t="str">
        <f t="shared" si="8"/>
        <v>Delayed</v>
      </c>
    </row>
    <row r="516" spans="1:16" x14ac:dyDescent="0.3">
      <c r="A516" t="s">
        <v>216</v>
      </c>
      <c r="B516" s="6" t="s">
        <v>241</v>
      </c>
      <c r="C516" t="s">
        <v>42</v>
      </c>
      <c r="D516" t="s">
        <v>44</v>
      </c>
      <c r="E516" t="s">
        <v>45</v>
      </c>
      <c r="F516">
        <v>11</v>
      </c>
      <c r="G516">
        <v>9036</v>
      </c>
      <c r="H516">
        <v>12</v>
      </c>
      <c r="I516">
        <v>18</v>
      </c>
      <c r="J516">
        <v>103212.81</v>
      </c>
      <c r="K516" t="s">
        <v>21</v>
      </c>
      <c r="L516" t="s">
        <v>16</v>
      </c>
      <c r="M516" s="7">
        <v>45825</v>
      </c>
      <c r="N516" s="7">
        <v>45832</v>
      </c>
      <c r="O516" s="8">
        <v>7</v>
      </c>
      <c r="P516" t="str">
        <f t="shared" si="8"/>
        <v>Delayed</v>
      </c>
    </row>
    <row r="517" spans="1:16" x14ac:dyDescent="0.3">
      <c r="A517" t="s">
        <v>82</v>
      </c>
      <c r="B517" s="6" t="s">
        <v>246</v>
      </c>
      <c r="C517" t="s">
        <v>80</v>
      </c>
      <c r="D517" t="s">
        <v>62</v>
      </c>
      <c r="E517" t="s">
        <v>92</v>
      </c>
      <c r="F517">
        <v>5</v>
      </c>
      <c r="G517">
        <v>18941</v>
      </c>
      <c r="H517">
        <v>5</v>
      </c>
      <c r="I517">
        <v>28</v>
      </c>
      <c r="J517">
        <v>115161.28</v>
      </c>
      <c r="K517" t="s">
        <v>15</v>
      </c>
      <c r="L517" t="s">
        <v>38</v>
      </c>
      <c r="M517" s="7">
        <v>45840</v>
      </c>
      <c r="N517" s="7">
        <v>45846</v>
      </c>
      <c r="O517" s="8">
        <v>6</v>
      </c>
      <c r="P517" t="str">
        <f t="shared" si="8"/>
        <v>Delayed</v>
      </c>
    </row>
    <row r="518" spans="1:16" x14ac:dyDescent="0.3">
      <c r="A518" t="s">
        <v>207</v>
      </c>
      <c r="B518" s="6" t="s">
        <v>245</v>
      </c>
      <c r="C518" t="s">
        <v>18</v>
      </c>
      <c r="D518" t="s">
        <v>35</v>
      </c>
      <c r="E518" t="s">
        <v>36</v>
      </c>
      <c r="F518">
        <v>11</v>
      </c>
      <c r="G518">
        <v>84125</v>
      </c>
      <c r="H518">
        <v>12</v>
      </c>
      <c r="I518">
        <v>28</v>
      </c>
      <c r="J518">
        <v>1042342.4</v>
      </c>
      <c r="K518" t="s">
        <v>37</v>
      </c>
      <c r="L518" t="s">
        <v>38</v>
      </c>
      <c r="M518" s="7">
        <v>45814</v>
      </c>
      <c r="N518" s="7">
        <v>45824</v>
      </c>
      <c r="O518" s="8">
        <v>10</v>
      </c>
      <c r="P518" t="str">
        <f t="shared" si="8"/>
        <v>Delayed</v>
      </c>
    </row>
    <row r="519" spans="1:16" x14ac:dyDescent="0.3">
      <c r="A519" t="s">
        <v>164</v>
      </c>
      <c r="B519" s="6" t="s">
        <v>246</v>
      </c>
      <c r="C519" t="s">
        <v>80</v>
      </c>
      <c r="D519" t="s">
        <v>24</v>
      </c>
      <c r="E519" t="s">
        <v>25</v>
      </c>
      <c r="F519">
        <v>6</v>
      </c>
      <c r="G519">
        <v>41152</v>
      </c>
      <c r="H519">
        <v>5</v>
      </c>
      <c r="I519">
        <v>18</v>
      </c>
      <c r="J519">
        <v>276788.34999999998</v>
      </c>
      <c r="K519" t="s">
        <v>15</v>
      </c>
      <c r="L519" t="s">
        <v>26</v>
      </c>
      <c r="M519" s="7">
        <v>45688</v>
      </c>
      <c r="N519" s="7">
        <v>45698</v>
      </c>
      <c r="O519" s="8">
        <v>10</v>
      </c>
      <c r="P519" t="str">
        <f t="shared" si="8"/>
        <v>Delayed</v>
      </c>
    </row>
    <row r="520" spans="1:16" x14ac:dyDescent="0.3">
      <c r="A520" t="s">
        <v>137</v>
      </c>
      <c r="B520" s="6" t="s">
        <v>246</v>
      </c>
      <c r="C520" t="s">
        <v>80</v>
      </c>
      <c r="D520" t="s">
        <v>13</v>
      </c>
      <c r="E520" t="s">
        <v>32</v>
      </c>
      <c r="F520">
        <v>27</v>
      </c>
      <c r="G520">
        <v>1708</v>
      </c>
      <c r="H520">
        <v>10</v>
      </c>
      <c r="I520">
        <v>18</v>
      </c>
      <c r="J520">
        <v>48975.19</v>
      </c>
      <c r="K520" t="s">
        <v>15</v>
      </c>
      <c r="L520" t="s">
        <v>33</v>
      </c>
      <c r="M520" s="7">
        <v>45667</v>
      </c>
      <c r="N520" s="7">
        <v>45680</v>
      </c>
      <c r="O520" s="8">
        <v>13</v>
      </c>
      <c r="P520" t="str">
        <f t="shared" si="8"/>
        <v>Delayed</v>
      </c>
    </row>
    <row r="521" spans="1:16" x14ac:dyDescent="0.3">
      <c r="A521" t="s">
        <v>109</v>
      </c>
      <c r="B521" s="6" t="s">
        <v>239</v>
      </c>
      <c r="C521" t="s">
        <v>23</v>
      </c>
      <c r="D521" t="s">
        <v>44</v>
      </c>
      <c r="E521" t="s">
        <v>45</v>
      </c>
      <c r="F521">
        <v>38</v>
      </c>
      <c r="G521">
        <v>50739</v>
      </c>
      <c r="H521">
        <v>5</v>
      </c>
      <c r="I521">
        <v>18</v>
      </c>
      <c r="J521">
        <v>2161379.92</v>
      </c>
      <c r="K521" t="s">
        <v>15</v>
      </c>
      <c r="L521" t="s">
        <v>33</v>
      </c>
      <c r="M521" s="7">
        <v>45715</v>
      </c>
      <c r="N521" s="7">
        <v>45727</v>
      </c>
      <c r="O521" s="8">
        <v>12</v>
      </c>
      <c r="P521" t="str">
        <f t="shared" si="8"/>
        <v>Delayed</v>
      </c>
    </row>
    <row r="522" spans="1:16" x14ac:dyDescent="0.3">
      <c r="A522" t="s">
        <v>216</v>
      </c>
      <c r="B522" s="6" t="s">
        <v>241</v>
      </c>
      <c r="C522" t="s">
        <v>42</v>
      </c>
      <c r="D522" t="s">
        <v>62</v>
      </c>
      <c r="E522" t="s">
        <v>92</v>
      </c>
      <c r="F522">
        <v>10</v>
      </c>
      <c r="G522">
        <v>16809</v>
      </c>
      <c r="H522">
        <v>10</v>
      </c>
      <c r="I522">
        <v>28</v>
      </c>
      <c r="J522">
        <v>193639.67999999999</v>
      </c>
      <c r="K522" t="s">
        <v>21</v>
      </c>
      <c r="L522" t="s">
        <v>16</v>
      </c>
      <c r="M522" s="7">
        <v>45825</v>
      </c>
      <c r="N522" s="7">
        <v>45836</v>
      </c>
      <c r="O522" s="8">
        <v>11</v>
      </c>
      <c r="P522" t="str">
        <f t="shared" si="8"/>
        <v>Delayed</v>
      </c>
    </row>
    <row r="523" spans="1:16" x14ac:dyDescent="0.3">
      <c r="A523" t="s">
        <v>121</v>
      </c>
      <c r="B523" s="6" t="s">
        <v>242</v>
      </c>
      <c r="C523" t="s">
        <v>12</v>
      </c>
      <c r="D523" t="s">
        <v>62</v>
      </c>
      <c r="E523" t="s">
        <v>92</v>
      </c>
      <c r="F523">
        <v>17</v>
      </c>
      <c r="G523">
        <v>45987</v>
      </c>
      <c r="H523">
        <v>5</v>
      </c>
      <c r="I523">
        <v>18</v>
      </c>
      <c r="J523">
        <v>876374.26</v>
      </c>
      <c r="K523" t="s">
        <v>46</v>
      </c>
      <c r="L523" t="s">
        <v>38</v>
      </c>
      <c r="M523" s="7">
        <v>45788</v>
      </c>
      <c r="N523" s="7">
        <v>45802</v>
      </c>
      <c r="O523" s="8">
        <v>14</v>
      </c>
      <c r="P523" t="str">
        <f t="shared" si="8"/>
        <v>Delayed</v>
      </c>
    </row>
    <row r="524" spans="1:16" x14ac:dyDescent="0.3">
      <c r="A524" t="s">
        <v>139</v>
      </c>
      <c r="B524" s="6" t="s">
        <v>246</v>
      </c>
      <c r="C524" t="s">
        <v>80</v>
      </c>
      <c r="D524" t="s">
        <v>62</v>
      </c>
      <c r="E524" t="s">
        <v>92</v>
      </c>
      <c r="F524">
        <v>30</v>
      </c>
      <c r="G524">
        <v>84766</v>
      </c>
      <c r="H524">
        <v>10</v>
      </c>
      <c r="I524">
        <v>18</v>
      </c>
      <c r="J524">
        <v>2700644.76</v>
      </c>
      <c r="K524" t="s">
        <v>46</v>
      </c>
      <c r="L524" t="s">
        <v>26</v>
      </c>
      <c r="M524" s="7">
        <v>45792</v>
      </c>
      <c r="N524" s="7">
        <v>45804</v>
      </c>
      <c r="O524" s="8">
        <v>12</v>
      </c>
      <c r="P524" t="str">
        <f t="shared" si="8"/>
        <v>Delayed</v>
      </c>
    </row>
    <row r="525" spans="1:16" x14ac:dyDescent="0.3">
      <c r="A525" t="s">
        <v>174</v>
      </c>
      <c r="B525" s="6" t="s">
        <v>244</v>
      </c>
      <c r="C525" t="s">
        <v>70</v>
      </c>
      <c r="D525" t="s">
        <v>24</v>
      </c>
      <c r="E525" t="s">
        <v>76</v>
      </c>
      <c r="F525">
        <v>1</v>
      </c>
      <c r="G525">
        <v>58973</v>
      </c>
      <c r="H525">
        <v>10</v>
      </c>
      <c r="I525">
        <v>12</v>
      </c>
      <c r="J525">
        <v>59444.78</v>
      </c>
      <c r="K525" t="s">
        <v>15</v>
      </c>
      <c r="L525" t="s">
        <v>16</v>
      </c>
      <c r="M525" s="7">
        <v>45674</v>
      </c>
      <c r="N525" s="7">
        <v>45674</v>
      </c>
      <c r="O525" s="8">
        <v>0</v>
      </c>
      <c r="P525" t="str">
        <f t="shared" si="8"/>
        <v>Delivered</v>
      </c>
    </row>
    <row r="526" spans="1:16" x14ac:dyDescent="0.3">
      <c r="A526" t="s">
        <v>196</v>
      </c>
      <c r="B526" s="6" t="s">
        <v>243</v>
      </c>
      <c r="C526" t="s">
        <v>53</v>
      </c>
      <c r="D526" t="s">
        <v>35</v>
      </c>
      <c r="E526" t="s">
        <v>56</v>
      </c>
      <c r="F526">
        <v>38</v>
      </c>
      <c r="G526">
        <v>20869</v>
      </c>
      <c r="H526">
        <v>0</v>
      </c>
      <c r="I526">
        <v>12</v>
      </c>
      <c r="J526">
        <v>888184.64</v>
      </c>
      <c r="K526" t="s">
        <v>46</v>
      </c>
      <c r="L526" t="s">
        <v>16</v>
      </c>
      <c r="M526" s="7">
        <v>45813</v>
      </c>
      <c r="N526" s="7">
        <v>45825</v>
      </c>
      <c r="O526" s="8">
        <v>12</v>
      </c>
      <c r="P526" t="str">
        <f t="shared" si="8"/>
        <v>Delayed</v>
      </c>
    </row>
    <row r="527" spans="1:16" x14ac:dyDescent="0.3">
      <c r="A527" t="s">
        <v>111</v>
      </c>
      <c r="B527" s="6" t="s">
        <v>240</v>
      </c>
      <c r="C527" t="s">
        <v>28</v>
      </c>
      <c r="D527" t="s">
        <v>29</v>
      </c>
      <c r="E527" t="s">
        <v>30</v>
      </c>
      <c r="F527">
        <v>40</v>
      </c>
      <c r="G527">
        <v>44187</v>
      </c>
      <c r="H527">
        <v>0</v>
      </c>
      <c r="I527">
        <v>12</v>
      </c>
      <c r="J527">
        <v>1979577.6</v>
      </c>
      <c r="K527" t="s">
        <v>46</v>
      </c>
      <c r="L527" t="s">
        <v>33</v>
      </c>
      <c r="M527" s="7">
        <v>45734</v>
      </c>
      <c r="N527" s="7">
        <v>45742</v>
      </c>
      <c r="O527" s="8">
        <v>8</v>
      </c>
      <c r="P527" t="str">
        <f t="shared" si="8"/>
        <v>Delayed</v>
      </c>
    </row>
    <row r="528" spans="1:16" x14ac:dyDescent="0.3">
      <c r="A528" t="s">
        <v>57</v>
      </c>
      <c r="B528" s="6" t="s">
        <v>243</v>
      </c>
      <c r="C528" t="s">
        <v>53</v>
      </c>
      <c r="D528" t="s">
        <v>62</v>
      </c>
      <c r="E528" t="s">
        <v>63</v>
      </c>
      <c r="F528">
        <v>5</v>
      </c>
      <c r="G528">
        <v>61329</v>
      </c>
      <c r="H528">
        <v>5</v>
      </c>
      <c r="I528">
        <v>28</v>
      </c>
      <c r="J528">
        <v>372880.32</v>
      </c>
      <c r="K528" t="s">
        <v>46</v>
      </c>
      <c r="L528" t="s">
        <v>33</v>
      </c>
      <c r="M528" s="7">
        <v>45803</v>
      </c>
      <c r="N528" s="7">
        <v>45803</v>
      </c>
      <c r="O528" s="8">
        <v>0</v>
      </c>
      <c r="P528" t="str">
        <f t="shared" si="8"/>
        <v>Delivered</v>
      </c>
    </row>
    <row r="529" spans="1:16" x14ac:dyDescent="0.3">
      <c r="A529" t="s">
        <v>101</v>
      </c>
      <c r="B529" s="6" t="s">
        <v>242</v>
      </c>
      <c r="C529" t="s">
        <v>12</v>
      </c>
      <c r="D529" t="s">
        <v>24</v>
      </c>
      <c r="E529" t="s">
        <v>25</v>
      </c>
      <c r="F529">
        <v>5</v>
      </c>
      <c r="G529">
        <v>80983</v>
      </c>
      <c r="H529">
        <v>0</v>
      </c>
      <c r="I529">
        <v>18</v>
      </c>
      <c r="J529">
        <v>477799.7</v>
      </c>
      <c r="K529" t="s">
        <v>15</v>
      </c>
      <c r="L529" t="s">
        <v>26</v>
      </c>
      <c r="M529" s="7">
        <v>45727</v>
      </c>
      <c r="N529" s="7">
        <v>45740</v>
      </c>
      <c r="O529" s="8">
        <v>13</v>
      </c>
      <c r="P529" t="str">
        <f t="shared" si="8"/>
        <v>Delayed</v>
      </c>
    </row>
    <row r="530" spans="1:16" x14ac:dyDescent="0.3">
      <c r="A530" t="s">
        <v>123</v>
      </c>
      <c r="B530" s="6" t="s">
        <v>238</v>
      </c>
      <c r="C530" t="s">
        <v>58</v>
      </c>
      <c r="D530" t="s">
        <v>48</v>
      </c>
      <c r="E530" t="s">
        <v>59</v>
      </c>
      <c r="F530">
        <v>6</v>
      </c>
      <c r="G530">
        <v>56947</v>
      </c>
      <c r="H530">
        <v>0</v>
      </c>
      <c r="I530">
        <v>18</v>
      </c>
      <c r="J530">
        <v>403184.76</v>
      </c>
      <c r="K530" t="s">
        <v>15</v>
      </c>
      <c r="L530" t="s">
        <v>16</v>
      </c>
      <c r="M530" s="7">
        <v>45737</v>
      </c>
      <c r="N530" s="7">
        <v>45738</v>
      </c>
      <c r="O530" s="8">
        <v>1</v>
      </c>
      <c r="P530" t="str">
        <f t="shared" si="8"/>
        <v>On Delivery</v>
      </c>
    </row>
    <row r="531" spans="1:16" x14ac:dyDescent="0.3">
      <c r="A531" t="s">
        <v>68</v>
      </c>
      <c r="B531" s="6" t="s">
        <v>239</v>
      </c>
      <c r="C531" t="s">
        <v>23</v>
      </c>
      <c r="D531" t="s">
        <v>24</v>
      </c>
      <c r="E531" t="s">
        <v>40</v>
      </c>
      <c r="F531">
        <v>31</v>
      </c>
      <c r="G531">
        <v>32675</v>
      </c>
      <c r="H531">
        <v>0</v>
      </c>
      <c r="I531">
        <v>18</v>
      </c>
      <c r="J531">
        <v>1195251.5</v>
      </c>
      <c r="K531" t="s">
        <v>15</v>
      </c>
      <c r="L531" t="s">
        <v>38</v>
      </c>
      <c r="M531" s="7">
        <v>45672</v>
      </c>
      <c r="N531" s="7">
        <v>45681</v>
      </c>
      <c r="O531" s="8">
        <v>9</v>
      </c>
      <c r="P531" t="str">
        <f t="shared" si="8"/>
        <v>Delayed</v>
      </c>
    </row>
    <row r="532" spans="1:16" x14ac:dyDescent="0.3">
      <c r="A532" t="s">
        <v>96</v>
      </c>
      <c r="B532" s="6" t="s">
        <v>243</v>
      </c>
      <c r="C532" t="s">
        <v>53</v>
      </c>
      <c r="D532" t="s">
        <v>44</v>
      </c>
      <c r="E532" t="s">
        <v>51</v>
      </c>
      <c r="F532">
        <v>21</v>
      </c>
      <c r="G532">
        <v>22090</v>
      </c>
      <c r="H532">
        <v>5</v>
      </c>
      <c r="I532">
        <v>12</v>
      </c>
      <c r="J532">
        <v>493578.96</v>
      </c>
      <c r="K532" t="s">
        <v>15</v>
      </c>
      <c r="L532" t="s">
        <v>33</v>
      </c>
      <c r="M532" s="7">
        <v>45746</v>
      </c>
      <c r="N532" s="7">
        <v>45749</v>
      </c>
      <c r="O532" s="8">
        <v>3</v>
      </c>
      <c r="P532" t="str">
        <f t="shared" si="8"/>
        <v>On Delivery</v>
      </c>
    </row>
    <row r="533" spans="1:16" x14ac:dyDescent="0.3">
      <c r="A533" t="s">
        <v>125</v>
      </c>
      <c r="B533" s="6" t="s">
        <v>246</v>
      </c>
      <c r="C533" t="s">
        <v>80</v>
      </c>
      <c r="D533" t="s">
        <v>35</v>
      </c>
      <c r="E533" t="s">
        <v>77</v>
      </c>
      <c r="F533">
        <v>12</v>
      </c>
      <c r="G533">
        <v>50562</v>
      </c>
      <c r="H533">
        <v>5</v>
      </c>
      <c r="I533">
        <v>28</v>
      </c>
      <c r="J533">
        <v>737800.7</v>
      </c>
      <c r="K533" t="s">
        <v>21</v>
      </c>
      <c r="L533" t="s">
        <v>38</v>
      </c>
      <c r="M533" s="7">
        <v>45769</v>
      </c>
      <c r="N533" s="7">
        <v>45782</v>
      </c>
      <c r="O533" s="8">
        <v>13</v>
      </c>
      <c r="P533" t="str">
        <f t="shared" si="8"/>
        <v>Delayed</v>
      </c>
    </row>
    <row r="534" spans="1:16" x14ac:dyDescent="0.3">
      <c r="A534" t="s">
        <v>173</v>
      </c>
      <c r="B534" s="6" t="s">
        <v>238</v>
      </c>
      <c r="C534" t="s">
        <v>58</v>
      </c>
      <c r="D534" t="s">
        <v>19</v>
      </c>
      <c r="E534" t="s">
        <v>20</v>
      </c>
      <c r="F534">
        <v>21</v>
      </c>
      <c r="G534">
        <v>82327</v>
      </c>
      <c r="H534">
        <v>12</v>
      </c>
      <c r="I534">
        <v>18</v>
      </c>
      <c r="J534">
        <v>1795255.49</v>
      </c>
      <c r="K534" t="s">
        <v>15</v>
      </c>
      <c r="L534" t="s">
        <v>38</v>
      </c>
      <c r="M534" s="7">
        <v>45704</v>
      </c>
      <c r="N534" s="7">
        <v>45716</v>
      </c>
      <c r="O534" s="8">
        <v>12</v>
      </c>
      <c r="P534" t="str">
        <f t="shared" si="8"/>
        <v>Delayed</v>
      </c>
    </row>
    <row r="535" spans="1:16" x14ac:dyDescent="0.3">
      <c r="A535" t="s">
        <v>160</v>
      </c>
      <c r="B535" s="6" t="s">
        <v>246</v>
      </c>
      <c r="C535" t="s">
        <v>80</v>
      </c>
      <c r="D535" t="s">
        <v>35</v>
      </c>
      <c r="E535" t="s">
        <v>56</v>
      </c>
      <c r="F535">
        <v>39</v>
      </c>
      <c r="G535">
        <v>69395</v>
      </c>
      <c r="H535">
        <v>10</v>
      </c>
      <c r="I535">
        <v>12</v>
      </c>
      <c r="J535">
        <v>2728056.24</v>
      </c>
      <c r="K535" t="s">
        <v>21</v>
      </c>
      <c r="L535" t="s">
        <v>26</v>
      </c>
      <c r="M535" s="7">
        <v>45732</v>
      </c>
      <c r="N535" s="7">
        <v>45740</v>
      </c>
      <c r="O535" s="8">
        <v>8</v>
      </c>
      <c r="P535" t="str">
        <f t="shared" si="8"/>
        <v>Delayed</v>
      </c>
    </row>
    <row r="536" spans="1:16" x14ac:dyDescent="0.3">
      <c r="A536" t="s">
        <v>104</v>
      </c>
      <c r="B536" s="6" t="s">
        <v>239</v>
      </c>
      <c r="C536" t="s">
        <v>23</v>
      </c>
      <c r="D536" t="s">
        <v>19</v>
      </c>
      <c r="E536" t="s">
        <v>20</v>
      </c>
      <c r="F536">
        <v>33</v>
      </c>
      <c r="G536">
        <v>15660</v>
      </c>
      <c r="H536">
        <v>5</v>
      </c>
      <c r="I536">
        <v>28</v>
      </c>
      <c r="J536">
        <v>628404.47999999998</v>
      </c>
      <c r="K536" t="s">
        <v>21</v>
      </c>
      <c r="L536" t="s">
        <v>16</v>
      </c>
      <c r="M536" s="7">
        <v>45733</v>
      </c>
      <c r="N536" s="7">
        <v>45739</v>
      </c>
      <c r="O536" s="8">
        <v>6</v>
      </c>
      <c r="P536" t="str">
        <f t="shared" si="8"/>
        <v>Delayed</v>
      </c>
    </row>
    <row r="537" spans="1:16" x14ac:dyDescent="0.3">
      <c r="A537" t="s">
        <v>82</v>
      </c>
      <c r="B537" s="6" t="s">
        <v>244</v>
      </c>
      <c r="C537" t="s">
        <v>70</v>
      </c>
      <c r="D537" t="s">
        <v>13</v>
      </c>
      <c r="E537" t="s">
        <v>14</v>
      </c>
      <c r="F537">
        <v>16</v>
      </c>
      <c r="G537">
        <v>25770</v>
      </c>
      <c r="H537">
        <v>10</v>
      </c>
      <c r="I537">
        <v>12</v>
      </c>
      <c r="J537">
        <v>415618.56</v>
      </c>
      <c r="K537" t="s">
        <v>37</v>
      </c>
      <c r="L537" t="s">
        <v>33</v>
      </c>
      <c r="M537" s="7">
        <v>45843</v>
      </c>
      <c r="N537" s="7">
        <v>45844</v>
      </c>
      <c r="O537" s="8">
        <v>1</v>
      </c>
      <c r="P537" t="str">
        <f t="shared" si="8"/>
        <v>On Delivery</v>
      </c>
    </row>
    <row r="538" spans="1:16" x14ac:dyDescent="0.3">
      <c r="A538" t="s">
        <v>86</v>
      </c>
      <c r="B538" s="6" t="s">
        <v>239</v>
      </c>
      <c r="C538" t="s">
        <v>23</v>
      </c>
      <c r="D538" t="s">
        <v>44</v>
      </c>
      <c r="E538" t="s">
        <v>51</v>
      </c>
      <c r="F538">
        <v>11</v>
      </c>
      <c r="G538">
        <v>74702</v>
      </c>
      <c r="H538">
        <v>12</v>
      </c>
      <c r="I538">
        <v>12</v>
      </c>
      <c r="J538">
        <v>809889.2</v>
      </c>
      <c r="K538" t="s">
        <v>15</v>
      </c>
      <c r="L538" t="s">
        <v>16</v>
      </c>
      <c r="M538" s="7">
        <v>45801</v>
      </c>
      <c r="N538" s="7">
        <v>45808</v>
      </c>
      <c r="O538" s="8">
        <v>7</v>
      </c>
      <c r="P538" t="str">
        <f t="shared" si="8"/>
        <v>Delayed</v>
      </c>
    </row>
    <row r="539" spans="1:16" x14ac:dyDescent="0.3">
      <c r="A539" t="s">
        <v>186</v>
      </c>
      <c r="B539" s="6" t="s">
        <v>238</v>
      </c>
      <c r="C539" t="s">
        <v>58</v>
      </c>
      <c r="D539" t="s">
        <v>35</v>
      </c>
      <c r="E539" t="s">
        <v>77</v>
      </c>
      <c r="F539">
        <v>34</v>
      </c>
      <c r="G539">
        <v>30596</v>
      </c>
      <c r="H539">
        <v>5</v>
      </c>
      <c r="I539">
        <v>28</v>
      </c>
      <c r="J539">
        <v>1264961.02</v>
      </c>
      <c r="K539" t="s">
        <v>37</v>
      </c>
      <c r="L539" t="s">
        <v>26</v>
      </c>
      <c r="M539" s="7">
        <v>45737</v>
      </c>
      <c r="N539" s="7">
        <v>45738</v>
      </c>
      <c r="O539" s="8">
        <v>1</v>
      </c>
      <c r="P539" t="str">
        <f t="shared" si="8"/>
        <v>On Delivery</v>
      </c>
    </row>
    <row r="540" spans="1:16" x14ac:dyDescent="0.3">
      <c r="A540" t="s">
        <v>160</v>
      </c>
      <c r="B540" s="6" t="s">
        <v>243</v>
      </c>
      <c r="C540" t="s">
        <v>53</v>
      </c>
      <c r="D540" t="s">
        <v>35</v>
      </c>
      <c r="E540" t="s">
        <v>77</v>
      </c>
      <c r="F540">
        <v>25</v>
      </c>
      <c r="G540">
        <v>82416</v>
      </c>
      <c r="H540">
        <v>5</v>
      </c>
      <c r="I540">
        <v>12</v>
      </c>
      <c r="J540">
        <v>2192265.6</v>
      </c>
      <c r="K540" t="s">
        <v>21</v>
      </c>
      <c r="L540" t="s">
        <v>38</v>
      </c>
      <c r="M540" s="7">
        <v>45733</v>
      </c>
      <c r="N540" s="7">
        <v>45747</v>
      </c>
      <c r="O540" s="8">
        <v>14</v>
      </c>
      <c r="P540" t="str">
        <f t="shared" si="8"/>
        <v>Delayed</v>
      </c>
    </row>
    <row r="541" spans="1:16" x14ac:dyDescent="0.3">
      <c r="A541" t="s">
        <v>211</v>
      </c>
      <c r="B541" s="6" t="s">
        <v>238</v>
      </c>
      <c r="C541" t="s">
        <v>58</v>
      </c>
      <c r="D541" t="s">
        <v>13</v>
      </c>
      <c r="E541" t="s">
        <v>32</v>
      </c>
      <c r="F541">
        <v>5</v>
      </c>
      <c r="G541">
        <v>46287</v>
      </c>
      <c r="H541">
        <v>0</v>
      </c>
      <c r="I541">
        <v>12</v>
      </c>
      <c r="J541">
        <v>259207.2</v>
      </c>
      <c r="K541" t="s">
        <v>21</v>
      </c>
      <c r="L541" t="s">
        <v>38</v>
      </c>
      <c r="M541" s="7">
        <v>45760</v>
      </c>
      <c r="N541" s="7">
        <v>45761</v>
      </c>
      <c r="O541" s="8">
        <v>1</v>
      </c>
      <c r="P541" t="str">
        <f t="shared" si="8"/>
        <v>On Delivery</v>
      </c>
    </row>
    <row r="542" spans="1:16" x14ac:dyDescent="0.3">
      <c r="A542" t="s">
        <v>118</v>
      </c>
      <c r="B542" s="6" t="s">
        <v>244</v>
      </c>
      <c r="C542" t="s">
        <v>70</v>
      </c>
      <c r="D542" t="s">
        <v>24</v>
      </c>
      <c r="E542" t="s">
        <v>76</v>
      </c>
      <c r="F542">
        <v>27</v>
      </c>
      <c r="G542">
        <v>60340</v>
      </c>
      <c r="H542">
        <v>10</v>
      </c>
      <c r="I542">
        <v>12</v>
      </c>
      <c r="J542">
        <v>1642213.44</v>
      </c>
      <c r="K542" t="s">
        <v>15</v>
      </c>
      <c r="L542" t="s">
        <v>38</v>
      </c>
      <c r="M542" s="7">
        <v>45707</v>
      </c>
      <c r="N542" s="7">
        <v>45711</v>
      </c>
      <c r="O542" s="8">
        <v>4</v>
      </c>
      <c r="P542" t="str">
        <f t="shared" si="8"/>
        <v>Delayed</v>
      </c>
    </row>
    <row r="543" spans="1:16" x14ac:dyDescent="0.3">
      <c r="A543" t="s">
        <v>52</v>
      </c>
      <c r="B543" s="6" t="s">
        <v>242</v>
      </c>
      <c r="C543" t="s">
        <v>12</v>
      </c>
      <c r="D543" t="s">
        <v>44</v>
      </c>
      <c r="E543" t="s">
        <v>45</v>
      </c>
      <c r="F543">
        <v>25</v>
      </c>
      <c r="G543">
        <v>60376</v>
      </c>
      <c r="H543">
        <v>10</v>
      </c>
      <c r="I543">
        <v>28</v>
      </c>
      <c r="J543">
        <v>1738828.8</v>
      </c>
      <c r="K543" t="s">
        <v>21</v>
      </c>
      <c r="L543" t="s">
        <v>16</v>
      </c>
      <c r="M543" s="7">
        <v>45766</v>
      </c>
      <c r="N543" s="7">
        <v>45779</v>
      </c>
      <c r="O543" s="8">
        <v>13</v>
      </c>
      <c r="P543" t="str">
        <f t="shared" si="8"/>
        <v>Delayed</v>
      </c>
    </row>
    <row r="544" spans="1:16" x14ac:dyDescent="0.3">
      <c r="A544" t="s">
        <v>153</v>
      </c>
      <c r="B544" s="6" t="s">
        <v>243</v>
      </c>
      <c r="C544" t="s">
        <v>53</v>
      </c>
      <c r="D544" t="s">
        <v>48</v>
      </c>
      <c r="E544" t="s">
        <v>49</v>
      </c>
      <c r="F544">
        <v>27</v>
      </c>
      <c r="G544">
        <v>50014</v>
      </c>
      <c r="H544">
        <v>10</v>
      </c>
      <c r="I544">
        <v>12</v>
      </c>
      <c r="J544">
        <v>1361181.02</v>
      </c>
      <c r="K544" t="s">
        <v>21</v>
      </c>
      <c r="L544" t="s">
        <v>26</v>
      </c>
      <c r="M544" s="7">
        <v>45830</v>
      </c>
      <c r="N544" s="7">
        <v>45833</v>
      </c>
      <c r="O544" s="8">
        <v>3</v>
      </c>
      <c r="P544" t="str">
        <f t="shared" si="8"/>
        <v>On Delivery</v>
      </c>
    </row>
    <row r="545" spans="1:16" x14ac:dyDescent="0.3">
      <c r="A545" t="s">
        <v>128</v>
      </c>
      <c r="B545" s="6" t="s">
        <v>245</v>
      </c>
      <c r="C545" t="s">
        <v>18</v>
      </c>
      <c r="D545" t="s">
        <v>35</v>
      </c>
      <c r="E545" t="s">
        <v>77</v>
      </c>
      <c r="F545">
        <v>39</v>
      </c>
      <c r="G545">
        <v>36893</v>
      </c>
      <c r="H545">
        <v>12</v>
      </c>
      <c r="I545">
        <v>28</v>
      </c>
      <c r="J545">
        <v>1620694.73</v>
      </c>
      <c r="K545" t="s">
        <v>37</v>
      </c>
      <c r="L545" t="s">
        <v>38</v>
      </c>
      <c r="M545" s="7">
        <v>45787</v>
      </c>
      <c r="N545" s="7">
        <v>45790</v>
      </c>
      <c r="O545" s="8">
        <v>3</v>
      </c>
      <c r="P545" t="str">
        <f t="shared" si="8"/>
        <v>On Delivery</v>
      </c>
    </row>
    <row r="546" spans="1:16" x14ac:dyDescent="0.3">
      <c r="A546" t="s">
        <v>55</v>
      </c>
      <c r="B546" s="6" t="s">
        <v>238</v>
      </c>
      <c r="C546" t="s">
        <v>58</v>
      </c>
      <c r="D546" t="s">
        <v>35</v>
      </c>
      <c r="E546" t="s">
        <v>36</v>
      </c>
      <c r="F546">
        <v>19</v>
      </c>
      <c r="G546">
        <v>80493</v>
      </c>
      <c r="H546">
        <v>5</v>
      </c>
      <c r="I546">
        <v>28</v>
      </c>
      <c r="J546">
        <v>1859710.27</v>
      </c>
      <c r="K546" t="s">
        <v>46</v>
      </c>
      <c r="L546" t="s">
        <v>16</v>
      </c>
      <c r="M546" s="7">
        <v>45759</v>
      </c>
      <c r="N546" s="7">
        <v>45771</v>
      </c>
      <c r="O546" s="8">
        <v>12</v>
      </c>
      <c r="P546" t="str">
        <f t="shared" si="8"/>
        <v>Delayed</v>
      </c>
    </row>
    <row r="547" spans="1:16" x14ac:dyDescent="0.3">
      <c r="A547" t="s">
        <v>212</v>
      </c>
      <c r="B547" s="6" t="s">
        <v>244</v>
      </c>
      <c r="C547" t="s">
        <v>70</v>
      </c>
      <c r="D547" t="s">
        <v>44</v>
      </c>
      <c r="E547" t="s">
        <v>45</v>
      </c>
      <c r="F547">
        <v>35</v>
      </c>
      <c r="G547">
        <v>27086</v>
      </c>
      <c r="H547">
        <v>0</v>
      </c>
      <c r="I547">
        <v>18</v>
      </c>
      <c r="J547">
        <v>1118651.8</v>
      </c>
      <c r="K547" t="s">
        <v>15</v>
      </c>
      <c r="L547" t="s">
        <v>26</v>
      </c>
      <c r="M547" s="7">
        <v>45688</v>
      </c>
      <c r="N547" s="7">
        <v>45692</v>
      </c>
      <c r="O547" s="8">
        <v>4</v>
      </c>
      <c r="P547" t="str">
        <f t="shared" si="8"/>
        <v>Delayed</v>
      </c>
    </row>
    <row r="548" spans="1:16" x14ac:dyDescent="0.3">
      <c r="A548" t="s">
        <v>117</v>
      </c>
      <c r="B548" s="6" t="s">
        <v>245</v>
      </c>
      <c r="C548" t="s">
        <v>18</v>
      </c>
      <c r="D548" t="s">
        <v>44</v>
      </c>
      <c r="E548" t="s">
        <v>51</v>
      </c>
      <c r="F548">
        <v>38</v>
      </c>
      <c r="G548">
        <v>31356</v>
      </c>
      <c r="H548">
        <v>10</v>
      </c>
      <c r="I548">
        <v>12</v>
      </c>
      <c r="J548">
        <v>1201060.22</v>
      </c>
      <c r="K548" t="s">
        <v>46</v>
      </c>
      <c r="L548" t="s">
        <v>26</v>
      </c>
      <c r="M548" s="7">
        <v>45783</v>
      </c>
      <c r="N548" s="7">
        <v>45783</v>
      </c>
      <c r="O548" s="8">
        <v>0</v>
      </c>
      <c r="P548" t="str">
        <f t="shared" si="8"/>
        <v>Delivered</v>
      </c>
    </row>
    <row r="549" spans="1:16" x14ac:dyDescent="0.3">
      <c r="A549" t="s">
        <v>105</v>
      </c>
      <c r="B549" s="6" t="s">
        <v>240</v>
      </c>
      <c r="C549" t="s">
        <v>28</v>
      </c>
      <c r="D549" t="s">
        <v>44</v>
      </c>
      <c r="E549" t="s">
        <v>45</v>
      </c>
      <c r="F549">
        <v>12</v>
      </c>
      <c r="G549">
        <v>2733</v>
      </c>
      <c r="H549">
        <v>12</v>
      </c>
      <c r="I549">
        <v>12</v>
      </c>
      <c r="J549">
        <v>32323.74</v>
      </c>
      <c r="K549" t="s">
        <v>21</v>
      </c>
      <c r="L549" t="s">
        <v>38</v>
      </c>
      <c r="M549" s="7">
        <v>45784</v>
      </c>
      <c r="N549" s="7">
        <v>45797</v>
      </c>
      <c r="O549" s="8">
        <v>13</v>
      </c>
      <c r="P549" t="str">
        <f t="shared" si="8"/>
        <v>Delayed</v>
      </c>
    </row>
    <row r="550" spans="1:16" x14ac:dyDescent="0.3">
      <c r="A550" t="s">
        <v>182</v>
      </c>
      <c r="B550" s="6" t="s">
        <v>244</v>
      </c>
      <c r="C550" t="s">
        <v>70</v>
      </c>
      <c r="D550" t="s">
        <v>62</v>
      </c>
      <c r="E550" t="s">
        <v>63</v>
      </c>
      <c r="F550">
        <v>1</v>
      </c>
      <c r="G550">
        <v>26003</v>
      </c>
      <c r="H550">
        <v>5</v>
      </c>
      <c r="I550">
        <v>12</v>
      </c>
      <c r="J550">
        <v>27667.19</v>
      </c>
      <c r="K550" t="s">
        <v>15</v>
      </c>
      <c r="L550" t="s">
        <v>38</v>
      </c>
      <c r="M550" s="7">
        <v>45846</v>
      </c>
      <c r="N550" s="7">
        <v>45860</v>
      </c>
      <c r="O550" s="8">
        <v>14</v>
      </c>
      <c r="P550" t="str">
        <f t="shared" si="8"/>
        <v>Delayed</v>
      </c>
    </row>
    <row r="551" spans="1:16" x14ac:dyDescent="0.3">
      <c r="A551" t="s">
        <v>157</v>
      </c>
      <c r="B551" s="6" t="s">
        <v>244</v>
      </c>
      <c r="C551" t="s">
        <v>70</v>
      </c>
      <c r="D551" t="s">
        <v>44</v>
      </c>
      <c r="E551" t="s">
        <v>51</v>
      </c>
      <c r="F551">
        <v>34</v>
      </c>
      <c r="G551">
        <v>22708</v>
      </c>
      <c r="H551">
        <v>0</v>
      </c>
      <c r="I551">
        <v>18</v>
      </c>
      <c r="J551">
        <v>911044.96</v>
      </c>
      <c r="K551" t="s">
        <v>15</v>
      </c>
      <c r="L551" t="s">
        <v>16</v>
      </c>
      <c r="M551" s="7">
        <v>45702</v>
      </c>
      <c r="N551" s="7">
        <v>45703</v>
      </c>
      <c r="O551" s="8">
        <v>1</v>
      </c>
      <c r="P551" t="str">
        <f t="shared" si="8"/>
        <v>On Delivery</v>
      </c>
    </row>
    <row r="552" spans="1:16" x14ac:dyDescent="0.3">
      <c r="A552" t="s">
        <v>217</v>
      </c>
      <c r="B552" s="6" t="s">
        <v>245</v>
      </c>
      <c r="C552" t="s">
        <v>18</v>
      </c>
      <c r="D552" t="s">
        <v>29</v>
      </c>
      <c r="E552" t="s">
        <v>30</v>
      </c>
      <c r="F552">
        <v>7</v>
      </c>
      <c r="G552">
        <v>83318</v>
      </c>
      <c r="H552">
        <v>5</v>
      </c>
      <c r="I552">
        <v>18</v>
      </c>
      <c r="J552">
        <v>653796.35</v>
      </c>
      <c r="K552" t="s">
        <v>37</v>
      </c>
      <c r="L552" t="s">
        <v>26</v>
      </c>
      <c r="M552" s="7">
        <v>45816</v>
      </c>
      <c r="N552" s="7">
        <v>45825</v>
      </c>
      <c r="O552" s="8">
        <v>9</v>
      </c>
      <c r="P552" t="str">
        <f t="shared" si="8"/>
        <v>Delayed</v>
      </c>
    </row>
    <row r="553" spans="1:16" x14ac:dyDescent="0.3">
      <c r="A553" t="s">
        <v>122</v>
      </c>
      <c r="B553" s="6" t="s">
        <v>243</v>
      </c>
      <c r="C553" t="s">
        <v>53</v>
      </c>
      <c r="D553" t="s">
        <v>48</v>
      </c>
      <c r="E553" t="s">
        <v>49</v>
      </c>
      <c r="F553">
        <v>40</v>
      </c>
      <c r="G553">
        <v>15333</v>
      </c>
      <c r="H553">
        <v>0</v>
      </c>
      <c r="I553">
        <v>18</v>
      </c>
      <c r="J553">
        <v>723717.6</v>
      </c>
      <c r="K553" t="s">
        <v>15</v>
      </c>
      <c r="L553" t="s">
        <v>38</v>
      </c>
      <c r="M553" s="7">
        <v>45725</v>
      </c>
      <c r="N553" s="7">
        <v>45733</v>
      </c>
      <c r="O553" s="8">
        <v>8</v>
      </c>
      <c r="P553" t="str">
        <f t="shared" si="8"/>
        <v>Delayed</v>
      </c>
    </row>
    <row r="554" spans="1:16" x14ac:dyDescent="0.3">
      <c r="A554" t="s">
        <v>195</v>
      </c>
      <c r="B554" s="6" t="s">
        <v>239</v>
      </c>
      <c r="C554" t="s">
        <v>23</v>
      </c>
      <c r="D554" t="s">
        <v>35</v>
      </c>
      <c r="E554" t="s">
        <v>56</v>
      </c>
      <c r="F554">
        <v>8</v>
      </c>
      <c r="G554">
        <v>12635</v>
      </c>
      <c r="H554">
        <v>10</v>
      </c>
      <c r="I554">
        <v>12</v>
      </c>
      <c r="J554">
        <v>101888.64</v>
      </c>
      <c r="K554" t="s">
        <v>15</v>
      </c>
      <c r="L554" t="s">
        <v>33</v>
      </c>
      <c r="M554" s="7">
        <v>45787</v>
      </c>
      <c r="N554" s="7">
        <v>45799</v>
      </c>
      <c r="O554" s="8">
        <v>12</v>
      </c>
      <c r="P554" t="str">
        <f t="shared" si="8"/>
        <v>Delayed</v>
      </c>
    </row>
    <row r="555" spans="1:16" x14ac:dyDescent="0.3">
      <c r="A555" t="s">
        <v>148</v>
      </c>
      <c r="B555" s="6" t="s">
        <v>242</v>
      </c>
      <c r="C555" t="s">
        <v>12</v>
      </c>
      <c r="D555" t="s">
        <v>44</v>
      </c>
      <c r="E555" t="s">
        <v>51</v>
      </c>
      <c r="F555">
        <v>38</v>
      </c>
      <c r="G555">
        <v>46552</v>
      </c>
      <c r="H555">
        <v>12</v>
      </c>
      <c r="I555">
        <v>18</v>
      </c>
      <c r="J555">
        <v>1836904.68</v>
      </c>
      <c r="K555" t="s">
        <v>21</v>
      </c>
      <c r="L555" t="s">
        <v>26</v>
      </c>
      <c r="M555" s="7">
        <v>45712</v>
      </c>
      <c r="N555" s="7">
        <v>45714</v>
      </c>
      <c r="O555" s="8">
        <v>2</v>
      </c>
      <c r="P555" t="str">
        <f t="shared" si="8"/>
        <v>On Delivery</v>
      </c>
    </row>
    <row r="556" spans="1:16" x14ac:dyDescent="0.3">
      <c r="A556" t="s">
        <v>162</v>
      </c>
      <c r="B556" s="6" t="s">
        <v>244</v>
      </c>
      <c r="C556" t="s">
        <v>70</v>
      </c>
      <c r="D556" t="s">
        <v>24</v>
      </c>
      <c r="E556" t="s">
        <v>25</v>
      </c>
      <c r="F556">
        <v>29</v>
      </c>
      <c r="G556">
        <v>8882</v>
      </c>
      <c r="H556">
        <v>10</v>
      </c>
      <c r="I556">
        <v>18</v>
      </c>
      <c r="J556">
        <v>273547.84000000003</v>
      </c>
      <c r="K556" t="s">
        <v>37</v>
      </c>
      <c r="L556" t="s">
        <v>33</v>
      </c>
      <c r="M556" s="7">
        <v>45802</v>
      </c>
      <c r="N556" s="7">
        <v>45815</v>
      </c>
      <c r="O556" s="8">
        <v>13</v>
      </c>
      <c r="P556" t="str">
        <f t="shared" si="8"/>
        <v>Delayed</v>
      </c>
    </row>
    <row r="557" spans="1:16" x14ac:dyDescent="0.3">
      <c r="A557" t="s">
        <v>122</v>
      </c>
      <c r="B557" s="6" t="s">
        <v>246</v>
      </c>
      <c r="C557" t="s">
        <v>80</v>
      </c>
      <c r="D557" t="s">
        <v>62</v>
      </c>
      <c r="E557" t="s">
        <v>92</v>
      </c>
      <c r="F557">
        <v>17</v>
      </c>
      <c r="G557">
        <v>25577</v>
      </c>
      <c r="H557">
        <v>0</v>
      </c>
      <c r="I557">
        <v>12</v>
      </c>
      <c r="J557">
        <v>486986.08</v>
      </c>
      <c r="K557" t="s">
        <v>21</v>
      </c>
      <c r="L557" t="s">
        <v>33</v>
      </c>
      <c r="M557" s="7">
        <v>45730</v>
      </c>
      <c r="N557" s="7">
        <v>45744</v>
      </c>
      <c r="O557" s="8">
        <v>14</v>
      </c>
      <c r="P557" t="str">
        <f t="shared" si="8"/>
        <v>Delayed</v>
      </c>
    </row>
    <row r="558" spans="1:16" x14ac:dyDescent="0.3">
      <c r="A558" t="s">
        <v>202</v>
      </c>
      <c r="B558" s="6" t="s">
        <v>240</v>
      </c>
      <c r="C558" t="s">
        <v>28</v>
      </c>
      <c r="D558" t="s">
        <v>62</v>
      </c>
      <c r="E558" t="s">
        <v>63</v>
      </c>
      <c r="F558">
        <v>22</v>
      </c>
      <c r="G558">
        <v>43628</v>
      </c>
      <c r="H558">
        <v>10</v>
      </c>
      <c r="I558">
        <v>12</v>
      </c>
      <c r="J558">
        <v>967494.53</v>
      </c>
      <c r="K558" t="s">
        <v>37</v>
      </c>
      <c r="L558" t="s">
        <v>16</v>
      </c>
      <c r="M558" s="7">
        <v>45824</v>
      </c>
      <c r="N558" s="7">
        <v>45824</v>
      </c>
      <c r="O558" s="8">
        <v>0</v>
      </c>
      <c r="P558" t="str">
        <f t="shared" si="8"/>
        <v>Delivered</v>
      </c>
    </row>
    <row r="559" spans="1:16" x14ac:dyDescent="0.3">
      <c r="A559" t="s">
        <v>144</v>
      </c>
      <c r="B559" s="6" t="s">
        <v>243</v>
      </c>
      <c r="C559" t="s">
        <v>53</v>
      </c>
      <c r="D559" t="s">
        <v>13</v>
      </c>
      <c r="E559" t="s">
        <v>32</v>
      </c>
      <c r="F559">
        <v>26</v>
      </c>
      <c r="G559">
        <v>2680</v>
      </c>
      <c r="H559">
        <v>10</v>
      </c>
      <c r="I559">
        <v>12</v>
      </c>
      <c r="J559">
        <v>70237.440000000002</v>
      </c>
      <c r="K559" t="s">
        <v>21</v>
      </c>
      <c r="L559" t="s">
        <v>26</v>
      </c>
      <c r="M559" s="7">
        <v>45696</v>
      </c>
      <c r="N559" s="7">
        <v>45699</v>
      </c>
      <c r="O559" s="8">
        <v>3</v>
      </c>
      <c r="P559" t="str">
        <f t="shared" si="8"/>
        <v>On Delivery</v>
      </c>
    </row>
    <row r="560" spans="1:16" x14ac:dyDescent="0.3">
      <c r="A560" t="s">
        <v>60</v>
      </c>
      <c r="B560" s="6" t="s">
        <v>242</v>
      </c>
      <c r="C560" t="s">
        <v>12</v>
      </c>
      <c r="D560" t="s">
        <v>19</v>
      </c>
      <c r="E560" t="s">
        <v>20</v>
      </c>
      <c r="F560">
        <v>22</v>
      </c>
      <c r="G560">
        <v>30947</v>
      </c>
      <c r="H560">
        <v>10</v>
      </c>
      <c r="I560">
        <v>12</v>
      </c>
      <c r="J560">
        <v>686280.67</v>
      </c>
      <c r="K560" t="s">
        <v>15</v>
      </c>
      <c r="L560" t="s">
        <v>26</v>
      </c>
      <c r="M560" s="7">
        <v>45708</v>
      </c>
      <c r="N560" s="7">
        <v>45721</v>
      </c>
      <c r="O560" s="8">
        <v>13</v>
      </c>
      <c r="P560" t="str">
        <f t="shared" si="8"/>
        <v>Delayed</v>
      </c>
    </row>
    <row r="561" spans="1:16" x14ac:dyDescent="0.3">
      <c r="A561" t="s">
        <v>98</v>
      </c>
      <c r="B561" s="6" t="s">
        <v>244</v>
      </c>
      <c r="C561" t="s">
        <v>70</v>
      </c>
      <c r="D561" t="s">
        <v>62</v>
      </c>
      <c r="E561" t="s">
        <v>63</v>
      </c>
      <c r="F561">
        <v>23</v>
      </c>
      <c r="G561">
        <v>14789</v>
      </c>
      <c r="H561">
        <v>5</v>
      </c>
      <c r="I561">
        <v>18</v>
      </c>
      <c r="J561">
        <v>381304.79</v>
      </c>
      <c r="K561" t="s">
        <v>37</v>
      </c>
      <c r="L561" t="s">
        <v>38</v>
      </c>
      <c r="M561" s="7">
        <v>45729</v>
      </c>
      <c r="N561" s="7">
        <v>45737</v>
      </c>
      <c r="O561" s="8">
        <v>8</v>
      </c>
      <c r="P561" t="str">
        <f t="shared" si="8"/>
        <v>Delayed</v>
      </c>
    </row>
    <row r="562" spans="1:16" x14ac:dyDescent="0.3">
      <c r="A562" t="s">
        <v>177</v>
      </c>
      <c r="B562" s="6" t="s">
        <v>240</v>
      </c>
      <c r="C562" t="s">
        <v>28</v>
      </c>
      <c r="D562" t="s">
        <v>13</v>
      </c>
      <c r="E562" t="s">
        <v>32</v>
      </c>
      <c r="F562">
        <v>23</v>
      </c>
      <c r="G562">
        <v>27937</v>
      </c>
      <c r="H562">
        <v>0</v>
      </c>
      <c r="I562">
        <v>28</v>
      </c>
      <c r="J562">
        <v>822465.28</v>
      </c>
      <c r="K562" t="s">
        <v>15</v>
      </c>
      <c r="L562" t="s">
        <v>26</v>
      </c>
      <c r="M562" s="7">
        <v>45825</v>
      </c>
      <c r="N562" s="7">
        <v>45829</v>
      </c>
      <c r="O562" s="8">
        <v>4</v>
      </c>
      <c r="P562" t="str">
        <f t="shared" si="8"/>
        <v>Delayed</v>
      </c>
    </row>
    <row r="563" spans="1:16" x14ac:dyDescent="0.3">
      <c r="A563" t="s">
        <v>171</v>
      </c>
      <c r="B563" s="6" t="s">
        <v>242</v>
      </c>
      <c r="C563" t="s">
        <v>12</v>
      </c>
      <c r="D563" t="s">
        <v>13</v>
      </c>
      <c r="E563" t="s">
        <v>32</v>
      </c>
      <c r="F563">
        <v>38</v>
      </c>
      <c r="G563">
        <v>26410</v>
      </c>
      <c r="H563">
        <v>5</v>
      </c>
      <c r="I563">
        <v>18</v>
      </c>
      <c r="J563">
        <v>1125013.18</v>
      </c>
      <c r="K563" t="s">
        <v>46</v>
      </c>
      <c r="L563" t="s">
        <v>38</v>
      </c>
      <c r="M563" s="7">
        <v>45720</v>
      </c>
      <c r="N563" s="7">
        <v>45730</v>
      </c>
      <c r="O563" s="8">
        <v>10</v>
      </c>
      <c r="P563" t="str">
        <f t="shared" si="8"/>
        <v>Delayed</v>
      </c>
    </row>
    <row r="564" spans="1:16" x14ac:dyDescent="0.3">
      <c r="A564" t="s">
        <v>198</v>
      </c>
      <c r="B564" s="6" t="s">
        <v>242</v>
      </c>
      <c r="C564" t="s">
        <v>12</v>
      </c>
      <c r="D564" t="s">
        <v>35</v>
      </c>
      <c r="E564" t="s">
        <v>77</v>
      </c>
      <c r="F564">
        <v>1</v>
      </c>
      <c r="G564">
        <v>38956</v>
      </c>
      <c r="H564">
        <v>10</v>
      </c>
      <c r="I564">
        <v>18</v>
      </c>
      <c r="J564">
        <v>41371.269999999997</v>
      </c>
      <c r="K564" t="s">
        <v>15</v>
      </c>
      <c r="L564" t="s">
        <v>33</v>
      </c>
      <c r="M564" s="7">
        <v>45666</v>
      </c>
      <c r="N564" s="7">
        <v>45675</v>
      </c>
      <c r="O564" s="8">
        <v>9</v>
      </c>
      <c r="P564" t="str">
        <f t="shared" si="8"/>
        <v>Delayed</v>
      </c>
    </row>
    <row r="565" spans="1:16" x14ac:dyDescent="0.3">
      <c r="A565" t="s">
        <v>218</v>
      </c>
      <c r="B565" s="6" t="s">
        <v>243</v>
      </c>
      <c r="C565" t="s">
        <v>53</v>
      </c>
      <c r="D565" t="s">
        <v>24</v>
      </c>
      <c r="E565" t="s">
        <v>25</v>
      </c>
      <c r="F565">
        <v>7</v>
      </c>
      <c r="G565">
        <v>46455</v>
      </c>
      <c r="H565">
        <v>12</v>
      </c>
      <c r="I565">
        <v>12</v>
      </c>
      <c r="J565">
        <v>320502.34000000003</v>
      </c>
      <c r="K565" t="s">
        <v>46</v>
      </c>
      <c r="L565" t="s">
        <v>38</v>
      </c>
      <c r="M565" s="7">
        <v>45774</v>
      </c>
      <c r="N565" s="7">
        <v>45777</v>
      </c>
      <c r="O565" s="8">
        <v>3</v>
      </c>
      <c r="P565" t="str">
        <f t="shared" si="8"/>
        <v>On Delivery</v>
      </c>
    </row>
    <row r="566" spans="1:16" x14ac:dyDescent="0.3">
      <c r="A566" t="s">
        <v>133</v>
      </c>
      <c r="B566" s="6" t="s">
        <v>243</v>
      </c>
      <c r="C566" t="s">
        <v>53</v>
      </c>
      <c r="D566" t="s">
        <v>24</v>
      </c>
      <c r="E566" t="s">
        <v>76</v>
      </c>
      <c r="F566">
        <v>32</v>
      </c>
      <c r="G566">
        <v>73555</v>
      </c>
      <c r="H566">
        <v>12</v>
      </c>
      <c r="I566">
        <v>18</v>
      </c>
      <c r="J566">
        <v>2444144.38</v>
      </c>
      <c r="K566" t="s">
        <v>15</v>
      </c>
      <c r="L566" t="s">
        <v>33</v>
      </c>
      <c r="M566" s="7">
        <v>45773</v>
      </c>
      <c r="N566" s="7">
        <v>45787</v>
      </c>
      <c r="O566" s="8">
        <v>14</v>
      </c>
      <c r="P566" t="str">
        <f t="shared" si="8"/>
        <v>Delayed</v>
      </c>
    </row>
    <row r="567" spans="1:16" x14ac:dyDescent="0.3">
      <c r="A567" t="s">
        <v>138</v>
      </c>
      <c r="B567" s="6" t="s">
        <v>244</v>
      </c>
      <c r="C567" t="s">
        <v>70</v>
      </c>
      <c r="D567" t="s">
        <v>24</v>
      </c>
      <c r="E567" t="s">
        <v>40</v>
      </c>
      <c r="F567">
        <v>36</v>
      </c>
      <c r="G567">
        <v>4099</v>
      </c>
      <c r="H567">
        <v>0</v>
      </c>
      <c r="I567">
        <v>28</v>
      </c>
      <c r="J567">
        <v>188881.92000000001</v>
      </c>
      <c r="K567" t="s">
        <v>37</v>
      </c>
      <c r="L567" t="s">
        <v>26</v>
      </c>
      <c r="M567" s="7">
        <v>45719</v>
      </c>
      <c r="N567" s="7">
        <v>45721</v>
      </c>
      <c r="O567" s="8">
        <v>2</v>
      </c>
      <c r="P567" t="str">
        <f t="shared" si="8"/>
        <v>On Delivery</v>
      </c>
    </row>
    <row r="568" spans="1:16" x14ac:dyDescent="0.3">
      <c r="A568" t="s">
        <v>93</v>
      </c>
      <c r="B568" s="6" t="s">
        <v>239</v>
      </c>
      <c r="C568" t="s">
        <v>23</v>
      </c>
      <c r="D568" t="s">
        <v>48</v>
      </c>
      <c r="E568" t="s">
        <v>59</v>
      </c>
      <c r="F568">
        <v>3</v>
      </c>
      <c r="G568">
        <v>37635</v>
      </c>
      <c r="H568">
        <v>5</v>
      </c>
      <c r="I568">
        <v>12</v>
      </c>
      <c r="J568">
        <v>120130.92</v>
      </c>
      <c r="K568" t="s">
        <v>15</v>
      </c>
      <c r="L568" t="s">
        <v>16</v>
      </c>
      <c r="M568" s="7">
        <v>45796</v>
      </c>
      <c r="N568" s="7">
        <v>45808</v>
      </c>
      <c r="O568" s="8">
        <v>12</v>
      </c>
      <c r="P568" t="str">
        <f t="shared" si="8"/>
        <v>Delayed</v>
      </c>
    </row>
    <row r="569" spans="1:16" x14ac:dyDescent="0.3">
      <c r="A569" t="s">
        <v>113</v>
      </c>
      <c r="B569" s="6" t="s">
        <v>240</v>
      </c>
      <c r="C569" t="s">
        <v>28</v>
      </c>
      <c r="D569" t="s">
        <v>24</v>
      </c>
      <c r="E569" t="s">
        <v>25</v>
      </c>
      <c r="F569">
        <v>23</v>
      </c>
      <c r="G569">
        <v>77687</v>
      </c>
      <c r="H569">
        <v>12</v>
      </c>
      <c r="I569">
        <v>12</v>
      </c>
      <c r="J569">
        <v>1761071.07</v>
      </c>
      <c r="K569" t="s">
        <v>37</v>
      </c>
      <c r="L569" t="s">
        <v>38</v>
      </c>
      <c r="M569" s="7">
        <v>45664</v>
      </c>
      <c r="N569" s="7">
        <v>45664</v>
      </c>
      <c r="O569" s="8">
        <v>0</v>
      </c>
      <c r="P569" t="str">
        <f t="shared" si="8"/>
        <v>Delivered</v>
      </c>
    </row>
    <row r="570" spans="1:16" x14ac:dyDescent="0.3">
      <c r="A570" t="s">
        <v>60</v>
      </c>
      <c r="B570" s="6" t="s">
        <v>239</v>
      </c>
      <c r="C570" t="s">
        <v>23</v>
      </c>
      <c r="D570" t="s">
        <v>24</v>
      </c>
      <c r="E570" t="s">
        <v>76</v>
      </c>
      <c r="F570">
        <v>25</v>
      </c>
      <c r="G570">
        <v>46765</v>
      </c>
      <c r="H570">
        <v>0</v>
      </c>
      <c r="I570">
        <v>28</v>
      </c>
      <c r="J570">
        <v>1496480</v>
      </c>
      <c r="K570" t="s">
        <v>21</v>
      </c>
      <c r="L570" t="s">
        <v>38</v>
      </c>
      <c r="M570" s="7">
        <v>45711</v>
      </c>
      <c r="N570" s="7">
        <v>45713</v>
      </c>
      <c r="O570" s="8">
        <v>2</v>
      </c>
      <c r="P570" t="str">
        <f t="shared" si="8"/>
        <v>On Delivery</v>
      </c>
    </row>
    <row r="571" spans="1:16" x14ac:dyDescent="0.3">
      <c r="A571" t="s">
        <v>73</v>
      </c>
      <c r="B571" s="6" t="s">
        <v>242</v>
      </c>
      <c r="C571" t="s">
        <v>12</v>
      </c>
      <c r="D571" t="s">
        <v>24</v>
      </c>
      <c r="E571" t="s">
        <v>76</v>
      </c>
      <c r="F571">
        <v>28</v>
      </c>
      <c r="G571">
        <v>80055</v>
      </c>
      <c r="H571">
        <v>0</v>
      </c>
      <c r="I571">
        <v>28</v>
      </c>
      <c r="J571">
        <v>2869171.2</v>
      </c>
      <c r="K571" t="s">
        <v>15</v>
      </c>
      <c r="L571" t="s">
        <v>38</v>
      </c>
      <c r="M571" s="7">
        <v>45713</v>
      </c>
      <c r="N571" s="7">
        <v>45720</v>
      </c>
      <c r="O571" s="8">
        <v>7</v>
      </c>
      <c r="P571" t="str">
        <f t="shared" si="8"/>
        <v>Delayed</v>
      </c>
    </row>
    <row r="572" spans="1:16" x14ac:dyDescent="0.3">
      <c r="A572" t="s">
        <v>128</v>
      </c>
      <c r="B572" s="6" t="s">
        <v>244</v>
      </c>
      <c r="C572" t="s">
        <v>70</v>
      </c>
      <c r="D572" t="s">
        <v>44</v>
      </c>
      <c r="E572" t="s">
        <v>45</v>
      </c>
      <c r="F572">
        <v>27</v>
      </c>
      <c r="G572">
        <v>72521</v>
      </c>
      <c r="H572">
        <v>0</v>
      </c>
      <c r="I572">
        <v>18</v>
      </c>
      <c r="J572">
        <v>2310519.06</v>
      </c>
      <c r="K572" t="s">
        <v>21</v>
      </c>
      <c r="L572" t="s">
        <v>38</v>
      </c>
      <c r="M572" s="7">
        <v>45789</v>
      </c>
      <c r="N572" s="7">
        <v>45799</v>
      </c>
      <c r="O572" s="8">
        <v>10</v>
      </c>
      <c r="P572" t="str">
        <f t="shared" si="8"/>
        <v>Delayed</v>
      </c>
    </row>
    <row r="573" spans="1:16" x14ac:dyDescent="0.3">
      <c r="A573" t="s">
        <v>127</v>
      </c>
      <c r="B573" s="6" t="s">
        <v>244</v>
      </c>
      <c r="C573" t="s">
        <v>70</v>
      </c>
      <c r="D573" t="s">
        <v>24</v>
      </c>
      <c r="E573" t="s">
        <v>40</v>
      </c>
      <c r="F573">
        <v>21</v>
      </c>
      <c r="G573">
        <v>42397</v>
      </c>
      <c r="H573">
        <v>12</v>
      </c>
      <c r="I573">
        <v>12</v>
      </c>
      <c r="J573">
        <v>877516.15</v>
      </c>
      <c r="K573" t="s">
        <v>46</v>
      </c>
      <c r="L573" t="s">
        <v>16</v>
      </c>
      <c r="M573" s="7">
        <v>45698</v>
      </c>
      <c r="N573" s="7">
        <v>45700</v>
      </c>
      <c r="O573" s="8">
        <v>2</v>
      </c>
      <c r="P573" t="str">
        <f t="shared" si="8"/>
        <v>On Delivery</v>
      </c>
    </row>
    <row r="574" spans="1:16" x14ac:dyDescent="0.3">
      <c r="A574" t="s">
        <v>64</v>
      </c>
      <c r="B574" s="6" t="s">
        <v>239</v>
      </c>
      <c r="C574" t="s">
        <v>23</v>
      </c>
      <c r="D574" t="s">
        <v>44</v>
      </c>
      <c r="E574" t="s">
        <v>51</v>
      </c>
      <c r="F574">
        <v>34</v>
      </c>
      <c r="G574">
        <v>2657</v>
      </c>
      <c r="H574">
        <v>12</v>
      </c>
      <c r="I574">
        <v>18</v>
      </c>
      <c r="J574">
        <v>93806.98</v>
      </c>
      <c r="K574" t="s">
        <v>21</v>
      </c>
      <c r="L574" t="s">
        <v>38</v>
      </c>
      <c r="M574" s="7">
        <v>45719</v>
      </c>
      <c r="N574" s="7">
        <v>45722</v>
      </c>
      <c r="O574" s="8">
        <v>3</v>
      </c>
      <c r="P574" t="str">
        <f t="shared" si="8"/>
        <v>On Delivery</v>
      </c>
    </row>
    <row r="575" spans="1:16" x14ac:dyDescent="0.3">
      <c r="A575" t="s">
        <v>31</v>
      </c>
      <c r="B575" s="6" t="s">
        <v>242</v>
      </c>
      <c r="C575" t="s">
        <v>12</v>
      </c>
      <c r="D575" t="s">
        <v>19</v>
      </c>
      <c r="E575" t="s">
        <v>20</v>
      </c>
      <c r="F575">
        <v>6</v>
      </c>
      <c r="G575">
        <v>19994</v>
      </c>
      <c r="H575">
        <v>5</v>
      </c>
      <c r="I575">
        <v>12</v>
      </c>
      <c r="J575">
        <v>127641.7</v>
      </c>
      <c r="K575" t="s">
        <v>46</v>
      </c>
      <c r="L575" t="s">
        <v>26</v>
      </c>
      <c r="M575" s="7">
        <v>45817</v>
      </c>
      <c r="N575" s="7">
        <v>45824</v>
      </c>
      <c r="O575" s="8">
        <v>7</v>
      </c>
      <c r="P575" t="str">
        <f t="shared" si="8"/>
        <v>Delayed</v>
      </c>
    </row>
    <row r="576" spans="1:16" x14ac:dyDescent="0.3">
      <c r="A576" t="s">
        <v>91</v>
      </c>
      <c r="B576" s="6" t="s">
        <v>244</v>
      </c>
      <c r="C576" t="s">
        <v>70</v>
      </c>
      <c r="D576" t="s">
        <v>35</v>
      </c>
      <c r="E576" t="s">
        <v>77</v>
      </c>
      <c r="F576">
        <v>31</v>
      </c>
      <c r="G576">
        <v>37433</v>
      </c>
      <c r="H576">
        <v>10</v>
      </c>
      <c r="I576">
        <v>18</v>
      </c>
      <c r="J576">
        <v>1232369.23</v>
      </c>
      <c r="K576" t="s">
        <v>15</v>
      </c>
      <c r="L576" t="s">
        <v>38</v>
      </c>
      <c r="M576" s="7">
        <v>45731</v>
      </c>
      <c r="N576" s="7">
        <v>45742</v>
      </c>
      <c r="O576" s="8">
        <v>11</v>
      </c>
      <c r="P576" t="str">
        <f t="shared" si="8"/>
        <v>Delayed</v>
      </c>
    </row>
    <row r="577" spans="1:16" x14ac:dyDescent="0.3">
      <c r="A577" t="s">
        <v>153</v>
      </c>
      <c r="B577" s="6" t="s">
        <v>244</v>
      </c>
      <c r="C577" t="s">
        <v>70</v>
      </c>
      <c r="D577" t="s">
        <v>13</v>
      </c>
      <c r="E577" t="s">
        <v>32</v>
      </c>
      <c r="F577">
        <v>14</v>
      </c>
      <c r="G577">
        <v>16789</v>
      </c>
      <c r="H577">
        <v>10</v>
      </c>
      <c r="I577">
        <v>12</v>
      </c>
      <c r="J577">
        <v>236926.37</v>
      </c>
      <c r="K577" t="s">
        <v>46</v>
      </c>
      <c r="L577" t="s">
        <v>33</v>
      </c>
      <c r="M577" s="7">
        <v>45829</v>
      </c>
      <c r="N577" s="7">
        <v>45834</v>
      </c>
      <c r="O577" s="8">
        <v>5</v>
      </c>
      <c r="P577" t="str">
        <f t="shared" si="8"/>
        <v>Delayed</v>
      </c>
    </row>
    <row r="578" spans="1:16" x14ac:dyDescent="0.3">
      <c r="A578" t="s">
        <v>135</v>
      </c>
      <c r="B578" s="6" t="s">
        <v>246</v>
      </c>
      <c r="C578" t="s">
        <v>80</v>
      </c>
      <c r="D578" t="s">
        <v>13</v>
      </c>
      <c r="E578" t="s">
        <v>32</v>
      </c>
      <c r="F578">
        <v>32</v>
      </c>
      <c r="G578">
        <v>46972</v>
      </c>
      <c r="H578">
        <v>12</v>
      </c>
      <c r="I578">
        <v>28</v>
      </c>
      <c r="J578">
        <v>1693096.35</v>
      </c>
      <c r="K578" t="s">
        <v>46</v>
      </c>
      <c r="L578" t="s">
        <v>33</v>
      </c>
      <c r="M578" s="7">
        <v>45840</v>
      </c>
      <c r="N578" s="7">
        <v>45846</v>
      </c>
      <c r="O578" s="8">
        <v>6</v>
      </c>
      <c r="P578" t="str">
        <f t="shared" ref="P578:P641" si="9">IF(O578="","Pending",IF(O578=0,"Delivered",IF(O578&lt;=3,"On Delivery","Delayed")))</f>
        <v>Delayed</v>
      </c>
    </row>
    <row r="579" spans="1:16" x14ac:dyDescent="0.3">
      <c r="A579" t="s">
        <v>34</v>
      </c>
      <c r="B579" s="6" t="s">
        <v>238</v>
      </c>
      <c r="C579" t="s">
        <v>58</v>
      </c>
      <c r="D579" t="s">
        <v>35</v>
      </c>
      <c r="E579" t="s">
        <v>77</v>
      </c>
      <c r="F579">
        <v>27</v>
      </c>
      <c r="G579">
        <v>54604</v>
      </c>
      <c r="H579">
        <v>10</v>
      </c>
      <c r="I579">
        <v>18</v>
      </c>
      <c r="J579">
        <v>1565715.1</v>
      </c>
      <c r="K579" t="s">
        <v>15</v>
      </c>
      <c r="L579" t="s">
        <v>16</v>
      </c>
      <c r="M579" s="7">
        <v>45783</v>
      </c>
      <c r="N579" s="7">
        <v>45786</v>
      </c>
      <c r="O579" s="8">
        <v>3</v>
      </c>
      <c r="P579" t="str">
        <f t="shared" si="9"/>
        <v>On Delivery</v>
      </c>
    </row>
    <row r="580" spans="1:16" x14ac:dyDescent="0.3">
      <c r="A580" t="s">
        <v>65</v>
      </c>
      <c r="B580" s="6" t="s">
        <v>238</v>
      </c>
      <c r="C580" t="s">
        <v>58</v>
      </c>
      <c r="D580" t="s">
        <v>19</v>
      </c>
      <c r="E580" t="s">
        <v>20</v>
      </c>
      <c r="F580">
        <v>3</v>
      </c>
      <c r="G580">
        <v>11696</v>
      </c>
      <c r="H580">
        <v>5</v>
      </c>
      <c r="I580">
        <v>12</v>
      </c>
      <c r="J580">
        <v>37333.629999999997</v>
      </c>
      <c r="K580" t="s">
        <v>46</v>
      </c>
      <c r="L580" t="s">
        <v>33</v>
      </c>
      <c r="M580" s="7">
        <v>45745</v>
      </c>
      <c r="N580" s="7">
        <v>45753</v>
      </c>
      <c r="O580" s="8">
        <v>8</v>
      </c>
      <c r="P580" t="str">
        <f t="shared" si="9"/>
        <v>Delayed</v>
      </c>
    </row>
    <row r="581" spans="1:16" x14ac:dyDescent="0.3">
      <c r="A581" t="s">
        <v>158</v>
      </c>
      <c r="B581" s="6" t="s">
        <v>239</v>
      </c>
      <c r="C581" t="s">
        <v>23</v>
      </c>
      <c r="D581" t="s">
        <v>24</v>
      </c>
      <c r="E581" t="s">
        <v>25</v>
      </c>
      <c r="F581">
        <v>11</v>
      </c>
      <c r="G581">
        <v>31282</v>
      </c>
      <c r="H581">
        <v>0</v>
      </c>
      <c r="I581">
        <v>12</v>
      </c>
      <c r="J581">
        <v>385394.24</v>
      </c>
      <c r="K581" t="s">
        <v>46</v>
      </c>
      <c r="L581" t="s">
        <v>16</v>
      </c>
      <c r="M581" s="7">
        <v>45692</v>
      </c>
      <c r="N581" s="7">
        <v>45703</v>
      </c>
      <c r="O581" s="8">
        <v>11</v>
      </c>
      <c r="P581" t="str">
        <f t="shared" si="9"/>
        <v>Delayed</v>
      </c>
    </row>
    <row r="582" spans="1:16" x14ac:dyDescent="0.3">
      <c r="A582" t="s">
        <v>194</v>
      </c>
      <c r="B582" s="6" t="s">
        <v>241</v>
      </c>
      <c r="C582" t="s">
        <v>42</v>
      </c>
      <c r="D582" t="s">
        <v>13</v>
      </c>
      <c r="E582" t="s">
        <v>32</v>
      </c>
      <c r="F582">
        <v>25</v>
      </c>
      <c r="G582">
        <v>7938</v>
      </c>
      <c r="H582">
        <v>0</v>
      </c>
      <c r="I582">
        <v>28</v>
      </c>
      <c r="J582">
        <v>254016</v>
      </c>
      <c r="K582" t="s">
        <v>37</v>
      </c>
      <c r="L582" t="s">
        <v>16</v>
      </c>
      <c r="M582" s="7">
        <v>45839</v>
      </c>
      <c r="N582" s="7">
        <v>45845</v>
      </c>
      <c r="O582" s="8">
        <v>6</v>
      </c>
      <c r="P582" t="str">
        <f t="shared" si="9"/>
        <v>Delayed</v>
      </c>
    </row>
    <row r="583" spans="1:16" x14ac:dyDescent="0.3">
      <c r="A583" t="s">
        <v>130</v>
      </c>
      <c r="B583" s="6" t="s">
        <v>239</v>
      </c>
      <c r="C583" t="s">
        <v>23</v>
      </c>
      <c r="D583" t="s">
        <v>24</v>
      </c>
      <c r="E583" t="s">
        <v>25</v>
      </c>
      <c r="F583">
        <v>16</v>
      </c>
      <c r="G583">
        <v>14012</v>
      </c>
      <c r="H583">
        <v>10</v>
      </c>
      <c r="I583">
        <v>12</v>
      </c>
      <c r="J583">
        <v>225985.54</v>
      </c>
      <c r="K583" t="s">
        <v>21</v>
      </c>
      <c r="L583" t="s">
        <v>38</v>
      </c>
      <c r="M583" s="7">
        <v>45834</v>
      </c>
      <c r="N583" s="7">
        <v>45845</v>
      </c>
      <c r="O583" s="8">
        <v>11</v>
      </c>
      <c r="P583" t="str">
        <f t="shared" si="9"/>
        <v>Delayed</v>
      </c>
    </row>
    <row r="584" spans="1:16" x14ac:dyDescent="0.3">
      <c r="A584" t="s">
        <v>88</v>
      </c>
      <c r="B584" s="6" t="s">
        <v>242</v>
      </c>
      <c r="C584" t="s">
        <v>12</v>
      </c>
      <c r="D584" t="s">
        <v>48</v>
      </c>
      <c r="E584" t="s">
        <v>49</v>
      </c>
      <c r="F584">
        <v>10</v>
      </c>
      <c r="G584">
        <v>84039</v>
      </c>
      <c r="H584">
        <v>12</v>
      </c>
      <c r="I584">
        <v>18</v>
      </c>
      <c r="J584">
        <v>872660.98</v>
      </c>
      <c r="K584" t="s">
        <v>37</v>
      </c>
      <c r="L584" t="s">
        <v>33</v>
      </c>
      <c r="M584" s="7">
        <v>45836</v>
      </c>
      <c r="N584" s="7">
        <v>45838</v>
      </c>
      <c r="O584" s="8">
        <v>2</v>
      </c>
      <c r="P584" t="str">
        <f t="shared" si="9"/>
        <v>On Delivery</v>
      </c>
    </row>
    <row r="585" spans="1:16" x14ac:dyDescent="0.3">
      <c r="A585" t="s">
        <v>65</v>
      </c>
      <c r="B585" s="6" t="s">
        <v>239</v>
      </c>
      <c r="C585" t="s">
        <v>23</v>
      </c>
      <c r="D585" t="s">
        <v>24</v>
      </c>
      <c r="E585" t="s">
        <v>76</v>
      </c>
      <c r="F585">
        <v>36</v>
      </c>
      <c r="G585">
        <v>42733</v>
      </c>
      <c r="H585">
        <v>5</v>
      </c>
      <c r="I585">
        <v>28</v>
      </c>
      <c r="J585">
        <v>1870679.81</v>
      </c>
      <c r="K585" t="s">
        <v>46</v>
      </c>
      <c r="L585" t="s">
        <v>38</v>
      </c>
      <c r="M585" s="7">
        <v>45741</v>
      </c>
      <c r="N585" s="7">
        <v>45750</v>
      </c>
      <c r="O585" s="8">
        <v>9</v>
      </c>
      <c r="P585" t="str">
        <f t="shared" si="9"/>
        <v>Delayed</v>
      </c>
    </row>
    <row r="586" spans="1:16" x14ac:dyDescent="0.3">
      <c r="A586" t="s">
        <v>156</v>
      </c>
      <c r="B586" s="6" t="s">
        <v>246</v>
      </c>
      <c r="C586" t="s">
        <v>80</v>
      </c>
      <c r="D586" t="s">
        <v>29</v>
      </c>
      <c r="E586" t="s">
        <v>30</v>
      </c>
      <c r="F586">
        <v>34</v>
      </c>
      <c r="G586">
        <v>80091</v>
      </c>
      <c r="H586">
        <v>5</v>
      </c>
      <c r="I586">
        <v>18</v>
      </c>
      <c r="J586">
        <v>3052588.37</v>
      </c>
      <c r="K586" t="s">
        <v>21</v>
      </c>
      <c r="L586" t="s">
        <v>26</v>
      </c>
      <c r="M586" s="7">
        <v>45819</v>
      </c>
      <c r="N586" s="7">
        <v>45830</v>
      </c>
      <c r="O586" s="8">
        <v>11</v>
      </c>
      <c r="P586" t="str">
        <f t="shared" si="9"/>
        <v>Delayed</v>
      </c>
    </row>
    <row r="587" spans="1:16" x14ac:dyDescent="0.3">
      <c r="A587" t="s">
        <v>215</v>
      </c>
      <c r="B587" s="6" t="s">
        <v>245</v>
      </c>
      <c r="C587" t="s">
        <v>18</v>
      </c>
      <c r="D587" t="s">
        <v>48</v>
      </c>
      <c r="E587" t="s">
        <v>59</v>
      </c>
      <c r="F587">
        <v>12</v>
      </c>
      <c r="G587">
        <v>78068</v>
      </c>
      <c r="H587">
        <v>0</v>
      </c>
      <c r="I587">
        <v>18</v>
      </c>
      <c r="J587">
        <v>1105442.8799999999</v>
      </c>
      <c r="K587" t="s">
        <v>46</v>
      </c>
      <c r="L587" t="s">
        <v>16</v>
      </c>
      <c r="M587" s="7">
        <v>45805</v>
      </c>
      <c r="N587" s="7">
        <v>45813</v>
      </c>
      <c r="O587" s="8">
        <v>8</v>
      </c>
      <c r="P587" t="str">
        <f t="shared" si="9"/>
        <v>Delayed</v>
      </c>
    </row>
    <row r="588" spans="1:16" x14ac:dyDescent="0.3">
      <c r="A588" t="s">
        <v>137</v>
      </c>
      <c r="B588" s="6" t="s">
        <v>238</v>
      </c>
      <c r="C588" t="s">
        <v>58</v>
      </c>
      <c r="D588" t="s">
        <v>19</v>
      </c>
      <c r="E588" t="s">
        <v>20</v>
      </c>
      <c r="F588">
        <v>12</v>
      </c>
      <c r="G588">
        <v>75532</v>
      </c>
      <c r="H588">
        <v>12</v>
      </c>
      <c r="I588">
        <v>18</v>
      </c>
      <c r="J588">
        <v>941189.15</v>
      </c>
      <c r="K588" t="s">
        <v>15</v>
      </c>
      <c r="L588" t="s">
        <v>33</v>
      </c>
      <c r="M588" s="7">
        <v>45668</v>
      </c>
      <c r="N588" s="7">
        <v>45669</v>
      </c>
      <c r="O588" s="8">
        <v>1</v>
      </c>
      <c r="P588" t="str">
        <f t="shared" si="9"/>
        <v>On Delivery</v>
      </c>
    </row>
    <row r="589" spans="1:16" x14ac:dyDescent="0.3">
      <c r="A589" t="s">
        <v>160</v>
      </c>
      <c r="B589" s="6" t="s">
        <v>244</v>
      </c>
      <c r="C589" t="s">
        <v>70</v>
      </c>
      <c r="D589" t="s">
        <v>13</v>
      </c>
      <c r="E589" t="s">
        <v>32</v>
      </c>
      <c r="F589">
        <v>2</v>
      </c>
      <c r="G589">
        <v>32646</v>
      </c>
      <c r="H589">
        <v>5</v>
      </c>
      <c r="I589">
        <v>28</v>
      </c>
      <c r="J589">
        <v>79395.070000000007</v>
      </c>
      <c r="K589" t="s">
        <v>15</v>
      </c>
      <c r="L589" t="s">
        <v>26</v>
      </c>
      <c r="M589" s="7">
        <v>45732</v>
      </c>
      <c r="N589" s="7">
        <v>45736</v>
      </c>
      <c r="O589" s="8">
        <v>4</v>
      </c>
      <c r="P589" t="str">
        <f t="shared" si="9"/>
        <v>Delayed</v>
      </c>
    </row>
    <row r="590" spans="1:16" x14ac:dyDescent="0.3">
      <c r="A590" t="s">
        <v>101</v>
      </c>
      <c r="B590" s="6" t="s">
        <v>240</v>
      </c>
      <c r="C590" t="s">
        <v>28</v>
      </c>
      <c r="D590" t="s">
        <v>13</v>
      </c>
      <c r="E590" t="s">
        <v>32</v>
      </c>
      <c r="F590">
        <v>13</v>
      </c>
      <c r="G590">
        <v>11233</v>
      </c>
      <c r="H590">
        <v>0</v>
      </c>
      <c r="I590">
        <v>18</v>
      </c>
      <c r="J590">
        <v>172314.22</v>
      </c>
      <c r="K590" t="s">
        <v>37</v>
      </c>
      <c r="L590" t="s">
        <v>16</v>
      </c>
      <c r="M590" s="7">
        <v>45726</v>
      </c>
      <c r="N590" s="7">
        <v>45740</v>
      </c>
      <c r="O590" s="8">
        <v>14</v>
      </c>
      <c r="P590" t="str">
        <f t="shared" si="9"/>
        <v>Delayed</v>
      </c>
    </row>
    <row r="591" spans="1:16" x14ac:dyDescent="0.3">
      <c r="A591" t="s">
        <v>152</v>
      </c>
      <c r="B591" s="6" t="s">
        <v>238</v>
      </c>
      <c r="C591" t="s">
        <v>58</v>
      </c>
      <c r="D591" t="s">
        <v>29</v>
      </c>
      <c r="E591" t="s">
        <v>30</v>
      </c>
      <c r="F591">
        <v>9</v>
      </c>
      <c r="G591">
        <v>80312</v>
      </c>
      <c r="H591">
        <v>12</v>
      </c>
      <c r="I591">
        <v>18</v>
      </c>
      <c r="J591">
        <v>750563.83</v>
      </c>
      <c r="K591" t="s">
        <v>37</v>
      </c>
      <c r="L591" t="s">
        <v>38</v>
      </c>
      <c r="M591" s="7">
        <v>45777</v>
      </c>
      <c r="N591" s="7">
        <v>45780</v>
      </c>
      <c r="O591" s="8">
        <v>3</v>
      </c>
      <c r="P591" t="str">
        <f t="shared" si="9"/>
        <v>On Delivery</v>
      </c>
    </row>
    <row r="592" spans="1:16" x14ac:dyDescent="0.3">
      <c r="A592" t="s">
        <v>219</v>
      </c>
      <c r="B592" s="6" t="s">
        <v>240</v>
      </c>
      <c r="C592" t="s">
        <v>28</v>
      </c>
      <c r="D592" t="s">
        <v>29</v>
      </c>
      <c r="E592" t="s">
        <v>30</v>
      </c>
      <c r="F592">
        <v>13</v>
      </c>
      <c r="G592">
        <v>71212</v>
      </c>
      <c r="H592">
        <v>10</v>
      </c>
      <c r="I592">
        <v>28</v>
      </c>
      <c r="J592">
        <v>1066470.9099999999</v>
      </c>
      <c r="K592" t="s">
        <v>37</v>
      </c>
      <c r="L592" t="s">
        <v>26</v>
      </c>
      <c r="M592" s="7">
        <v>45681</v>
      </c>
      <c r="N592" s="7">
        <v>45690</v>
      </c>
      <c r="O592" s="8">
        <v>9</v>
      </c>
      <c r="P592" t="str">
        <f t="shared" si="9"/>
        <v>Delayed</v>
      </c>
    </row>
    <row r="593" spans="1:16" x14ac:dyDescent="0.3">
      <c r="A593" t="s">
        <v>73</v>
      </c>
      <c r="B593" s="6" t="s">
        <v>238</v>
      </c>
      <c r="C593" t="s">
        <v>58</v>
      </c>
      <c r="D593" t="s">
        <v>35</v>
      </c>
      <c r="E593" t="s">
        <v>77</v>
      </c>
      <c r="F593">
        <v>22</v>
      </c>
      <c r="G593">
        <v>2352</v>
      </c>
      <c r="H593">
        <v>0</v>
      </c>
      <c r="I593">
        <v>18</v>
      </c>
      <c r="J593">
        <v>61057.919999999998</v>
      </c>
      <c r="K593" t="s">
        <v>15</v>
      </c>
      <c r="L593" t="s">
        <v>33</v>
      </c>
      <c r="M593" s="7">
        <v>45710</v>
      </c>
      <c r="N593" s="7">
        <v>45718</v>
      </c>
      <c r="O593" s="8">
        <v>8</v>
      </c>
      <c r="P593" t="str">
        <f t="shared" si="9"/>
        <v>Delayed</v>
      </c>
    </row>
    <row r="594" spans="1:16" x14ac:dyDescent="0.3">
      <c r="A594" t="s">
        <v>188</v>
      </c>
      <c r="B594" s="6" t="s">
        <v>238</v>
      </c>
      <c r="C594" t="s">
        <v>58</v>
      </c>
      <c r="D594" t="s">
        <v>35</v>
      </c>
      <c r="E594" t="s">
        <v>56</v>
      </c>
      <c r="F594">
        <v>35</v>
      </c>
      <c r="G594">
        <v>35368</v>
      </c>
      <c r="H594">
        <v>0</v>
      </c>
      <c r="I594">
        <v>12</v>
      </c>
      <c r="J594">
        <v>1386425.6</v>
      </c>
      <c r="K594" t="s">
        <v>15</v>
      </c>
      <c r="L594" t="s">
        <v>38</v>
      </c>
      <c r="M594" s="7">
        <v>45826</v>
      </c>
      <c r="N594" s="7">
        <v>45828</v>
      </c>
      <c r="O594" s="8">
        <v>2</v>
      </c>
      <c r="P594" t="str">
        <f t="shared" si="9"/>
        <v>On Delivery</v>
      </c>
    </row>
    <row r="595" spans="1:16" x14ac:dyDescent="0.3">
      <c r="A595" t="s">
        <v>84</v>
      </c>
      <c r="B595" s="6" t="s">
        <v>241</v>
      </c>
      <c r="C595" t="s">
        <v>42</v>
      </c>
      <c r="D595" t="s">
        <v>35</v>
      </c>
      <c r="E595" t="s">
        <v>77</v>
      </c>
      <c r="F595">
        <v>40</v>
      </c>
      <c r="G595">
        <v>77289</v>
      </c>
      <c r="H595">
        <v>10</v>
      </c>
      <c r="I595">
        <v>18</v>
      </c>
      <c r="J595">
        <v>3283236.72</v>
      </c>
      <c r="K595" t="s">
        <v>21</v>
      </c>
      <c r="L595" t="s">
        <v>38</v>
      </c>
      <c r="M595" s="7">
        <v>45779</v>
      </c>
      <c r="N595" s="7">
        <v>45789</v>
      </c>
      <c r="O595" s="8">
        <v>10</v>
      </c>
      <c r="P595" t="str">
        <f t="shared" si="9"/>
        <v>Delayed</v>
      </c>
    </row>
    <row r="596" spans="1:16" x14ac:dyDescent="0.3">
      <c r="A596" t="s">
        <v>220</v>
      </c>
      <c r="B596" s="6" t="s">
        <v>238</v>
      </c>
      <c r="C596" t="s">
        <v>58</v>
      </c>
      <c r="D596" t="s">
        <v>35</v>
      </c>
      <c r="E596" t="s">
        <v>56</v>
      </c>
      <c r="F596">
        <v>30</v>
      </c>
      <c r="G596">
        <v>4476</v>
      </c>
      <c r="H596">
        <v>12</v>
      </c>
      <c r="I596">
        <v>18</v>
      </c>
      <c r="J596">
        <v>139436.35</v>
      </c>
      <c r="K596" t="s">
        <v>15</v>
      </c>
      <c r="L596" t="s">
        <v>38</v>
      </c>
      <c r="M596" s="7">
        <v>45752</v>
      </c>
      <c r="N596" s="7">
        <v>45761</v>
      </c>
      <c r="O596" s="8">
        <v>9</v>
      </c>
      <c r="P596" t="str">
        <f t="shared" si="9"/>
        <v>Delayed</v>
      </c>
    </row>
    <row r="597" spans="1:16" x14ac:dyDescent="0.3">
      <c r="A597" t="s">
        <v>216</v>
      </c>
      <c r="B597" s="6" t="s">
        <v>242</v>
      </c>
      <c r="C597" t="s">
        <v>12</v>
      </c>
      <c r="D597" t="s">
        <v>29</v>
      </c>
      <c r="E597" t="s">
        <v>30</v>
      </c>
      <c r="F597">
        <v>27</v>
      </c>
      <c r="G597">
        <v>36586</v>
      </c>
      <c r="H597">
        <v>10</v>
      </c>
      <c r="I597">
        <v>12</v>
      </c>
      <c r="J597">
        <v>995724.58</v>
      </c>
      <c r="K597" t="s">
        <v>21</v>
      </c>
      <c r="L597" t="s">
        <v>33</v>
      </c>
      <c r="M597" s="7">
        <v>45826</v>
      </c>
      <c r="N597" s="7">
        <v>45827</v>
      </c>
      <c r="O597" s="8">
        <v>1</v>
      </c>
      <c r="P597" t="str">
        <f t="shared" si="9"/>
        <v>On Delivery</v>
      </c>
    </row>
    <row r="598" spans="1:16" x14ac:dyDescent="0.3">
      <c r="A598" t="s">
        <v>142</v>
      </c>
      <c r="B598" s="6" t="s">
        <v>239</v>
      </c>
      <c r="C598" t="s">
        <v>23</v>
      </c>
      <c r="D598" t="s">
        <v>48</v>
      </c>
      <c r="E598" t="s">
        <v>59</v>
      </c>
      <c r="F598">
        <v>13</v>
      </c>
      <c r="G598">
        <v>47235</v>
      </c>
      <c r="H598">
        <v>5</v>
      </c>
      <c r="I598">
        <v>18</v>
      </c>
      <c r="J598">
        <v>688355.65</v>
      </c>
      <c r="K598" t="s">
        <v>21</v>
      </c>
      <c r="L598" t="s">
        <v>38</v>
      </c>
      <c r="M598" s="7">
        <v>45755</v>
      </c>
      <c r="N598" s="7">
        <v>45764</v>
      </c>
      <c r="O598" s="8">
        <v>9</v>
      </c>
      <c r="P598" t="str">
        <f t="shared" si="9"/>
        <v>Delayed</v>
      </c>
    </row>
    <row r="599" spans="1:16" x14ac:dyDescent="0.3">
      <c r="A599" t="s">
        <v>116</v>
      </c>
      <c r="B599" s="6" t="s">
        <v>245</v>
      </c>
      <c r="C599" t="s">
        <v>18</v>
      </c>
      <c r="D599" t="s">
        <v>48</v>
      </c>
      <c r="E599" t="s">
        <v>49</v>
      </c>
      <c r="F599">
        <v>31</v>
      </c>
      <c r="G599">
        <v>15590</v>
      </c>
      <c r="H599">
        <v>5</v>
      </c>
      <c r="I599">
        <v>18</v>
      </c>
      <c r="J599">
        <v>541768.09</v>
      </c>
      <c r="K599" t="s">
        <v>37</v>
      </c>
      <c r="L599" t="s">
        <v>33</v>
      </c>
      <c r="M599" s="7">
        <v>45789</v>
      </c>
      <c r="N599" s="7">
        <v>45791</v>
      </c>
      <c r="O599" s="8">
        <v>2</v>
      </c>
      <c r="P599" t="str">
        <f t="shared" si="9"/>
        <v>On Delivery</v>
      </c>
    </row>
    <row r="600" spans="1:16" x14ac:dyDescent="0.3">
      <c r="A600" t="s">
        <v>113</v>
      </c>
      <c r="B600" s="6" t="s">
        <v>246</v>
      </c>
      <c r="C600" t="s">
        <v>80</v>
      </c>
      <c r="D600" t="s">
        <v>24</v>
      </c>
      <c r="E600" t="s">
        <v>25</v>
      </c>
      <c r="F600">
        <v>22</v>
      </c>
      <c r="G600">
        <v>70251</v>
      </c>
      <c r="H600">
        <v>0</v>
      </c>
      <c r="I600">
        <v>28</v>
      </c>
      <c r="J600">
        <v>1978268.16</v>
      </c>
      <c r="K600" t="s">
        <v>37</v>
      </c>
      <c r="L600" t="s">
        <v>26</v>
      </c>
      <c r="M600" s="7">
        <v>45666</v>
      </c>
      <c r="N600" s="7">
        <v>45672</v>
      </c>
      <c r="O600" s="8">
        <v>6</v>
      </c>
      <c r="P600" t="str">
        <f t="shared" si="9"/>
        <v>Delayed</v>
      </c>
    </row>
    <row r="601" spans="1:16" x14ac:dyDescent="0.3">
      <c r="A601" t="s">
        <v>87</v>
      </c>
      <c r="B601" s="6" t="s">
        <v>239</v>
      </c>
      <c r="C601" t="s">
        <v>23</v>
      </c>
      <c r="D601" t="s">
        <v>62</v>
      </c>
      <c r="E601" t="s">
        <v>63</v>
      </c>
      <c r="F601">
        <v>4</v>
      </c>
      <c r="G601">
        <v>66888</v>
      </c>
      <c r="H601">
        <v>5</v>
      </c>
      <c r="I601">
        <v>28</v>
      </c>
      <c r="J601">
        <v>325343.23</v>
      </c>
      <c r="K601" t="s">
        <v>15</v>
      </c>
      <c r="L601" t="s">
        <v>16</v>
      </c>
      <c r="M601" s="7">
        <v>45805</v>
      </c>
      <c r="N601" s="7">
        <v>45805</v>
      </c>
      <c r="O601" s="8">
        <v>0</v>
      </c>
      <c r="P601" t="str">
        <f t="shared" si="9"/>
        <v>Delivered</v>
      </c>
    </row>
    <row r="602" spans="1:16" x14ac:dyDescent="0.3">
      <c r="A602" t="s">
        <v>140</v>
      </c>
      <c r="B602" s="6" t="s">
        <v>244</v>
      </c>
      <c r="C602" t="s">
        <v>70</v>
      </c>
      <c r="D602" t="s">
        <v>13</v>
      </c>
      <c r="E602" t="s">
        <v>14</v>
      </c>
      <c r="F602">
        <v>38</v>
      </c>
      <c r="G602">
        <v>2936</v>
      </c>
      <c r="H602">
        <v>5</v>
      </c>
      <c r="I602">
        <v>28</v>
      </c>
      <c r="J602">
        <v>135666.69</v>
      </c>
      <c r="K602" t="s">
        <v>21</v>
      </c>
      <c r="L602" t="s">
        <v>26</v>
      </c>
      <c r="M602" s="7">
        <v>45783</v>
      </c>
      <c r="N602" s="7">
        <v>45789</v>
      </c>
      <c r="O602" s="8">
        <v>6</v>
      </c>
      <c r="P602" t="str">
        <f t="shared" si="9"/>
        <v>Delayed</v>
      </c>
    </row>
    <row r="603" spans="1:16" x14ac:dyDescent="0.3">
      <c r="A603" t="s">
        <v>167</v>
      </c>
      <c r="B603" s="6" t="s">
        <v>241</v>
      </c>
      <c r="C603" t="s">
        <v>42</v>
      </c>
      <c r="D603" t="s">
        <v>35</v>
      </c>
      <c r="E603" t="s">
        <v>56</v>
      </c>
      <c r="F603">
        <v>38</v>
      </c>
      <c r="G603">
        <v>33003</v>
      </c>
      <c r="H603">
        <v>0</v>
      </c>
      <c r="I603">
        <v>12</v>
      </c>
      <c r="J603">
        <v>1404607.68</v>
      </c>
      <c r="K603" t="s">
        <v>15</v>
      </c>
      <c r="L603" t="s">
        <v>38</v>
      </c>
      <c r="M603" s="7">
        <v>45826</v>
      </c>
      <c r="N603" s="7">
        <v>45836</v>
      </c>
      <c r="O603" s="8">
        <v>10</v>
      </c>
      <c r="P603" t="str">
        <f t="shared" si="9"/>
        <v>Delayed</v>
      </c>
    </row>
    <row r="604" spans="1:16" x14ac:dyDescent="0.3">
      <c r="A604" t="s">
        <v>150</v>
      </c>
      <c r="B604" s="6" t="s">
        <v>242</v>
      </c>
      <c r="C604" t="s">
        <v>12</v>
      </c>
      <c r="D604" t="s">
        <v>19</v>
      </c>
      <c r="E604" t="s">
        <v>20</v>
      </c>
      <c r="F604">
        <v>17</v>
      </c>
      <c r="G604">
        <v>24253</v>
      </c>
      <c r="H604">
        <v>5</v>
      </c>
      <c r="I604">
        <v>28</v>
      </c>
      <c r="J604">
        <v>501358.02</v>
      </c>
      <c r="K604" t="s">
        <v>15</v>
      </c>
      <c r="L604" t="s">
        <v>38</v>
      </c>
      <c r="M604" s="7">
        <v>45737</v>
      </c>
      <c r="N604" s="7">
        <v>45745</v>
      </c>
      <c r="O604" s="8">
        <v>8</v>
      </c>
      <c r="P604" t="str">
        <f t="shared" si="9"/>
        <v>Delayed</v>
      </c>
    </row>
    <row r="605" spans="1:16" x14ac:dyDescent="0.3">
      <c r="A605" t="s">
        <v>221</v>
      </c>
      <c r="B605" s="6" t="s">
        <v>240</v>
      </c>
      <c r="C605" t="s">
        <v>28</v>
      </c>
      <c r="D605" t="s">
        <v>35</v>
      </c>
      <c r="E605" t="s">
        <v>77</v>
      </c>
      <c r="F605">
        <v>20</v>
      </c>
      <c r="G605">
        <v>16264</v>
      </c>
      <c r="H605">
        <v>12</v>
      </c>
      <c r="I605">
        <v>28</v>
      </c>
      <c r="J605">
        <v>366395.39</v>
      </c>
      <c r="K605" t="s">
        <v>46</v>
      </c>
      <c r="L605" t="s">
        <v>33</v>
      </c>
      <c r="M605" s="7">
        <v>45796</v>
      </c>
      <c r="N605" s="7">
        <v>45809</v>
      </c>
      <c r="O605" s="8">
        <v>13</v>
      </c>
      <c r="P605" t="str">
        <f t="shared" si="9"/>
        <v>Delayed</v>
      </c>
    </row>
    <row r="606" spans="1:16" x14ac:dyDescent="0.3">
      <c r="A606" t="s">
        <v>166</v>
      </c>
      <c r="B606" s="6" t="s">
        <v>244</v>
      </c>
      <c r="C606" t="s">
        <v>70</v>
      </c>
      <c r="D606" t="s">
        <v>62</v>
      </c>
      <c r="E606" t="s">
        <v>63</v>
      </c>
      <c r="F606">
        <v>3</v>
      </c>
      <c r="G606">
        <v>41164</v>
      </c>
      <c r="H606">
        <v>10</v>
      </c>
      <c r="I606">
        <v>12</v>
      </c>
      <c r="J606">
        <v>124479.94</v>
      </c>
      <c r="K606" t="s">
        <v>15</v>
      </c>
      <c r="L606" t="s">
        <v>38</v>
      </c>
      <c r="M606" s="7">
        <v>45757</v>
      </c>
      <c r="N606" s="7">
        <v>45764</v>
      </c>
      <c r="O606" s="8">
        <v>7</v>
      </c>
      <c r="P606" t="str">
        <f t="shared" si="9"/>
        <v>Delayed</v>
      </c>
    </row>
    <row r="607" spans="1:16" x14ac:dyDescent="0.3">
      <c r="A607" t="s">
        <v>209</v>
      </c>
      <c r="B607" s="6" t="s">
        <v>244</v>
      </c>
      <c r="C607" t="s">
        <v>70</v>
      </c>
      <c r="D607" t="s">
        <v>62</v>
      </c>
      <c r="E607" t="s">
        <v>63</v>
      </c>
      <c r="F607">
        <v>40</v>
      </c>
      <c r="G607">
        <v>18709</v>
      </c>
      <c r="H607">
        <v>5</v>
      </c>
      <c r="I607">
        <v>28</v>
      </c>
      <c r="J607">
        <v>910005.76000000001</v>
      </c>
      <c r="K607" t="s">
        <v>46</v>
      </c>
      <c r="L607" t="s">
        <v>26</v>
      </c>
      <c r="M607" s="7">
        <v>45825</v>
      </c>
      <c r="N607" s="7">
        <v>45836</v>
      </c>
      <c r="O607" s="8">
        <v>11</v>
      </c>
      <c r="P607" t="str">
        <f t="shared" si="9"/>
        <v>Delayed</v>
      </c>
    </row>
    <row r="608" spans="1:16" x14ac:dyDescent="0.3">
      <c r="A608" t="s">
        <v>169</v>
      </c>
      <c r="B608" s="6" t="s">
        <v>245</v>
      </c>
      <c r="C608" t="s">
        <v>18</v>
      </c>
      <c r="D608" t="s">
        <v>19</v>
      </c>
      <c r="E608" t="s">
        <v>20</v>
      </c>
      <c r="F608">
        <v>4</v>
      </c>
      <c r="G608">
        <v>77871</v>
      </c>
      <c r="H608">
        <v>5</v>
      </c>
      <c r="I608">
        <v>28</v>
      </c>
      <c r="J608">
        <v>378764.54</v>
      </c>
      <c r="K608" t="s">
        <v>37</v>
      </c>
      <c r="L608" t="s">
        <v>16</v>
      </c>
      <c r="M608" s="7">
        <v>45691</v>
      </c>
      <c r="N608" s="7">
        <v>45706</v>
      </c>
      <c r="O608" s="8">
        <v>15</v>
      </c>
      <c r="P608" t="str">
        <f t="shared" si="9"/>
        <v>Delayed</v>
      </c>
    </row>
    <row r="609" spans="1:16" x14ac:dyDescent="0.3">
      <c r="A609" t="s">
        <v>199</v>
      </c>
      <c r="B609" s="6" t="s">
        <v>246</v>
      </c>
      <c r="C609" t="s">
        <v>80</v>
      </c>
      <c r="D609" t="s">
        <v>29</v>
      </c>
      <c r="E609" t="s">
        <v>30</v>
      </c>
      <c r="F609">
        <v>35</v>
      </c>
      <c r="G609">
        <v>66164</v>
      </c>
      <c r="H609">
        <v>5</v>
      </c>
      <c r="I609">
        <v>12</v>
      </c>
      <c r="J609">
        <v>2463947.36</v>
      </c>
      <c r="K609" t="s">
        <v>21</v>
      </c>
      <c r="L609" t="s">
        <v>33</v>
      </c>
      <c r="M609" s="7">
        <v>45834</v>
      </c>
      <c r="N609" s="7">
        <v>45835</v>
      </c>
      <c r="O609" s="8">
        <v>1</v>
      </c>
      <c r="P609" t="str">
        <f t="shared" si="9"/>
        <v>On Delivery</v>
      </c>
    </row>
    <row r="610" spans="1:16" x14ac:dyDescent="0.3">
      <c r="A610" t="s">
        <v>183</v>
      </c>
      <c r="B610" s="6" t="s">
        <v>239</v>
      </c>
      <c r="C610" t="s">
        <v>23</v>
      </c>
      <c r="D610" t="s">
        <v>35</v>
      </c>
      <c r="E610" t="s">
        <v>56</v>
      </c>
      <c r="F610">
        <v>27</v>
      </c>
      <c r="G610">
        <v>77602</v>
      </c>
      <c r="H610">
        <v>0</v>
      </c>
      <c r="I610">
        <v>18</v>
      </c>
      <c r="J610">
        <v>2472399.7200000002</v>
      </c>
      <c r="K610" t="s">
        <v>46</v>
      </c>
      <c r="L610" t="s">
        <v>16</v>
      </c>
      <c r="M610" s="7">
        <v>45739</v>
      </c>
      <c r="N610" s="7">
        <v>45750</v>
      </c>
      <c r="O610" s="8">
        <v>11</v>
      </c>
      <c r="P610" t="str">
        <f t="shared" si="9"/>
        <v>Delayed</v>
      </c>
    </row>
    <row r="611" spans="1:16" x14ac:dyDescent="0.3">
      <c r="A611" t="s">
        <v>201</v>
      </c>
      <c r="B611" s="6" t="s">
        <v>241</v>
      </c>
      <c r="C611" t="s">
        <v>42</v>
      </c>
      <c r="D611" t="s">
        <v>48</v>
      </c>
      <c r="E611" t="s">
        <v>59</v>
      </c>
      <c r="F611">
        <v>33</v>
      </c>
      <c r="G611">
        <v>77290</v>
      </c>
      <c r="H611">
        <v>5</v>
      </c>
      <c r="I611">
        <v>28</v>
      </c>
      <c r="J611">
        <v>3101493.12</v>
      </c>
      <c r="K611" t="s">
        <v>21</v>
      </c>
      <c r="L611" t="s">
        <v>26</v>
      </c>
      <c r="M611" s="7">
        <v>45728</v>
      </c>
      <c r="N611" s="7">
        <v>45736</v>
      </c>
      <c r="O611" s="8">
        <v>8</v>
      </c>
      <c r="P611" t="str">
        <f t="shared" si="9"/>
        <v>Delayed</v>
      </c>
    </row>
    <row r="612" spans="1:16" x14ac:dyDescent="0.3">
      <c r="A612" t="s">
        <v>147</v>
      </c>
      <c r="B612" s="6" t="s">
        <v>240</v>
      </c>
      <c r="C612" t="s">
        <v>28</v>
      </c>
      <c r="D612" t="s">
        <v>24</v>
      </c>
      <c r="E612" t="s">
        <v>25</v>
      </c>
      <c r="F612">
        <v>32</v>
      </c>
      <c r="G612">
        <v>4962</v>
      </c>
      <c r="H612">
        <v>5</v>
      </c>
      <c r="I612">
        <v>28</v>
      </c>
      <c r="J612">
        <v>193081.34</v>
      </c>
      <c r="K612" t="s">
        <v>46</v>
      </c>
      <c r="L612" t="s">
        <v>26</v>
      </c>
      <c r="M612" s="7">
        <v>45698</v>
      </c>
      <c r="N612" s="7">
        <v>45710</v>
      </c>
      <c r="O612" s="8">
        <v>12</v>
      </c>
      <c r="P612" t="str">
        <f t="shared" si="9"/>
        <v>Delayed</v>
      </c>
    </row>
    <row r="613" spans="1:16" x14ac:dyDescent="0.3">
      <c r="A613" t="s">
        <v>222</v>
      </c>
      <c r="B613" s="6" t="s">
        <v>246</v>
      </c>
      <c r="C613" t="s">
        <v>80</v>
      </c>
      <c r="D613" t="s">
        <v>35</v>
      </c>
      <c r="E613" t="s">
        <v>36</v>
      </c>
      <c r="F613">
        <v>15</v>
      </c>
      <c r="G613">
        <v>13953</v>
      </c>
      <c r="H613">
        <v>12</v>
      </c>
      <c r="I613">
        <v>18</v>
      </c>
      <c r="J613">
        <v>217331.93</v>
      </c>
      <c r="K613" t="s">
        <v>21</v>
      </c>
      <c r="L613" t="s">
        <v>33</v>
      </c>
      <c r="M613" s="7">
        <v>45738</v>
      </c>
      <c r="N613" s="7">
        <v>45738</v>
      </c>
      <c r="O613" s="8">
        <v>0</v>
      </c>
      <c r="P613" t="str">
        <f t="shared" si="9"/>
        <v>Delivered</v>
      </c>
    </row>
    <row r="614" spans="1:16" x14ac:dyDescent="0.3">
      <c r="A614" t="s">
        <v>163</v>
      </c>
      <c r="B614" s="6" t="s">
        <v>240</v>
      </c>
      <c r="C614" t="s">
        <v>28</v>
      </c>
      <c r="D614" t="s">
        <v>35</v>
      </c>
      <c r="E614" t="s">
        <v>36</v>
      </c>
      <c r="F614">
        <v>24</v>
      </c>
      <c r="G614">
        <v>65701</v>
      </c>
      <c r="H614">
        <v>12</v>
      </c>
      <c r="I614">
        <v>12</v>
      </c>
      <c r="J614">
        <v>1554117.73</v>
      </c>
      <c r="K614" t="s">
        <v>21</v>
      </c>
      <c r="L614" t="s">
        <v>26</v>
      </c>
      <c r="M614" s="7">
        <v>45711</v>
      </c>
      <c r="N614" s="7">
        <v>45725</v>
      </c>
      <c r="O614" s="8">
        <v>14</v>
      </c>
      <c r="P614" t="str">
        <f t="shared" si="9"/>
        <v>Delayed</v>
      </c>
    </row>
    <row r="615" spans="1:16" x14ac:dyDescent="0.3">
      <c r="A615" t="s">
        <v>128</v>
      </c>
      <c r="B615" s="6" t="s">
        <v>242</v>
      </c>
      <c r="C615" t="s">
        <v>12</v>
      </c>
      <c r="D615" t="s">
        <v>62</v>
      </c>
      <c r="E615" t="s">
        <v>92</v>
      </c>
      <c r="F615">
        <v>16</v>
      </c>
      <c r="G615">
        <v>43447</v>
      </c>
      <c r="H615">
        <v>5</v>
      </c>
      <c r="I615">
        <v>28</v>
      </c>
      <c r="J615">
        <v>845304.83</v>
      </c>
      <c r="K615" t="s">
        <v>21</v>
      </c>
      <c r="L615" t="s">
        <v>38</v>
      </c>
      <c r="M615" s="7">
        <v>45786</v>
      </c>
      <c r="N615" s="7">
        <v>45787</v>
      </c>
      <c r="O615" s="8">
        <v>1</v>
      </c>
      <c r="P615" t="str">
        <f t="shared" si="9"/>
        <v>On Delivery</v>
      </c>
    </row>
    <row r="616" spans="1:16" x14ac:dyDescent="0.3">
      <c r="A616" t="s">
        <v>137</v>
      </c>
      <c r="B616" s="6" t="s">
        <v>243</v>
      </c>
      <c r="C616" t="s">
        <v>53</v>
      </c>
      <c r="D616" t="s">
        <v>35</v>
      </c>
      <c r="E616" t="s">
        <v>77</v>
      </c>
      <c r="F616">
        <v>19</v>
      </c>
      <c r="G616">
        <v>4020</v>
      </c>
      <c r="H616">
        <v>12</v>
      </c>
      <c r="I616">
        <v>12</v>
      </c>
      <c r="J616">
        <v>75280.13</v>
      </c>
      <c r="K616" t="s">
        <v>15</v>
      </c>
      <c r="L616" t="s">
        <v>26</v>
      </c>
      <c r="M616" s="7">
        <v>45668</v>
      </c>
      <c r="N616" s="7">
        <v>45672</v>
      </c>
      <c r="O616" s="8">
        <v>4</v>
      </c>
      <c r="P616" t="str">
        <f t="shared" si="9"/>
        <v>Delayed</v>
      </c>
    </row>
    <row r="617" spans="1:16" x14ac:dyDescent="0.3">
      <c r="A617" t="s">
        <v>123</v>
      </c>
      <c r="B617" s="6" t="s">
        <v>242</v>
      </c>
      <c r="C617" t="s">
        <v>12</v>
      </c>
      <c r="D617" t="s">
        <v>13</v>
      </c>
      <c r="E617" t="s">
        <v>14</v>
      </c>
      <c r="F617">
        <v>2</v>
      </c>
      <c r="G617">
        <v>11817</v>
      </c>
      <c r="H617">
        <v>10</v>
      </c>
      <c r="I617">
        <v>18</v>
      </c>
      <c r="J617">
        <v>25099.31</v>
      </c>
      <c r="K617" t="s">
        <v>21</v>
      </c>
      <c r="L617" t="s">
        <v>38</v>
      </c>
      <c r="M617" s="7">
        <v>45737</v>
      </c>
      <c r="N617" s="7">
        <v>45749</v>
      </c>
      <c r="O617" s="8">
        <v>12</v>
      </c>
      <c r="P617" t="str">
        <f t="shared" si="9"/>
        <v>Delayed</v>
      </c>
    </row>
    <row r="618" spans="1:16" x14ac:dyDescent="0.3">
      <c r="A618" t="s">
        <v>130</v>
      </c>
      <c r="B618" s="6" t="s">
        <v>238</v>
      </c>
      <c r="C618" t="s">
        <v>58</v>
      </c>
      <c r="D618" t="s">
        <v>48</v>
      </c>
      <c r="E618" t="s">
        <v>49</v>
      </c>
      <c r="F618">
        <v>11</v>
      </c>
      <c r="G618">
        <v>17199</v>
      </c>
      <c r="H618">
        <v>10</v>
      </c>
      <c r="I618">
        <v>28</v>
      </c>
      <c r="J618">
        <v>217945.73</v>
      </c>
      <c r="K618" t="s">
        <v>46</v>
      </c>
      <c r="L618" t="s">
        <v>38</v>
      </c>
      <c r="M618" s="7">
        <v>45833</v>
      </c>
      <c r="N618" s="7">
        <v>45844</v>
      </c>
      <c r="O618" s="8">
        <v>11</v>
      </c>
      <c r="P618" t="str">
        <f t="shared" si="9"/>
        <v>Delayed</v>
      </c>
    </row>
    <row r="619" spans="1:16" x14ac:dyDescent="0.3">
      <c r="A619" t="s">
        <v>47</v>
      </c>
      <c r="B619" s="6" t="s">
        <v>246</v>
      </c>
      <c r="C619" t="s">
        <v>80</v>
      </c>
      <c r="D619" t="s">
        <v>35</v>
      </c>
      <c r="E619" t="s">
        <v>36</v>
      </c>
      <c r="F619">
        <v>39</v>
      </c>
      <c r="G619">
        <v>20813</v>
      </c>
      <c r="H619">
        <v>0</v>
      </c>
      <c r="I619">
        <v>28</v>
      </c>
      <c r="J619">
        <v>1038984.96</v>
      </c>
      <c r="K619" t="s">
        <v>37</v>
      </c>
      <c r="L619" t="s">
        <v>16</v>
      </c>
      <c r="M619" s="7">
        <v>45791</v>
      </c>
      <c r="N619" s="7">
        <v>45799</v>
      </c>
      <c r="O619" s="8">
        <v>8</v>
      </c>
      <c r="P619" t="str">
        <f t="shared" si="9"/>
        <v>Delayed</v>
      </c>
    </row>
    <row r="620" spans="1:16" x14ac:dyDescent="0.3">
      <c r="A620" t="s">
        <v>213</v>
      </c>
      <c r="B620" s="6" t="s">
        <v>245</v>
      </c>
      <c r="C620" t="s">
        <v>18</v>
      </c>
      <c r="D620" t="s">
        <v>48</v>
      </c>
      <c r="E620" t="s">
        <v>59</v>
      </c>
      <c r="F620">
        <v>5</v>
      </c>
      <c r="G620">
        <v>3971</v>
      </c>
      <c r="H620">
        <v>5</v>
      </c>
      <c r="I620">
        <v>12</v>
      </c>
      <c r="J620">
        <v>21125.72</v>
      </c>
      <c r="K620" t="s">
        <v>37</v>
      </c>
      <c r="L620" t="s">
        <v>33</v>
      </c>
      <c r="M620" s="7">
        <v>45812</v>
      </c>
      <c r="N620" s="7">
        <v>45819</v>
      </c>
      <c r="O620" s="8">
        <v>7</v>
      </c>
      <c r="P620" t="str">
        <f t="shared" si="9"/>
        <v>Delayed</v>
      </c>
    </row>
    <row r="621" spans="1:16" x14ac:dyDescent="0.3">
      <c r="A621" t="s">
        <v>195</v>
      </c>
      <c r="B621" s="6" t="s">
        <v>244</v>
      </c>
      <c r="C621" t="s">
        <v>70</v>
      </c>
      <c r="D621" t="s">
        <v>24</v>
      </c>
      <c r="E621" t="s">
        <v>25</v>
      </c>
      <c r="F621">
        <v>23</v>
      </c>
      <c r="G621">
        <v>38409</v>
      </c>
      <c r="H621">
        <v>12</v>
      </c>
      <c r="I621">
        <v>12</v>
      </c>
      <c r="J621">
        <v>870685.94</v>
      </c>
      <c r="K621" t="s">
        <v>21</v>
      </c>
      <c r="L621" t="s">
        <v>16</v>
      </c>
      <c r="M621" s="7">
        <v>45791</v>
      </c>
      <c r="N621" s="7">
        <v>45798</v>
      </c>
      <c r="O621" s="8">
        <v>7</v>
      </c>
      <c r="P621" t="str">
        <f t="shared" si="9"/>
        <v>Delayed</v>
      </c>
    </row>
    <row r="622" spans="1:16" x14ac:dyDescent="0.3">
      <c r="A622" t="s">
        <v>211</v>
      </c>
      <c r="B622" s="6" t="s">
        <v>242</v>
      </c>
      <c r="C622" t="s">
        <v>12</v>
      </c>
      <c r="D622" t="s">
        <v>62</v>
      </c>
      <c r="E622" t="s">
        <v>63</v>
      </c>
      <c r="F622">
        <v>38</v>
      </c>
      <c r="G622">
        <v>44845</v>
      </c>
      <c r="H622">
        <v>10</v>
      </c>
      <c r="I622">
        <v>18</v>
      </c>
      <c r="J622">
        <v>1809764.82</v>
      </c>
      <c r="K622" t="s">
        <v>37</v>
      </c>
      <c r="L622" t="s">
        <v>38</v>
      </c>
      <c r="M622" s="7">
        <v>45762</v>
      </c>
      <c r="N622" s="7">
        <v>45770</v>
      </c>
      <c r="O622" s="8">
        <v>8</v>
      </c>
      <c r="P622" t="str">
        <f t="shared" si="9"/>
        <v>Delayed</v>
      </c>
    </row>
    <row r="623" spans="1:16" x14ac:dyDescent="0.3">
      <c r="A623" t="s">
        <v>195</v>
      </c>
      <c r="B623" s="6" t="s">
        <v>246</v>
      </c>
      <c r="C623" t="s">
        <v>80</v>
      </c>
      <c r="D623" t="s">
        <v>13</v>
      </c>
      <c r="E623" t="s">
        <v>32</v>
      </c>
      <c r="F623">
        <v>22</v>
      </c>
      <c r="G623">
        <v>15210</v>
      </c>
      <c r="H623">
        <v>12</v>
      </c>
      <c r="I623">
        <v>18</v>
      </c>
      <c r="J623">
        <v>347469.41</v>
      </c>
      <c r="K623" t="s">
        <v>15</v>
      </c>
      <c r="L623" t="s">
        <v>33</v>
      </c>
      <c r="M623" s="7">
        <v>45788</v>
      </c>
      <c r="N623" s="7">
        <v>45802</v>
      </c>
      <c r="O623" s="8">
        <v>14</v>
      </c>
      <c r="P623" t="str">
        <f t="shared" si="9"/>
        <v>Delayed</v>
      </c>
    </row>
    <row r="624" spans="1:16" x14ac:dyDescent="0.3">
      <c r="A624" t="s">
        <v>132</v>
      </c>
      <c r="B624" s="6" t="s">
        <v>238</v>
      </c>
      <c r="C624" t="s">
        <v>58</v>
      </c>
      <c r="D624" t="s">
        <v>35</v>
      </c>
      <c r="E624" t="s">
        <v>36</v>
      </c>
      <c r="F624">
        <v>20</v>
      </c>
      <c r="G624">
        <v>80954</v>
      </c>
      <c r="H624">
        <v>12</v>
      </c>
      <c r="I624">
        <v>18</v>
      </c>
      <c r="J624">
        <v>1681252.67</v>
      </c>
      <c r="K624" t="s">
        <v>15</v>
      </c>
      <c r="L624" t="s">
        <v>26</v>
      </c>
      <c r="M624" s="7">
        <v>45671</v>
      </c>
      <c r="N624" s="7">
        <v>45674</v>
      </c>
      <c r="O624" s="8">
        <v>3</v>
      </c>
      <c r="P624" t="str">
        <f t="shared" si="9"/>
        <v>On Delivery</v>
      </c>
    </row>
    <row r="625" spans="1:16" x14ac:dyDescent="0.3">
      <c r="A625" t="s">
        <v>154</v>
      </c>
      <c r="B625" s="6" t="s">
        <v>242</v>
      </c>
      <c r="C625" t="s">
        <v>12</v>
      </c>
      <c r="D625" t="s">
        <v>24</v>
      </c>
      <c r="E625" t="s">
        <v>76</v>
      </c>
      <c r="F625">
        <v>16</v>
      </c>
      <c r="G625">
        <v>20028</v>
      </c>
      <c r="H625">
        <v>12</v>
      </c>
      <c r="I625">
        <v>18</v>
      </c>
      <c r="J625">
        <v>332753.2</v>
      </c>
      <c r="K625" t="s">
        <v>21</v>
      </c>
      <c r="L625" t="s">
        <v>33</v>
      </c>
      <c r="M625" s="7">
        <v>45830</v>
      </c>
      <c r="N625" s="7">
        <v>45845</v>
      </c>
      <c r="O625" s="8">
        <v>15</v>
      </c>
      <c r="P625" t="str">
        <f t="shared" si="9"/>
        <v>Delayed</v>
      </c>
    </row>
    <row r="626" spans="1:16" x14ac:dyDescent="0.3">
      <c r="A626" t="s">
        <v>199</v>
      </c>
      <c r="B626" s="6" t="s">
        <v>239</v>
      </c>
      <c r="C626" t="s">
        <v>23</v>
      </c>
      <c r="D626" t="s">
        <v>48</v>
      </c>
      <c r="E626" t="s">
        <v>49</v>
      </c>
      <c r="F626">
        <v>22</v>
      </c>
      <c r="G626">
        <v>49788</v>
      </c>
      <c r="H626">
        <v>12</v>
      </c>
      <c r="I626">
        <v>28</v>
      </c>
      <c r="J626">
        <v>1233786.47</v>
      </c>
      <c r="K626" t="s">
        <v>46</v>
      </c>
      <c r="L626" t="s">
        <v>26</v>
      </c>
      <c r="M626" s="7">
        <v>45833</v>
      </c>
      <c r="N626" s="7">
        <v>45838</v>
      </c>
      <c r="O626" s="8">
        <v>5</v>
      </c>
      <c r="P626" t="str">
        <f t="shared" si="9"/>
        <v>Delayed</v>
      </c>
    </row>
    <row r="627" spans="1:16" x14ac:dyDescent="0.3">
      <c r="A627" t="s">
        <v>127</v>
      </c>
      <c r="B627" s="6" t="s">
        <v>246</v>
      </c>
      <c r="C627" t="s">
        <v>80</v>
      </c>
      <c r="D627" t="s">
        <v>62</v>
      </c>
      <c r="E627" t="s">
        <v>63</v>
      </c>
      <c r="F627">
        <v>8</v>
      </c>
      <c r="G627">
        <v>57679</v>
      </c>
      <c r="H627">
        <v>0</v>
      </c>
      <c r="I627">
        <v>28</v>
      </c>
      <c r="J627">
        <v>590632.95999999996</v>
      </c>
      <c r="K627" t="s">
        <v>37</v>
      </c>
      <c r="L627" t="s">
        <v>26</v>
      </c>
      <c r="M627" s="7">
        <v>45700</v>
      </c>
      <c r="N627" s="7">
        <v>45704</v>
      </c>
      <c r="O627" s="8">
        <v>4</v>
      </c>
      <c r="P627" t="str">
        <f t="shared" si="9"/>
        <v>Delayed</v>
      </c>
    </row>
    <row r="628" spans="1:16" x14ac:dyDescent="0.3">
      <c r="A628" t="s">
        <v>90</v>
      </c>
      <c r="B628" s="6" t="s">
        <v>241</v>
      </c>
      <c r="C628" t="s">
        <v>42</v>
      </c>
      <c r="D628" t="s">
        <v>62</v>
      </c>
      <c r="E628" t="s">
        <v>63</v>
      </c>
      <c r="F628">
        <v>40</v>
      </c>
      <c r="G628">
        <v>16315</v>
      </c>
      <c r="H628">
        <v>12</v>
      </c>
      <c r="I628">
        <v>18</v>
      </c>
      <c r="J628">
        <v>677659.84</v>
      </c>
      <c r="K628" t="s">
        <v>21</v>
      </c>
      <c r="L628" t="s">
        <v>33</v>
      </c>
      <c r="M628" s="7">
        <v>45689</v>
      </c>
      <c r="N628" s="7">
        <v>45698</v>
      </c>
      <c r="O628" s="8">
        <v>9</v>
      </c>
      <c r="P628" t="str">
        <f t="shared" si="9"/>
        <v>Delayed</v>
      </c>
    </row>
    <row r="629" spans="1:16" x14ac:dyDescent="0.3">
      <c r="A629" t="s">
        <v>156</v>
      </c>
      <c r="B629" s="6" t="s">
        <v>238</v>
      </c>
      <c r="C629" t="s">
        <v>58</v>
      </c>
      <c r="D629" t="s">
        <v>35</v>
      </c>
      <c r="E629" t="s">
        <v>56</v>
      </c>
      <c r="F629">
        <v>35</v>
      </c>
      <c r="G629">
        <v>66738</v>
      </c>
      <c r="H629">
        <v>12</v>
      </c>
      <c r="I629">
        <v>18</v>
      </c>
      <c r="J629">
        <v>2425525.87</v>
      </c>
      <c r="K629" t="s">
        <v>21</v>
      </c>
      <c r="L629" t="s">
        <v>33</v>
      </c>
      <c r="M629" s="7">
        <v>45821</v>
      </c>
      <c r="N629" s="7">
        <v>45830</v>
      </c>
      <c r="O629" s="8">
        <v>9</v>
      </c>
      <c r="P629" t="str">
        <f t="shared" si="9"/>
        <v>Delayed</v>
      </c>
    </row>
    <row r="630" spans="1:16" x14ac:dyDescent="0.3">
      <c r="A630" t="s">
        <v>183</v>
      </c>
      <c r="B630" s="6" t="s">
        <v>238</v>
      </c>
      <c r="C630" t="s">
        <v>58</v>
      </c>
      <c r="D630" t="s">
        <v>48</v>
      </c>
      <c r="E630" t="s">
        <v>49</v>
      </c>
      <c r="F630">
        <v>21</v>
      </c>
      <c r="G630">
        <v>50089</v>
      </c>
      <c r="H630">
        <v>12</v>
      </c>
      <c r="I630">
        <v>18</v>
      </c>
      <c r="J630">
        <v>1092260.77</v>
      </c>
      <c r="K630" t="s">
        <v>37</v>
      </c>
      <c r="L630" t="s">
        <v>33</v>
      </c>
      <c r="M630" s="7">
        <v>45740</v>
      </c>
      <c r="N630" s="7">
        <v>45749</v>
      </c>
      <c r="O630" s="8">
        <v>9</v>
      </c>
      <c r="P630" t="str">
        <f t="shared" si="9"/>
        <v>Delayed</v>
      </c>
    </row>
    <row r="631" spans="1:16" x14ac:dyDescent="0.3">
      <c r="A631" t="s">
        <v>162</v>
      </c>
      <c r="B631" s="6" t="s">
        <v>244</v>
      </c>
      <c r="C631" t="s">
        <v>70</v>
      </c>
      <c r="D631" t="s">
        <v>62</v>
      </c>
      <c r="E631" t="s">
        <v>63</v>
      </c>
      <c r="F631">
        <v>24</v>
      </c>
      <c r="G631">
        <v>79736</v>
      </c>
      <c r="H631">
        <v>0</v>
      </c>
      <c r="I631">
        <v>12</v>
      </c>
      <c r="J631">
        <v>2143303.6800000002</v>
      </c>
      <c r="K631" t="s">
        <v>46</v>
      </c>
      <c r="L631" t="s">
        <v>26</v>
      </c>
      <c r="M631" s="7">
        <v>45801</v>
      </c>
      <c r="N631" s="7">
        <v>45814</v>
      </c>
      <c r="O631" s="8">
        <v>13</v>
      </c>
      <c r="P631" t="str">
        <f t="shared" si="9"/>
        <v>Delayed</v>
      </c>
    </row>
    <row r="632" spans="1:16" x14ac:dyDescent="0.3">
      <c r="A632" t="s">
        <v>83</v>
      </c>
      <c r="B632" s="6" t="s">
        <v>245</v>
      </c>
      <c r="C632" t="s">
        <v>18</v>
      </c>
      <c r="D632" t="s">
        <v>44</v>
      </c>
      <c r="E632" t="s">
        <v>45</v>
      </c>
      <c r="F632">
        <v>27</v>
      </c>
      <c r="G632">
        <v>50959</v>
      </c>
      <c r="H632">
        <v>0</v>
      </c>
      <c r="I632">
        <v>18</v>
      </c>
      <c r="J632">
        <v>1623553.74</v>
      </c>
      <c r="K632" t="s">
        <v>46</v>
      </c>
      <c r="L632" t="s">
        <v>33</v>
      </c>
      <c r="M632" s="7">
        <v>45704</v>
      </c>
      <c r="N632" s="7">
        <v>45710</v>
      </c>
      <c r="O632" s="8">
        <v>6</v>
      </c>
      <c r="P632" t="str">
        <f t="shared" si="9"/>
        <v>Delayed</v>
      </c>
    </row>
    <row r="633" spans="1:16" x14ac:dyDescent="0.3">
      <c r="A633" t="s">
        <v>186</v>
      </c>
      <c r="B633" s="6" t="s">
        <v>246</v>
      </c>
      <c r="C633" t="s">
        <v>80</v>
      </c>
      <c r="D633" t="s">
        <v>13</v>
      </c>
      <c r="E633" t="s">
        <v>32</v>
      </c>
      <c r="F633">
        <v>26</v>
      </c>
      <c r="G633">
        <v>50996</v>
      </c>
      <c r="H633">
        <v>10</v>
      </c>
      <c r="I633">
        <v>12</v>
      </c>
      <c r="J633">
        <v>1336503.17</v>
      </c>
      <c r="K633" t="s">
        <v>15</v>
      </c>
      <c r="L633" t="s">
        <v>26</v>
      </c>
      <c r="M633" s="7">
        <v>45736</v>
      </c>
      <c r="N633" s="7">
        <v>45748</v>
      </c>
      <c r="O633" s="8">
        <v>12</v>
      </c>
      <c r="P633" t="str">
        <f t="shared" si="9"/>
        <v>Delayed</v>
      </c>
    </row>
    <row r="634" spans="1:16" x14ac:dyDescent="0.3">
      <c r="A634" t="s">
        <v>220</v>
      </c>
      <c r="B634" s="6" t="s">
        <v>243</v>
      </c>
      <c r="C634" t="s">
        <v>53</v>
      </c>
      <c r="D634" t="s">
        <v>44</v>
      </c>
      <c r="E634" t="s">
        <v>45</v>
      </c>
      <c r="F634">
        <v>26</v>
      </c>
      <c r="G634">
        <v>79941</v>
      </c>
      <c r="H634">
        <v>5</v>
      </c>
      <c r="I634">
        <v>28</v>
      </c>
      <c r="J634">
        <v>2527414.66</v>
      </c>
      <c r="K634" t="s">
        <v>21</v>
      </c>
      <c r="L634" t="s">
        <v>33</v>
      </c>
      <c r="M634" s="7">
        <v>45754</v>
      </c>
      <c r="N634" s="7">
        <v>45765</v>
      </c>
      <c r="O634" s="8">
        <v>11</v>
      </c>
      <c r="P634" t="str">
        <f t="shared" si="9"/>
        <v>Delayed</v>
      </c>
    </row>
    <row r="635" spans="1:16" x14ac:dyDescent="0.3">
      <c r="A635" t="s">
        <v>149</v>
      </c>
      <c r="B635" s="6" t="s">
        <v>239</v>
      </c>
      <c r="C635" t="s">
        <v>23</v>
      </c>
      <c r="D635" t="s">
        <v>13</v>
      </c>
      <c r="E635" t="s">
        <v>32</v>
      </c>
      <c r="F635">
        <v>18</v>
      </c>
      <c r="G635">
        <v>17638</v>
      </c>
      <c r="H635">
        <v>12</v>
      </c>
      <c r="I635">
        <v>12</v>
      </c>
      <c r="J635">
        <v>312912.23</v>
      </c>
      <c r="K635" t="s">
        <v>37</v>
      </c>
      <c r="L635" t="s">
        <v>33</v>
      </c>
      <c r="M635" s="7">
        <v>45787</v>
      </c>
      <c r="N635" s="7">
        <v>45802</v>
      </c>
      <c r="O635" s="8">
        <v>15</v>
      </c>
      <c r="P635" t="str">
        <f t="shared" si="9"/>
        <v>Delayed</v>
      </c>
    </row>
    <row r="636" spans="1:16" x14ac:dyDescent="0.3">
      <c r="A636" t="s">
        <v>195</v>
      </c>
      <c r="B636" s="6" t="s">
        <v>240</v>
      </c>
      <c r="C636" t="s">
        <v>28</v>
      </c>
      <c r="D636" t="s">
        <v>24</v>
      </c>
      <c r="E636" t="s">
        <v>40</v>
      </c>
      <c r="F636">
        <v>40</v>
      </c>
      <c r="G636">
        <v>49268</v>
      </c>
      <c r="H636">
        <v>10</v>
      </c>
      <c r="I636">
        <v>28</v>
      </c>
      <c r="J636">
        <v>2270269.4399999999</v>
      </c>
      <c r="K636" t="s">
        <v>37</v>
      </c>
      <c r="L636" t="s">
        <v>33</v>
      </c>
      <c r="M636" s="7">
        <v>45789</v>
      </c>
      <c r="N636" s="7">
        <v>45799</v>
      </c>
      <c r="O636" s="8">
        <v>10</v>
      </c>
      <c r="P636" t="str">
        <f t="shared" si="9"/>
        <v>Delayed</v>
      </c>
    </row>
    <row r="637" spans="1:16" x14ac:dyDescent="0.3">
      <c r="A637" t="s">
        <v>183</v>
      </c>
      <c r="B637" s="6" t="s">
        <v>245</v>
      </c>
      <c r="C637" t="s">
        <v>18</v>
      </c>
      <c r="D637" t="s">
        <v>19</v>
      </c>
      <c r="E637" t="s">
        <v>20</v>
      </c>
      <c r="F637">
        <v>10</v>
      </c>
      <c r="G637">
        <v>34242</v>
      </c>
      <c r="H637">
        <v>12</v>
      </c>
      <c r="I637">
        <v>12</v>
      </c>
      <c r="J637">
        <v>337489.15</v>
      </c>
      <c r="K637" t="s">
        <v>46</v>
      </c>
      <c r="L637" t="s">
        <v>33</v>
      </c>
      <c r="M637" s="7">
        <v>45737</v>
      </c>
      <c r="N637" s="7">
        <v>45747</v>
      </c>
      <c r="O637" s="8">
        <v>10</v>
      </c>
      <c r="P637" t="str">
        <f t="shared" si="9"/>
        <v>Delayed</v>
      </c>
    </row>
    <row r="638" spans="1:16" x14ac:dyDescent="0.3">
      <c r="A638" t="s">
        <v>41</v>
      </c>
      <c r="B638" s="6" t="s">
        <v>241</v>
      </c>
      <c r="C638" t="s">
        <v>42</v>
      </c>
      <c r="D638" t="s">
        <v>13</v>
      </c>
      <c r="E638" t="s">
        <v>32</v>
      </c>
      <c r="F638">
        <v>36</v>
      </c>
      <c r="G638">
        <v>29689</v>
      </c>
      <c r="H638">
        <v>5</v>
      </c>
      <c r="I638">
        <v>28</v>
      </c>
      <c r="J638">
        <v>1299665.6599999999</v>
      </c>
      <c r="K638" t="s">
        <v>15</v>
      </c>
      <c r="L638" t="s">
        <v>26</v>
      </c>
      <c r="M638" s="7">
        <v>45769</v>
      </c>
      <c r="N638" s="7">
        <v>45775</v>
      </c>
      <c r="O638" s="8">
        <v>6</v>
      </c>
      <c r="P638" t="str">
        <f t="shared" si="9"/>
        <v>Delayed</v>
      </c>
    </row>
    <row r="639" spans="1:16" x14ac:dyDescent="0.3">
      <c r="A639" t="s">
        <v>160</v>
      </c>
      <c r="B639" s="6" t="s">
        <v>246</v>
      </c>
      <c r="C639" t="s">
        <v>80</v>
      </c>
      <c r="D639" t="s">
        <v>29</v>
      </c>
      <c r="E639" t="s">
        <v>30</v>
      </c>
      <c r="F639">
        <v>26</v>
      </c>
      <c r="G639">
        <v>36461</v>
      </c>
      <c r="H639">
        <v>12</v>
      </c>
      <c r="I639">
        <v>12</v>
      </c>
      <c r="J639">
        <v>934335</v>
      </c>
      <c r="K639" t="s">
        <v>46</v>
      </c>
      <c r="L639" t="s">
        <v>16</v>
      </c>
      <c r="M639" s="7">
        <v>45732</v>
      </c>
      <c r="N639" s="7">
        <v>45737</v>
      </c>
      <c r="O639" s="8">
        <v>5</v>
      </c>
      <c r="P639" t="str">
        <f t="shared" si="9"/>
        <v>Delayed</v>
      </c>
    </row>
    <row r="640" spans="1:16" x14ac:dyDescent="0.3">
      <c r="A640" t="s">
        <v>213</v>
      </c>
      <c r="B640" s="6" t="s">
        <v>245</v>
      </c>
      <c r="C640" t="s">
        <v>18</v>
      </c>
      <c r="D640" t="s">
        <v>29</v>
      </c>
      <c r="E640" t="s">
        <v>30</v>
      </c>
      <c r="F640">
        <v>36</v>
      </c>
      <c r="G640">
        <v>3185</v>
      </c>
      <c r="H640">
        <v>10</v>
      </c>
      <c r="I640">
        <v>12</v>
      </c>
      <c r="J640">
        <v>115577.28</v>
      </c>
      <c r="K640" t="s">
        <v>21</v>
      </c>
      <c r="L640" t="s">
        <v>33</v>
      </c>
      <c r="M640" s="7">
        <v>45812</v>
      </c>
      <c r="N640" s="7">
        <v>45826</v>
      </c>
      <c r="O640" s="8">
        <v>14</v>
      </c>
      <c r="P640" t="str">
        <f t="shared" si="9"/>
        <v>Delayed</v>
      </c>
    </row>
    <row r="641" spans="1:16" x14ac:dyDescent="0.3">
      <c r="A641" t="s">
        <v>132</v>
      </c>
      <c r="B641" s="6" t="s">
        <v>244</v>
      </c>
      <c r="C641" t="s">
        <v>70</v>
      </c>
      <c r="D641" t="s">
        <v>24</v>
      </c>
      <c r="E641" t="s">
        <v>25</v>
      </c>
      <c r="F641">
        <v>38</v>
      </c>
      <c r="G641">
        <v>76341</v>
      </c>
      <c r="H641">
        <v>5</v>
      </c>
      <c r="I641">
        <v>12</v>
      </c>
      <c r="J641">
        <v>3086619.31</v>
      </c>
      <c r="K641" t="s">
        <v>21</v>
      </c>
      <c r="L641" t="s">
        <v>38</v>
      </c>
      <c r="M641" s="7">
        <v>45673</v>
      </c>
      <c r="N641" s="7">
        <v>45680</v>
      </c>
      <c r="O641" s="8">
        <v>7</v>
      </c>
      <c r="P641" t="str">
        <f t="shared" si="9"/>
        <v>Delayed</v>
      </c>
    </row>
    <row r="642" spans="1:16" x14ac:dyDescent="0.3">
      <c r="A642" t="s">
        <v>223</v>
      </c>
      <c r="B642" s="6" t="s">
        <v>238</v>
      </c>
      <c r="C642" t="s">
        <v>58</v>
      </c>
      <c r="D642" t="s">
        <v>35</v>
      </c>
      <c r="E642" t="s">
        <v>56</v>
      </c>
      <c r="F642">
        <v>16</v>
      </c>
      <c r="G642">
        <v>84531</v>
      </c>
      <c r="H642">
        <v>10</v>
      </c>
      <c r="I642">
        <v>18</v>
      </c>
      <c r="J642">
        <v>1436350.75</v>
      </c>
      <c r="K642" t="s">
        <v>46</v>
      </c>
      <c r="L642" t="s">
        <v>33</v>
      </c>
      <c r="M642" s="7">
        <v>45817</v>
      </c>
      <c r="N642" s="7">
        <v>45826</v>
      </c>
      <c r="O642" s="8">
        <v>9</v>
      </c>
      <c r="P642" t="str">
        <f t="shared" ref="P642:P705" si="10">IF(O642="","Pending",IF(O642=0,"Delivered",IF(O642&lt;=3,"On Delivery","Delayed")))</f>
        <v>Delayed</v>
      </c>
    </row>
    <row r="643" spans="1:16" x14ac:dyDescent="0.3">
      <c r="A643" t="s">
        <v>155</v>
      </c>
      <c r="B643" s="6" t="s">
        <v>238</v>
      </c>
      <c r="C643" t="s">
        <v>58</v>
      </c>
      <c r="D643" t="s">
        <v>13</v>
      </c>
      <c r="E643" t="s">
        <v>14</v>
      </c>
      <c r="F643">
        <v>1</v>
      </c>
      <c r="G643">
        <v>59788</v>
      </c>
      <c r="H643">
        <v>12</v>
      </c>
      <c r="I643">
        <v>12</v>
      </c>
      <c r="J643">
        <v>58927.05</v>
      </c>
      <c r="K643" t="s">
        <v>46</v>
      </c>
      <c r="L643" t="s">
        <v>38</v>
      </c>
      <c r="M643" s="7">
        <v>45762</v>
      </c>
      <c r="N643" s="7">
        <v>45776</v>
      </c>
      <c r="O643" s="8">
        <v>14</v>
      </c>
      <c r="P643" t="str">
        <f t="shared" si="10"/>
        <v>Delayed</v>
      </c>
    </row>
    <row r="644" spans="1:16" x14ac:dyDescent="0.3">
      <c r="A644" t="s">
        <v>78</v>
      </c>
      <c r="B644" s="6" t="s">
        <v>246</v>
      </c>
      <c r="C644" t="s">
        <v>80</v>
      </c>
      <c r="D644" t="s">
        <v>13</v>
      </c>
      <c r="E644" t="s">
        <v>32</v>
      </c>
      <c r="F644">
        <v>17</v>
      </c>
      <c r="G644">
        <v>63252</v>
      </c>
      <c r="H644">
        <v>5</v>
      </c>
      <c r="I644">
        <v>18</v>
      </c>
      <c r="J644">
        <v>1205393.3600000001</v>
      </c>
      <c r="K644" t="s">
        <v>46</v>
      </c>
      <c r="L644" t="s">
        <v>26</v>
      </c>
      <c r="M644" s="7">
        <v>45840</v>
      </c>
      <c r="N644" s="7">
        <v>45841</v>
      </c>
      <c r="O644" s="8">
        <v>1</v>
      </c>
      <c r="P644" t="str">
        <f t="shared" si="10"/>
        <v>On Delivery</v>
      </c>
    </row>
    <row r="645" spans="1:16" x14ac:dyDescent="0.3">
      <c r="A645" t="s">
        <v>97</v>
      </c>
      <c r="B645" s="6" t="s">
        <v>245</v>
      </c>
      <c r="C645" t="s">
        <v>18</v>
      </c>
      <c r="D645" t="s">
        <v>62</v>
      </c>
      <c r="E645" t="s">
        <v>92</v>
      </c>
      <c r="F645">
        <v>15</v>
      </c>
      <c r="G645">
        <v>10134</v>
      </c>
      <c r="H645">
        <v>12</v>
      </c>
      <c r="I645">
        <v>28</v>
      </c>
      <c r="J645">
        <v>171224.06</v>
      </c>
      <c r="K645" t="s">
        <v>46</v>
      </c>
      <c r="L645" t="s">
        <v>26</v>
      </c>
      <c r="M645" s="7">
        <v>45796</v>
      </c>
      <c r="N645" s="7">
        <v>45805</v>
      </c>
      <c r="O645" s="8">
        <v>9</v>
      </c>
      <c r="P645" t="str">
        <f t="shared" si="10"/>
        <v>Delayed</v>
      </c>
    </row>
    <row r="646" spans="1:16" x14ac:dyDescent="0.3">
      <c r="A646" t="s">
        <v>114</v>
      </c>
      <c r="B646" s="6" t="s">
        <v>240</v>
      </c>
      <c r="C646" t="s">
        <v>28</v>
      </c>
      <c r="D646" t="s">
        <v>62</v>
      </c>
      <c r="E646" t="s">
        <v>92</v>
      </c>
      <c r="F646">
        <v>32</v>
      </c>
      <c r="G646">
        <v>33575</v>
      </c>
      <c r="H646">
        <v>5</v>
      </c>
      <c r="I646">
        <v>12</v>
      </c>
      <c r="J646">
        <v>1143161.6000000001</v>
      </c>
      <c r="K646" t="s">
        <v>21</v>
      </c>
      <c r="L646" t="s">
        <v>16</v>
      </c>
      <c r="M646" s="7">
        <v>45739</v>
      </c>
      <c r="N646" s="7">
        <v>45740</v>
      </c>
      <c r="O646" s="8">
        <v>1</v>
      </c>
      <c r="P646" t="str">
        <f t="shared" si="10"/>
        <v>On Delivery</v>
      </c>
    </row>
    <row r="647" spans="1:16" x14ac:dyDescent="0.3">
      <c r="A647" t="s">
        <v>157</v>
      </c>
      <c r="B647" s="6" t="s">
        <v>245</v>
      </c>
      <c r="C647" t="s">
        <v>18</v>
      </c>
      <c r="D647" t="s">
        <v>62</v>
      </c>
      <c r="E647" t="s">
        <v>92</v>
      </c>
      <c r="F647">
        <v>14</v>
      </c>
      <c r="G647">
        <v>15227</v>
      </c>
      <c r="H647">
        <v>5</v>
      </c>
      <c r="I647">
        <v>18</v>
      </c>
      <c r="J647">
        <v>238972.54</v>
      </c>
      <c r="K647" t="s">
        <v>15</v>
      </c>
      <c r="L647" t="s">
        <v>16</v>
      </c>
      <c r="M647" s="7">
        <v>45703</v>
      </c>
      <c r="N647" s="7">
        <v>45717</v>
      </c>
      <c r="O647" s="8">
        <v>14</v>
      </c>
      <c r="P647" t="str">
        <f t="shared" si="10"/>
        <v>Delayed</v>
      </c>
    </row>
    <row r="648" spans="1:16" x14ac:dyDescent="0.3">
      <c r="A648" t="s">
        <v>165</v>
      </c>
      <c r="B648" s="6" t="s">
        <v>245</v>
      </c>
      <c r="C648" t="s">
        <v>18</v>
      </c>
      <c r="D648" t="s">
        <v>35</v>
      </c>
      <c r="E648" t="s">
        <v>77</v>
      </c>
      <c r="F648">
        <v>28</v>
      </c>
      <c r="G648">
        <v>24948</v>
      </c>
      <c r="H648">
        <v>0</v>
      </c>
      <c r="I648">
        <v>18</v>
      </c>
      <c r="J648">
        <v>824281.92</v>
      </c>
      <c r="K648" t="s">
        <v>15</v>
      </c>
      <c r="L648" t="s">
        <v>26</v>
      </c>
      <c r="M648" s="7">
        <v>45694</v>
      </c>
      <c r="N648" s="7">
        <v>45696</v>
      </c>
      <c r="O648" s="8">
        <v>2</v>
      </c>
      <c r="P648" t="str">
        <f t="shared" si="10"/>
        <v>On Delivery</v>
      </c>
    </row>
    <row r="649" spans="1:16" x14ac:dyDescent="0.3">
      <c r="A649" t="s">
        <v>211</v>
      </c>
      <c r="B649" s="6" t="s">
        <v>242</v>
      </c>
      <c r="C649" t="s">
        <v>12</v>
      </c>
      <c r="D649" t="s">
        <v>13</v>
      </c>
      <c r="E649" t="s">
        <v>32</v>
      </c>
      <c r="F649">
        <v>9</v>
      </c>
      <c r="G649">
        <v>8201</v>
      </c>
      <c r="H649">
        <v>12</v>
      </c>
      <c r="I649">
        <v>12</v>
      </c>
      <c r="J649">
        <v>72746.149999999994</v>
      </c>
      <c r="K649" t="s">
        <v>46</v>
      </c>
      <c r="L649" t="s">
        <v>38</v>
      </c>
      <c r="M649" s="7">
        <v>45765</v>
      </c>
      <c r="N649" s="7">
        <v>45778</v>
      </c>
      <c r="O649" s="8">
        <v>13</v>
      </c>
      <c r="P649" t="str">
        <f t="shared" si="10"/>
        <v>Delayed</v>
      </c>
    </row>
    <row r="650" spans="1:16" x14ac:dyDescent="0.3">
      <c r="A650" t="s">
        <v>185</v>
      </c>
      <c r="B650" s="6" t="s">
        <v>241</v>
      </c>
      <c r="C650" t="s">
        <v>42</v>
      </c>
      <c r="D650" t="s">
        <v>19</v>
      </c>
      <c r="E650" t="s">
        <v>20</v>
      </c>
      <c r="F650">
        <v>14</v>
      </c>
      <c r="G650">
        <v>64234</v>
      </c>
      <c r="H650">
        <v>5</v>
      </c>
      <c r="I650">
        <v>12</v>
      </c>
      <c r="J650">
        <v>956829.66</v>
      </c>
      <c r="K650" t="s">
        <v>15</v>
      </c>
      <c r="L650" t="s">
        <v>38</v>
      </c>
      <c r="M650" s="7">
        <v>45712</v>
      </c>
      <c r="N650" s="7">
        <v>45725</v>
      </c>
      <c r="O650" s="8">
        <v>13</v>
      </c>
      <c r="P650" t="str">
        <f t="shared" si="10"/>
        <v>Delayed</v>
      </c>
    </row>
    <row r="651" spans="1:16" x14ac:dyDescent="0.3">
      <c r="A651" t="s">
        <v>41</v>
      </c>
      <c r="B651" s="6" t="s">
        <v>240</v>
      </c>
      <c r="C651" t="s">
        <v>28</v>
      </c>
      <c r="D651" t="s">
        <v>35</v>
      </c>
      <c r="E651" t="s">
        <v>56</v>
      </c>
      <c r="F651">
        <v>35</v>
      </c>
      <c r="G651">
        <v>36780</v>
      </c>
      <c r="H651">
        <v>0</v>
      </c>
      <c r="I651">
        <v>12</v>
      </c>
      <c r="J651">
        <v>1441776</v>
      </c>
      <c r="K651" t="s">
        <v>21</v>
      </c>
      <c r="L651" t="s">
        <v>26</v>
      </c>
      <c r="M651" s="7">
        <v>45769</v>
      </c>
      <c r="N651" s="7">
        <v>45772</v>
      </c>
      <c r="O651" s="8">
        <v>3</v>
      </c>
      <c r="P651" t="str">
        <f t="shared" si="10"/>
        <v>On Delivery</v>
      </c>
    </row>
    <row r="652" spans="1:16" x14ac:dyDescent="0.3">
      <c r="A652" t="s">
        <v>78</v>
      </c>
      <c r="B652" s="6" t="s">
        <v>239</v>
      </c>
      <c r="C652" t="s">
        <v>23</v>
      </c>
      <c r="D652" t="s">
        <v>48</v>
      </c>
      <c r="E652" t="s">
        <v>49</v>
      </c>
      <c r="F652">
        <v>13</v>
      </c>
      <c r="G652">
        <v>19570</v>
      </c>
      <c r="H652">
        <v>5</v>
      </c>
      <c r="I652">
        <v>18</v>
      </c>
      <c r="J652">
        <v>285193.61</v>
      </c>
      <c r="K652" t="s">
        <v>37</v>
      </c>
      <c r="L652" t="s">
        <v>26</v>
      </c>
      <c r="M652" s="7">
        <v>45837</v>
      </c>
      <c r="N652" s="7">
        <v>45840</v>
      </c>
      <c r="O652" s="8">
        <v>3</v>
      </c>
      <c r="P652" t="str">
        <f t="shared" si="10"/>
        <v>On Delivery</v>
      </c>
    </row>
    <row r="653" spans="1:16" x14ac:dyDescent="0.3">
      <c r="A653" t="s">
        <v>196</v>
      </c>
      <c r="B653" s="6" t="s">
        <v>243</v>
      </c>
      <c r="C653" t="s">
        <v>53</v>
      </c>
      <c r="D653" t="s">
        <v>24</v>
      </c>
      <c r="E653" t="s">
        <v>76</v>
      </c>
      <c r="F653">
        <v>8</v>
      </c>
      <c r="G653">
        <v>55796</v>
      </c>
      <c r="H653">
        <v>10</v>
      </c>
      <c r="I653">
        <v>18</v>
      </c>
      <c r="J653">
        <v>474042.82</v>
      </c>
      <c r="K653" t="s">
        <v>46</v>
      </c>
      <c r="L653" t="s">
        <v>38</v>
      </c>
      <c r="M653" s="7">
        <v>45808</v>
      </c>
      <c r="N653" s="7">
        <v>45812</v>
      </c>
      <c r="O653" s="8">
        <v>4</v>
      </c>
      <c r="P653" t="str">
        <f t="shared" si="10"/>
        <v>Delayed</v>
      </c>
    </row>
    <row r="654" spans="1:16" x14ac:dyDescent="0.3">
      <c r="A654" t="s">
        <v>117</v>
      </c>
      <c r="B654" s="6" t="s">
        <v>244</v>
      </c>
      <c r="C654" t="s">
        <v>70</v>
      </c>
      <c r="D654" t="s">
        <v>29</v>
      </c>
      <c r="E654" t="s">
        <v>30</v>
      </c>
      <c r="F654">
        <v>35</v>
      </c>
      <c r="G654">
        <v>3222</v>
      </c>
      <c r="H654">
        <v>12</v>
      </c>
      <c r="I654">
        <v>12</v>
      </c>
      <c r="J654">
        <v>111146.11</v>
      </c>
      <c r="K654" t="s">
        <v>21</v>
      </c>
      <c r="L654" t="s">
        <v>26</v>
      </c>
      <c r="M654" s="7">
        <v>45779</v>
      </c>
      <c r="N654" s="7">
        <v>45789</v>
      </c>
      <c r="O654" s="8">
        <v>10</v>
      </c>
      <c r="P654" t="str">
        <f t="shared" si="10"/>
        <v>Delayed</v>
      </c>
    </row>
    <row r="655" spans="1:16" x14ac:dyDescent="0.3">
      <c r="A655" t="s">
        <v>108</v>
      </c>
      <c r="B655" s="6" t="s">
        <v>239</v>
      </c>
      <c r="C655" t="s">
        <v>23</v>
      </c>
      <c r="D655" t="s">
        <v>44</v>
      </c>
      <c r="E655" t="s">
        <v>45</v>
      </c>
      <c r="F655">
        <v>16</v>
      </c>
      <c r="G655">
        <v>13600</v>
      </c>
      <c r="H655">
        <v>10</v>
      </c>
      <c r="I655">
        <v>12</v>
      </c>
      <c r="J655">
        <v>219340.79999999999</v>
      </c>
      <c r="K655" t="s">
        <v>46</v>
      </c>
      <c r="L655" t="s">
        <v>26</v>
      </c>
      <c r="M655" s="7">
        <v>45750</v>
      </c>
      <c r="N655" s="7">
        <v>45757</v>
      </c>
      <c r="O655" s="8">
        <v>7</v>
      </c>
      <c r="P655" t="str">
        <f t="shared" si="10"/>
        <v>Delayed</v>
      </c>
    </row>
    <row r="656" spans="1:16" x14ac:dyDescent="0.3">
      <c r="A656" t="s">
        <v>73</v>
      </c>
      <c r="B656" s="6" t="s">
        <v>239</v>
      </c>
      <c r="C656" t="s">
        <v>23</v>
      </c>
      <c r="D656" t="s">
        <v>48</v>
      </c>
      <c r="E656" t="s">
        <v>49</v>
      </c>
      <c r="F656">
        <v>34</v>
      </c>
      <c r="G656">
        <v>13655</v>
      </c>
      <c r="H656">
        <v>0</v>
      </c>
      <c r="I656">
        <v>12</v>
      </c>
      <c r="J656">
        <v>519982.4</v>
      </c>
      <c r="K656" t="s">
        <v>21</v>
      </c>
      <c r="L656" t="s">
        <v>38</v>
      </c>
      <c r="M656" s="7">
        <v>45713</v>
      </c>
      <c r="N656" s="7">
        <v>45721</v>
      </c>
      <c r="O656" s="8">
        <v>8</v>
      </c>
      <c r="P656" t="str">
        <f t="shared" si="10"/>
        <v>Delayed</v>
      </c>
    </row>
    <row r="657" spans="1:16" x14ac:dyDescent="0.3">
      <c r="A657" t="s">
        <v>194</v>
      </c>
      <c r="B657" s="6" t="s">
        <v>242</v>
      </c>
      <c r="C657" t="s">
        <v>12</v>
      </c>
      <c r="D657" t="s">
        <v>24</v>
      </c>
      <c r="E657" t="s">
        <v>40</v>
      </c>
      <c r="F657">
        <v>18</v>
      </c>
      <c r="G657">
        <v>6969</v>
      </c>
      <c r="H657">
        <v>10</v>
      </c>
      <c r="I657">
        <v>18</v>
      </c>
      <c r="J657">
        <v>133219.4</v>
      </c>
      <c r="K657" t="s">
        <v>37</v>
      </c>
      <c r="L657" t="s">
        <v>38</v>
      </c>
      <c r="M657" s="7">
        <v>45836</v>
      </c>
      <c r="N657" s="7">
        <v>45845</v>
      </c>
      <c r="O657" s="8">
        <v>9</v>
      </c>
      <c r="P657" t="str">
        <f t="shared" si="10"/>
        <v>Delayed</v>
      </c>
    </row>
    <row r="658" spans="1:16" x14ac:dyDescent="0.3">
      <c r="A658" t="s">
        <v>142</v>
      </c>
      <c r="B658" s="6" t="s">
        <v>242</v>
      </c>
      <c r="C658" t="s">
        <v>12</v>
      </c>
      <c r="D658" t="s">
        <v>35</v>
      </c>
      <c r="E658" t="s">
        <v>77</v>
      </c>
      <c r="F658">
        <v>28</v>
      </c>
      <c r="G658">
        <v>55033</v>
      </c>
      <c r="H658">
        <v>0</v>
      </c>
      <c r="I658">
        <v>12</v>
      </c>
      <c r="J658">
        <v>1725834.88</v>
      </c>
      <c r="K658" t="s">
        <v>15</v>
      </c>
      <c r="L658" t="s">
        <v>16</v>
      </c>
      <c r="M658" s="7">
        <v>45756</v>
      </c>
      <c r="N658" s="7">
        <v>45764</v>
      </c>
      <c r="O658" s="8">
        <v>8</v>
      </c>
      <c r="P658" t="str">
        <f t="shared" si="10"/>
        <v>Delayed</v>
      </c>
    </row>
    <row r="659" spans="1:16" x14ac:dyDescent="0.3">
      <c r="A659" t="s">
        <v>167</v>
      </c>
      <c r="B659" s="6" t="s">
        <v>244</v>
      </c>
      <c r="C659" t="s">
        <v>70</v>
      </c>
      <c r="D659" t="s">
        <v>19</v>
      </c>
      <c r="E659" t="s">
        <v>20</v>
      </c>
      <c r="F659">
        <v>31</v>
      </c>
      <c r="G659">
        <v>17930</v>
      </c>
      <c r="H659">
        <v>10</v>
      </c>
      <c r="I659">
        <v>28</v>
      </c>
      <c r="J659">
        <v>640316.16000000003</v>
      </c>
      <c r="K659" t="s">
        <v>15</v>
      </c>
      <c r="L659" t="s">
        <v>26</v>
      </c>
      <c r="M659" s="7">
        <v>45833</v>
      </c>
      <c r="N659" s="7">
        <v>45841</v>
      </c>
      <c r="O659" s="8">
        <v>8</v>
      </c>
      <c r="P659" t="str">
        <f t="shared" si="10"/>
        <v>Delayed</v>
      </c>
    </row>
    <row r="660" spans="1:16" x14ac:dyDescent="0.3">
      <c r="A660" t="s">
        <v>66</v>
      </c>
      <c r="B660" s="6" t="s">
        <v>239</v>
      </c>
      <c r="C660" t="s">
        <v>23</v>
      </c>
      <c r="D660" t="s">
        <v>24</v>
      </c>
      <c r="E660" t="s">
        <v>40</v>
      </c>
      <c r="F660">
        <v>27</v>
      </c>
      <c r="G660">
        <v>76426</v>
      </c>
      <c r="H660">
        <v>12</v>
      </c>
      <c r="I660">
        <v>12</v>
      </c>
      <c r="J660">
        <v>2033787.57</v>
      </c>
      <c r="K660" t="s">
        <v>15</v>
      </c>
      <c r="L660" t="s">
        <v>26</v>
      </c>
      <c r="M660" s="7">
        <v>45698</v>
      </c>
      <c r="N660" s="7">
        <v>45700</v>
      </c>
      <c r="O660" s="8">
        <v>2</v>
      </c>
      <c r="P660" t="str">
        <f t="shared" si="10"/>
        <v>On Delivery</v>
      </c>
    </row>
    <row r="661" spans="1:16" x14ac:dyDescent="0.3">
      <c r="A661" t="s">
        <v>217</v>
      </c>
      <c r="B661" s="6" t="s">
        <v>244</v>
      </c>
      <c r="C661" t="s">
        <v>70</v>
      </c>
      <c r="D661" t="s">
        <v>62</v>
      </c>
      <c r="E661" t="s">
        <v>92</v>
      </c>
      <c r="F661">
        <v>13</v>
      </c>
      <c r="G661">
        <v>84082</v>
      </c>
      <c r="H661">
        <v>10</v>
      </c>
      <c r="I661">
        <v>18</v>
      </c>
      <c r="J661">
        <v>1160836.0900000001</v>
      </c>
      <c r="K661" t="s">
        <v>21</v>
      </c>
      <c r="L661" t="s">
        <v>38</v>
      </c>
      <c r="M661" s="7">
        <v>45812</v>
      </c>
      <c r="N661" s="7">
        <v>45820</v>
      </c>
      <c r="O661" s="8">
        <v>8</v>
      </c>
      <c r="P661" t="str">
        <f t="shared" si="10"/>
        <v>Delayed</v>
      </c>
    </row>
    <row r="662" spans="1:16" x14ac:dyDescent="0.3">
      <c r="A662" t="s">
        <v>179</v>
      </c>
      <c r="B662" s="6" t="s">
        <v>241</v>
      </c>
      <c r="C662" t="s">
        <v>42</v>
      </c>
      <c r="D662" t="s">
        <v>35</v>
      </c>
      <c r="E662" t="s">
        <v>77</v>
      </c>
      <c r="F662">
        <v>8</v>
      </c>
      <c r="G662">
        <v>36700</v>
      </c>
      <c r="H662">
        <v>12</v>
      </c>
      <c r="I662">
        <v>12</v>
      </c>
      <c r="J662">
        <v>289372.15999999997</v>
      </c>
      <c r="K662" t="s">
        <v>21</v>
      </c>
      <c r="L662" t="s">
        <v>38</v>
      </c>
      <c r="M662" s="7">
        <v>45839</v>
      </c>
      <c r="N662" s="7">
        <v>45851</v>
      </c>
      <c r="O662" s="8">
        <v>12</v>
      </c>
      <c r="P662" t="str">
        <f t="shared" si="10"/>
        <v>Delayed</v>
      </c>
    </row>
    <row r="663" spans="1:16" x14ac:dyDescent="0.3">
      <c r="A663" t="s">
        <v>125</v>
      </c>
      <c r="B663" s="6" t="s">
        <v>246</v>
      </c>
      <c r="C663" t="s">
        <v>80</v>
      </c>
      <c r="D663" t="s">
        <v>44</v>
      </c>
      <c r="E663" t="s">
        <v>51</v>
      </c>
      <c r="F663">
        <v>8</v>
      </c>
      <c r="G663">
        <v>1507</v>
      </c>
      <c r="H663">
        <v>0</v>
      </c>
      <c r="I663">
        <v>18</v>
      </c>
      <c r="J663">
        <v>14226.08</v>
      </c>
      <c r="K663" t="s">
        <v>37</v>
      </c>
      <c r="L663" t="s">
        <v>38</v>
      </c>
      <c r="M663" s="7">
        <v>45764</v>
      </c>
      <c r="N663" s="7">
        <v>45769</v>
      </c>
      <c r="O663" s="8">
        <v>5</v>
      </c>
      <c r="P663" t="str">
        <f t="shared" si="10"/>
        <v>Delayed</v>
      </c>
    </row>
    <row r="664" spans="1:16" x14ac:dyDescent="0.3">
      <c r="A664" t="s">
        <v>123</v>
      </c>
      <c r="B664" s="6" t="s">
        <v>238</v>
      </c>
      <c r="C664" t="s">
        <v>58</v>
      </c>
      <c r="D664" t="s">
        <v>19</v>
      </c>
      <c r="E664" t="s">
        <v>20</v>
      </c>
      <c r="F664">
        <v>13</v>
      </c>
      <c r="G664">
        <v>6226</v>
      </c>
      <c r="H664">
        <v>0</v>
      </c>
      <c r="I664">
        <v>28</v>
      </c>
      <c r="J664">
        <v>103600.64</v>
      </c>
      <c r="K664" t="s">
        <v>21</v>
      </c>
      <c r="L664" t="s">
        <v>33</v>
      </c>
      <c r="M664" s="7">
        <v>45736</v>
      </c>
      <c r="N664" s="7">
        <v>45738</v>
      </c>
      <c r="O664" s="8">
        <v>2</v>
      </c>
      <c r="P664" t="str">
        <f t="shared" si="10"/>
        <v>On Delivery</v>
      </c>
    </row>
    <row r="665" spans="1:16" x14ac:dyDescent="0.3">
      <c r="A665" t="s">
        <v>118</v>
      </c>
      <c r="B665" s="6" t="s">
        <v>243</v>
      </c>
      <c r="C665" t="s">
        <v>53</v>
      </c>
      <c r="D665" t="s">
        <v>24</v>
      </c>
      <c r="E665" t="s">
        <v>40</v>
      </c>
      <c r="F665">
        <v>32</v>
      </c>
      <c r="G665">
        <v>51377</v>
      </c>
      <c r="H665">
        <v>12</v>
      </c>
      <c r="I665">
        <v>18</v>
      </c>
      <c r="J665">
        <v>1707196.06</v>
      </c>
      <c r="K665" t="s">
        <v>37</v>
      </c>
      <c r="L665" t="s">
        <v>26</v>
      </c>
      <c r="M665" s="7">
        <v>45708</v>
      </c>
      <c r="N665" s="7">
        <v>45720</v>
      </c>
      <c r="O665" s="8">
        <v>12</v>
      </c>
      <c r="P665" t="str">
        <f t="shared" si="10"/>
        <v>Delayed</v>
      </c>
    </row>
    <row r="666" spans="1:16" x14ac:dyDescent="0.3">
      <c r="A666" t="s">
        <v>94</v>
      </c>
      <c r="B666" s="6" t="s">
        <v>242</v>
      </c>
      <c r="C666" t="s">
        <v>12</v>
      </c>
      <c r="D666" t="s">
        <v>44</v>
      </c>
      <c r="E666" t="s">
        <v>45</v>
      </c>
      <c r="F666">
        <v>36</v>
      </c>
      <c r="G666">
        <v>7105</v>
      </c>
      <c r="H666">
        <v>0</v>
      </c>
      <c r="I666">
        <v>18</v>
      </c>
      <c r="J666">
        <v>301820.40000000002</v>
      </c>
      <c r="K666" t="s">
        <v>21</v>
      </c>
      <c r="L666" t="s">
        <v>33</v>
      </c>
      <c r="M666" s="7">
        <v>45781</v>
      </c>
      <c r="N666" s="7">
        <v>45781</v>
      </c>
      <c r="O666" s="8">
        <v>0</v>
      </c>
      <c r="P666" t="str">
        <f t="shared" si="10"/>
        <v>Delivered</v>
      </c>
    </row>
    <row r="667" spans="1:16" x14ac:dyDescent="0.3">
      <c r="A667" t="s">
        <v>132</v>
      </c>
      <c r="B667" s="6" t="s">
        <v>243</v>
      </c>
      <c r="C667" t="s">
        <v>53</v>
      </c>
      <c r="D667" t="s">
        <v>29</v>
      </c>
      <c r="E667" t="s">
        <v>30</v>
      </c>
      <c r="F667">
        <v>24</v>
      </c>
      <c r="G667">
        <v>48908</v>
      </c>
      <c r="H667">
        <v>0</v>
      </c>
      <c r="I667">
        <v>28</v>
      </c>
      <c r="J667">
        <v>1502453.76</v>
      </c>
      <c r="K667" t="s">
        <v>21</v>
      </c>
      <c r="L667" t="s">
        <v>16</v>
      </c>
      <c r="M667" s="7">
        <v>45672</v>
      </c>
      <c r="N667" s="7">
        <v>45673</v>
      </c>
      <c r="O667" s="8">
        <v>1</v>
      </c>
      <c r="P667" t="str">
        <f t="shared" si="10"/>
        <v>On Delivery</v>
      </c>
    </row>
    <row r="668" spans="1:16" x14ac:dyDescent="0.3">
      <c r="A668" t="s">
        <v>108</v>
      </c>
      <c r="B668" s="6" t="s">
        <v>243</v>
      </c>
      <c r="C668" t="s">
        <v>53</v>
      </c>
      <c r="D668" t="s">
        <v>44</v>
      </c>
      <c r="E668" t="s">
        <v>45</v>
      </c>
      <c r="F668">
        <v>33</v>
      </c>
      <c r="G668">
        <v>50086</v>
      </c>
      <c r="H668">
        <v>10</v>
      </c>
      <c r="I668">
        <v>12</v>
      </c>
      <c r="J668">
        <v>1666060.7</v>
      </c>
      <c r="K668" t="s">
        <v>15</v>
      </c>
      <c r="L668" t="s">
        <v>16</v>
      </c>
      <c r="M668" s="7">
        <v>45745</v>
      </c>
      <c r="N668" s="7">
        <v>45746</v>
      </c>
      <c r="O668" s="8">
        <v>1</v>
      </c>
      <c r="P668" t="str">
        <f t="shared" si="10"/>
        <v>On Delivery</v>
      </c>
    </row>
    <row r="669" spans="1:16" x14ac:dyDescent="0.3">
      <c r="A669" t="s">
        <v>179</v>
      </c>
      <c r="B669" s="6" t="s">
        <v>238</v>
      </c>
      <c r="C669" t="s">
        <v>58</v>
      </c>
      <c r="D669" t="s">
        <v>44</v>
      </c>
      <c r="E669" t="s">
        <v>45</v>
      </c>
      <c r="F669">
        <v>18</v>
      </c>
      <c r="G669">
        <v>14897</v>
      </c>
      <c r="H669">
        <v>5</v>
      </c>
      <c r="I669">
        <v>28</v>
      </c>
      <c r="J669">
        <v>326065.53999999998</v>
      </c>
      <c r="K669" t="s">
        <v>37</v>
      </c>
      <c r="L669" t="s">
        <v>33</v>
      </c>
      <c r="M669" s="7">
        <v>45840</v>
      </c>
      <c r="N669" s="7">
        <v>45844</v>
      </c>
      <c r="O669" s="8">
        <v>4</v>
      </c>
      <c r="P669" t="str">
        <f t="shared" si="10"/>
        <v>Delayed</v>
      </c>
    </row>
    <row r="670" spans="1:16" x14ac:dyDescent="0.3">
      <c r="A670" t="s">
        <v>101</v>
      </c>
      <c r="B670" s="6" t="s">
        <v>244</v>
      </c>
      <c r="C670" t="s">
        <v>70</v>
      </c>
      <c r="D670" t="s">
        <v>35</v>
      </c>
      <c r="E670" t="s">
        <v>77</v>
      </c>
      <c r="F670">
        <v>4</v>
      </c>
      <c r="G670">
        <v>68156</v>
      </c>
      <c r="H670">
        <v>10</v>
      </c>
      <c r="I670">
        <v>28</v>
      </c>
      <c r="J670">
        <v>314062.84999999998</v>
      </c>
      <c r="K670" t="s">
        <v>37</v>
      </c>
      <c r="L670" t="s">
        <v>38</v>
      </c>
      <c r="M670" s="7">
        <v>45722</v>
      </c>
      <c r="N670" s="7">
        <v>45722</v>
      </c>
      <c r="O670" s="8">
        <v>0</v>
      </c>
      <c r="P670" t="str">
        <f t="shared" si="10"/>
        <v>Delivered</v>
      </c>
    </row>
    <row r="671" spans="1:16" x14ac:dyDescent="0.3">
      <c r="A671" t="s">
        <v>145</v>
      </c>
      <c r="B671" s="6" t="s">
        <v>245</v>
      </c>
      <c r="C671" t="s">
        <v>18</v>
      </c>
      <c r="D671" t="s">
        <v>35</v>
      </c>
      <c r="E671" t="s">
        <v>36</v>
      </c>
      <c r="F671">
        <v>37</v>
      </c>
      <c r="G671">
        <v>14772</v>
      </c>
      <c r="H671">
        <v>12</v>
      </c>
      <c r="I671">
        <v>28</v>
      </c>
      <c r="J671">
        <v>615649.68999999994</v>
      </c>
      <c r="K671" t="s">
        <v>37</v>
      </c>
      <c r="L671" t="s">
        <v>26</v>
      </c>
      <c r="M671" s="7">
        <v>45723</v>
      </c>
      <c r="N671" s="7">
        <v>45724</v>
      </c>
      <c r="O671" s="8">
        <v>1</v>
      </c>
      <c r="P671" t="str">
        <f t="shared" si="10"/>
        <v>On Delivery</v>
      </c>
    </row>
    <row r="672" spans="1:16" x14ac:dyDescent="0.3">
      <c r="A672" t="s">
        <v>144</v>
      </c>
      <c r="B672" s="6" t="s">
        <v>242</v>
      </c>
      <c r="C672" t="s">
        <v>12</v>
      </c>
      <c r="D672" t="s">
        <v>44</v>
      </c>
      <c r="E672" t="s">
        <v>45</v>
      </c>
      <c r="F672">
        <v>21</v>
      </c>
      <c r="G672">
        <v>70017</v>
      </c>
      <c r="H672">
        <v>5</v>
      </c>
      <c r="I672">
        <v>18</v>
      </c>
      <c r="J672">
        <v>1648270.2</v>
      </c>
      <c r="K672" t="s">
        <v>21</v>
      </c>
      <c r="L672" t="s">
        <v>33</v>
      </c>
      <c r="M672" s="7">
        <v>45692</v>
      </c>
      <c r="N672" s="7">
        <v>45695</v>
      </c>
      <c r="O672" s="8">
        <v>3</v>
      </c>
      <c r="P672" t="str">
        <f t="shared" si="10"/>
        <v>On Delivery</v>
      </c>
    </row>
    <row r="673" spans="1:16" x14ac:dyDescent="0.3">
      <c r="A673" t="s">
        <v>27</v>
      </c>
      <c r="B673" s="6" t="s">
        <v>244</v>
      </c>
      <c r="C673" t="s">
        <v>70</v>
      </c>
      <c r="D673" t="s">
        <v>24</v>
      </c>
      <c r="E673" t="s">
        <v>40</v>
      </c>
      <c r="F673">
        <v>36</v>
      </c>
      <c r="G673">
        <v>70939</v>
      </c>
      <c r="H673">
        <v>12</v>
      </c>
      <c r="I673">
        <v>12</v>
      </c>
      <c r="J673">
        <v>2517029.2200000002</v>
      </c>
      <c r="K673" t="s">
        <v>15</v>
      </c>
      <c r="L673" t="s">
        <v>33</v>
      </c>
      <c r="M673" s="7">
        <v>45806</v>
      </c>
      <c r="N673" s="7">
        <v>45807</v>
      </c>
      <c r="O673" s="8">
        <v>1</v>
      </c>
      <c r="P673" t="str">
        <f t="shared" si="10"/>
        <v>On Delivery</v>
      </c>
    </row>
    <row r="674" spans="1:16" x14ac:dyDescent="0.3">
      <c r="A674" t="s">
        <v>156</v>
      </c>
      <c r="B674" s="6" t="s">
        <v>240</v>
      </c>
      <c r="C674" t="s">
        <v>28</v>
      </c>
      <c r="D674" t="s">
        <v>13</v>
      </c>
      <c r="E674" t="s">
        <v>14</v>
      </c>
      <c r="F674">
        <v>7</v>
      </c>
      <c r="G674">
        <v>61599</v>
      </c>
      <c r="H674">
        <v>10</v>
      </c>
      <c r="I674">
        <v>18</v>
      </c>
      <c r="J674">
        <v>457926.97</v>
      </c>
      <c r="K674" t="s">
        <v>37</v>
      </c>
      <c r="L674" t="s">
        <v>38</v>
      </c>
      <c r="M674" s="7">
        <v>45822</v>
      </c>
      <c r="N674" s="7">
        <v>45826</v>
      </c>
      <c r="O674" s="8">
        <v>4</v>
      </c>
      <c r="P674" t="str">
        <f t="shared" si="10"/>
        <v>Delayed</v>
      </c>
    </row>
    <row r="675" spans="1:16" x14ac:dyDescent="0.3">
      <c r="A675" t="s">
        <v>100</v>
      </c>
      <c r="B675" s="6" t="s">
        <v>244</v>
      </c>
      <c r="C675" t="s">
        <v>70</v>
      </c>
      <c r="D675" t="s">
        <v>24</v>
      </c>
      <c r="E675" t="s">
        <v>40</v>
      </c>
      <c r="F675">
        <v>15</v>
      </c>
      <c r="G675">
        <v>47707</v>
      </c>
      <c r="H675">
        <v>12</v>
      </c>
      <c r="I675">
        <v>28</v>
      </c>
      <c r="J675">
        <v>806057.47</v>
      </c>
      <c r="K675" t="s">
        <v>15</v>
      </c>
      <c r="L675" t="s">
        <v>16</v>
      </c>
      <c r="M675" s="7">
        <v>45764</v>
      </c>
      <c r="N675" s="7">
        <v>45770</v>
      </c>
      <c r="O675" s="8">
        <v>6</v>
      </c>
      <c r="P675" t="str">
        <f t="shared" si="10"/>
        <v>Delayed</v>
      </c>
    </row>
    <row r="676" spans="1:16" x14ac:dyDescent="0.3">
      <c r="A676" t="s">
        <v>183</v>
      </c>
      <c r="B676" s="6" t="s">
        <v>243</v>
      </c>
      <c r="C676" t="s">
        <v>53</v>
      </c>
      <c r="D676" t="s">
        <v>24</v>
      </c>
      <c r="E676" t="s">
        <v>76</v>
      </c>
      <c r="F676">
        <v>7</v>
      </c>
      <c r="G676">
        <v>34496</v>
      </c>
      <c r="H676">
        <v>0</v>
      </c>
      <c r="I676">
        <v>12</v>
      </c>
      <c r="J676">
        <v>270448.64000000001</v>
      </c>
      <c r="K676" t="s">
        <v>46</v>
      </c>
      <c r="L676" t="s">
        <v>33</v>
      </c>
      <c r="M676" s="7">
        <v>45737</v>
      </c>
      <c r="N676" s="7">
        <v>45738</v>
      </c>
      <c r="O676" s="8">
        <v>1</v>
      </c>
      <c r="P676" t="str">
        <f t="shared" si="10"/>
        <v>On Delivery</v>
      </c>
    </row>
    <row r="677" spans="1:16" x14ac:dyDescent="0.3">
      <c r="A677" t="s">
        <v>145</v>
      </c>
      <c r="B677" s="6" t="s">
        <v>239</v>
      </c>
      <c r="C677" t="s">
        <v>23</v>
      </c>
      <c r="D677" t="s">
        <v>35</v>
      </c>
      <c r="E677" t="s">
        <v>56</v>
      </c>
      <c r="F677">
        <v>20</v>
      </c>
      <c r="G677">
        <v>43285</v>
      </c>
      <c r="H677">
        <v>10</v>
      </c>
      <c r="I677">
        <v>12</v>
      </c>
      <c r="J677">
        <v>872625.6</v>
      </c>
      <c r="K677" t="s">
        <v>46</v>
      </c>
      <c r="L677" t="s">
        <v>38</v>
      </c>
      <c r="M677" s="7">
        <v>45721</v>
      </c>
      <c r="N677" s="7">
        <v>45735</v>
      </c>
      <c r="O677" s="8">
        <v>14</v>
      </c>
      <c r="P677" t="str">
        <f t="shared" si="10"/>
        <v>Delayed</v>
      </c>
    </row>
    <row r="678" spans="1:16" x14ac:dyDescent="0.3">
      <c r="A678" t="s">
        <v>104</v>
      </c>
      <c r="B678" s="6" t="s">
        <v>243</v>
      </c>
      <c r="C678" t="s">
        <v>53</v>
      </c>
      <c r="D678" t="s">
        <v>13</v>
      </c>
      <c r="E678" t="s">
        <v>14</v>
      </c>
      <c r="F678">
        <v>33</v>
      </c>
      <c r="G678">
        <v>28570</v>
      </c>
      <c r="H678">
        <v>12</v>
      </c>
      <c r="I678">
        <v>18</v>
      </c>
      <c r="J678">
        <v>979013.9</v>
      </c>
      <c r="K678" t="s">
        <v>37</v>
      </c>
      <c r="L678" t="s">
        <v>38</v>
      </c>
      <c r="M678" s="7">
        <v>45733</v>
      </c>
      <c r="N678" s="7">
        <v>45739</v>
      </c>
      <c r="O678" s="8">
        <v>6</v>
      </c>
      <c r="P678" t="str">
        <f t="shared" si="10"/>
        <v>Delayed</v>
      </c>
    </row>
    <row r="679" spans="1:16" x14ac:dyDescent="0.3">
      <c r="A679" t="s">
        <v>134</v>
      </c>
      <c r="B679" s="6" t="s">
        <v>243</v>
      </c>
      <c r="C679" t="s">
        <v>53</v>
      </c>
      <c r="D679" t="s">
        <v>13</v>
      </c>
      <c r="E679" t="s">
        <v>32</v>
      </c>
      <c r="F679">
        <v>5</v>
      </c>
      <c r="G679">
        <v>54795</v>
      </c>
      <c r="H679">
        <v>0</v>
      </c>
      <c r="I679">
        <v>18</v>
      </c>
      <c r="J679">
        <v>323290.5</v>
      </c>
      <c r="K679" t="s">
        <v>46</v>
      </c>
      <c r="L679" t="s">
        <v>38</v>
      </c>
      <c r="M679" s="7">
        <v>45767</v>
      </c>
      <c r="N679" s="7">
        <v>45776</v>
      </c>
      <c r="O679" s="8">
        <v>9</v>
      </c>
      <c r="P679" t="str">
        <f t="shared" si="10"/>
        <v>Delayed</v>
      </c>
    </row>
    <row r="680" spans="1:16" x14ac:dyDescent="0.3">
      <c r="A680" t="s">
        <v>100</v>
      </c>
      <c r="B680" s="6" t="s">
        <v>242</v>
      </c>
      <c r="C680" t="s">
        <v>12</v>
      </c>
      <c r="D680" t="s">
        <v>62</v>
      </c>
      <c r="E680" t="s">
        <v>92</v>
      </c>
      <c r="F680">
        <v>37</v>
      </c>
      <c r="G680">
        <v>61792</v>
      </c>
      <c r="H680">
        <v>5</v>
      </c>
      <c r="I680">
        <v>28</v>
      </c>
      <c r="J680">
        <v>2780145.66</v>
      </c>
      <c r="K680" t="s">
        <v>46</v>
      </c>
      <c r="L680" t="s">
        <v>26</v>
      </c>
      <c r="M680" s="7">
        <v>45764</v>
      </c>
      <c r="N680" s="7">
        <v>45778</v>
      </c>
      <c r="O680" s="8">
        <v>14</v>
      </c>
      <c r="P680" t="str">
        <f t="shared" si="10"/>
        <v>Delayed</v>
      </c>
    </row>
    <row r="681" spans="1:16" x14ac:dyDescent="0.3">
      <c r="A681" t="s">
        <v>141</v>
      </c>
      <c r="B681" s="6" t="s">
        <v>243</v>
      </c>
      <c r="C681" t="s">
        <v>53</v>
      </c>
      <c r="D681" t="s">
        <v>48</v>
      </c>
      <c r="E681" t="s">
        <v>59</v>
      </c>
      <c r="F681">
        <v>36</v>
      </c>
      <c r="G681">
        <v>4661</v>
      </c>
      <c r="H681">
        <v>0</v>
      </c>
      <c r="I681">
        <v>28</v>
      </c>
      <c r="J681">
        <v>214778.88</v>
      </c>
      <c r="K681" t="s">
        <v>46</v>
      </c>
      <c r="L681" t="s">
        <v>33</v>
      </c>
      <c r="M681" s="7">
        <v>45794</v>
      </c>
      <c r="N681" s="7">
        <v>45807</v>
      </c>
      <c r="O681" s="8">
        <v>13</v>
      </c>
      <c r="P681" t="str">
        <f t="shared" si="10"/>
        <v>Delayed</v>
      </c>
    </row>
    <row r="682" spans="1:16" x14ac:dyDescent="0.3">
      <c r="A682" t="s">
        <v>84</v>
      </c>
      <c r="B682" s="6" t="s">
        <v>238</v>
      </c>
      <c r="C682" t="s">
        <v>58</v>
      </c>
      <c r="D682" t="s">
        <v>48</v>
      </c>
      <c r="E682" t="s">
        <v>59</v>
      </c>
      <c r="F682">
        <v>5</v>
      </c>
      <c r="G682">
        <v>47360</v>
      </c>
      <c r="H682">
        <v>0</v>
      </c>
      <c r="I682">
        <v>18</v>
      </c>
      <c r="J682">
        <v>279424</v>
      </c>
      <c r="K682" t="s">
        <v>37</v>
      </c>
      <c r="L682" t="s">
        <v>38</v>
      </c>
      <c r="M682" s="7">
        <v>45778</v>
      </c>
      <c r="N682" s="7">
        <v>45780</v>
      </c>
      <c r="O682" s="8">
        <v>2</v>
      </c>
      <c r="P682" t="str">
        <f t="shared" si="10"/>
        <v>On Delivery</v>
      </c>
    </row>
    <row r="683" spans="1:16" x14ac:dyDescent="0.3">
      <c r="A683" t="s">
        <v>22</v>
      </c>
      <c r="B683" s="6" t="s">
        <v>244</v>
      </c>
      <c r="C683" t="s">
        <v>70</v>
      </c>
      <c r="D683" t="s">
        <v>24</v>
      </c>
      <c r="E683" t="s">
        <v>25</v>
      </c>
      <c r="F683">
        <v>34</v>
      </c>
      <c r="G683">
        <v>43525</v>
      </c>
      <c r="H683">
        <v>12</v>
      </c>
      <c r="I683">
        <v>28</v>
      </c>
      <c r="J683">
        <v>1666903.04</v>
      </c>
      <c r="K683" t="s">
        <v>21</v>
      </c>
      <c r="L683" t="s">
        <v>33</v>
      </c>
      <c r="M683" s="7">
        <v>45761</v>
      </c>
      <c r="N683" s="7">
        <v>45770</v>
      </c>
      <c r="O683" s="8">
        <v>9</v>
      </c>
      <c r="P683" t="str">
        <f t="shared" si="10"/>
        <v>Delayed</v>
      </c>
    </row>
    <row r="684" spans="1:16" x14ac:dyDescent="0.3">
      <c r="A684" t="s">
        <v>138</v>
      </c>
      <c r="B684" s="6" t="s">
        <v>244</v>
      </c>
      <c r="C684" t="s">
        <v>70</v>
      </c>
      <c r="D684" t="s">
        <v>13</v>
      </c>
      <c r="E684" t="s">
        <v>14</v>
      </c>
      <c r="F684">
        <v>19</v>
      </c>
      <c r="G684">
        <v>38494</v>
      </c>
      <c r="H684">
        <v>10</v>
      </c>
      <c r="I684">
        <v>18</v>
      </c>
      <c r="J684">
        <v>776731.93</v>
      </c>
      <c r="K684" t="s">
        <v>46</v>
      </c>
      <c r="L684" t="s">
        <v>26</v>
      </c>
      <c r="M684" s="7">
        <v>45719</v>
      </c>
      <c r="N684" s="7">
        <v>45726</v>
      </c>
      <c r="O684" s="8">
        <v>7</v>
      </c>
      <c r="P684" t="str">
        <f t="shared" si="10"/>
        <v>Delayed</v>
      </c>
    </row>
    <row r="685" spans="1:16" x14ac:dyDescent="0.3">
      <c r="A685" t="s">
        <v>57</v>
      </c>
      <c r="B685" s="6" t="s">
        <v>243</v>
      </c>
      <c r="C685" t="s">
        <v>53</v>
      </c>
      <c r="D685" t="s">
        <v>19</v>
      </c>
      <c r="E685" t="s">
        <v>20</v>
      </c>
      <c r="F685">
        <v>14</v>
      </c>
      <c r="G685">
        <v>3013</v>
      </c>
      <c r="H685">
        <v>0</v>
      </c>
      <c r="I685">
        <v>28</v>
      </c>
      <c r="J685">
        <v>53992.959999999999</v>
      </c>
      <c r="K685" t="s">
        <v>15</v>
      </c>
      <c r="L685" t="s">
        <v>33</v>
      </c>
      <c r="M685" s="7">
        <v>45801</v>
      </c>
      <c r="N685" s="7">
        <v>45803</v>
      </c>
      <c r="O685" s="8">
        <v>2</v>
      </c>
      <c r="P685" t="str">
        <f t="shared" si="10"/>
        <v>On Delivery</v>
      </c>
    </row>
    <row r="686" spans="1:16" x14ac:dyDescent="0.3">
      <c r="A686" t="s">
        <v>190</v>
      </c>
      <c r="B686" s="6" t="s">
        <v>242</v>
      </c>
      <c r="C686" t="s">
        <v>12</v>
      </c>
      <c r="D686" t="s">
        <v>35</v>
      </c>
      <c r="E686" t="s">
        <v>56</v>
      </c>
      <c r="F686">
        <v>21</v>
      </c>
      <c r="G686">
        <v>4933</v>
      </c>
      <c r="H686">
        <v>5</v>
      </c>
      <c r="I686">
        <v>18</v>
      </c>
      <c r="J686">
        <v>116127.75</v>
      </c>
      <c r="K686" t="s">
        <v>15</v>
      </c>
      <c r="L686" t="s">
        <v>26</v>
      </c>
      <c r="M686" s="7">
        <v>45722</v>
      </c>
      <c r="N686" s="7">
        <v>45722</v>
      </c>
      <c r="O686" s="8">
        <v>0</v>
      </c>
      <c r="P686" t="str">
        <f t="shared" si="10"/>
        <v>Delivered</v>
      </c>
    </row>
    <row r="687" spans="1:16" x14ac:dyDescent="0.3">
      <c r="A687" t="s">
        <v>87</v>
      </c>
      <c r="B687" s="6" t="s">
        <v>245</v>
      </c>
      <c r="C687" t="s">
        <v>18</v>
      </c>
      <c r="D687" t="s">
        <v>44</v>
      </c>
      <c r="E687" t="s">
        <v>45</v>
      </c>
      <c r="F687">
        <v>14</v>
      </c>
      <c r="G687">
        <v>39922</v>
      </c>
      <c r="H687">
        <v>12</v>
      </c>
      <c r="I687">
        <v>12</v>
      </c>
      <c r="J687">
        <v>550859.72</v>
      </c>
      <c r="K687" t="s">
        <v>37</v>
      </c>
      <c r="L687" t="s">
        <v>38</v>
      </c>
      <c r="M687" s="7">
        <v>45807</v>
      </c>
      <c r="N687" s="7">
        <v>45807</v>
      </c>
      <c r="O687" s="8">
        <v>0</v>
      </c>
      <c r="P687" t="str">
        <f t="shared" si="10"/>
        <v>Delivered</v>
      </c>
    </row>
    <row r="688" spans="1:16" x14ac:dyDescent="0.3">
      <c r="A688" t="s">
        <v>192</v>
      </c>
      <c r="B688" s="6" t="s">
        <v>240</v>
      </c>
      <c r="C688" t="s">
        <v>28</v>
      </c>
      <c r="D688" t="s">
        <v>62</v>
      </c>
      <c r="E688" t="s">
        <v>63</v>
      </c>
      <c r="F688">
        <v>23</v>
      </c>
      <c r="G688">
        <v>5733</v>
      </c>
      <c r="H688">
        <v>0</v>
      </c>
      <c r="I688">
        <v>18</v>
      </c>
      <c r="J688">
        <v>155593.62</v>
      </c>
      <c r="K688" t="s">
        <v>15</v>
      </c>
      <c r="L688" t="s">
        <v>26</v>
      </c>
      <c r="M688" s="7">
        <v>45810</v>
      </c>
      <c r="N688" s="7">
        <v>45817</v>
      </c>
      <c r="O688" s="8">
        <v>7</v>
      </c>
      <c r="P688" t="str">
        <f t="shared" si="10"/>
        <v>Delayed</v>
      </c>
    </row>
    <row r="689" spans="1:16" x14ac:dyDescent="0.3">
      <c r="A689" t="s">
        <v>185</v>
      </c>
      <c r="B689" s="6" t="s">
        <v>240</v>
      </c>
      <c r="C689" t="s">
        <v>28</v>
      </c>
      <c r="D689" t="s">
        <v>48</v>
      </c>
      <c r="E689" t="s">
        <v>49</v>
      </c>
      <c r="F689">
        <v>11</v>
      </c>
      <c r="G689">
        <v>44352</v>
      </c>
      <c r="H689">
        <v>0</v>
      </c>
      <c r="I689">
        <v>12</v>
      </c>
      <c r="J689">
        <v>546416.64000000001</v>
      </c>
      <c r="K689" t="s">
        <v>21</v>
      </c>
      <c r="L689" t="s">
        <v>38</v>
      </c>
      <c r="M689" s="7">
        <v>45707</v>
      </c>
      <c r="N689" s="7">
        <v>45708</v>
      </c>
      <c r="O689" s="8">
        <v>1</v>
      </c>
      <c r="P689" t="str">
        <f t="shared" si="10"/>
        <v>On Delivery</v>
      </c>
    </row>
    <row r="690" spans="1:16" x14ac:dyDescent="0.3">
      <c r="A690" t="s">
        <v>164</v>
      </c>
      <c r="B690" s="6" t="s">
        <v>244</v>
      </c>
      <c r="C690" t="s">
        <v>70</v>
      </c>
      <c r="D690" t="s">
        <v>24</v>
      </c>
      <c r="E690" t="s">
        <v>25</v>
      </c>
      <c r="F690">
        <v>6</v>
      </c>
      <c r="G690">
        <v>14345</v>
      </c>
      <c r="H690">
        <v>0</v>
      </c>
      <c r="I690">
        <v>12</v>
      </c>
      <c r="J690">
        <v>96398.399999999994</v>
      </c>
      <c r="K690" t="s">
        <v>21</v>
      </c>
      <c r="L690" t="s">
        <v>16</v>
      </c>
      <c r="M690" s="7">
        <v>45691</v>
      </c>
      <c r="N690" s="7">
        <v>45691</v>
      </c>
      <c r="O690" s="8">
        <v>0</v>
      </c>
      <c r="P690" t="str">
        <f t="shared" si="10"/>
        <v>Delivered</v>
      </c>
    </row>
    <row r="691" spans="1:16" x14ac:dyDescent="0.3">
      <c r="A691" t="s">
        <v>184</v>
      </c>
      <c r="B691" s="6" t="s">
        <v>244</v>
      </c>
      <c r="C691" t="s">
        <v>70</v>
      </c>
      <c r="D691" t="s">
        <v>48</v>
      </c>
      <c r="E691" t="s">
        <v>49</v>
      </c>
      <c r="F691">
        <v>2</v>
      </c>
      <c r="G691">
        <v>22823</v>
      </c>
      <c r="H691">
        <v>5</v>
      </c>
      <c r="I691">
        <v>12</v>
      </c>
      <c r="J691">
        <v>48567.34</v>
      </c>
      <c r="K691" t="s">
        <v>21</v>
      </c>
      <c r="L691" t="s">
        <v>16</v>
      </c>
      <c r="M691" s="7">
        <v>45765</v>
      </c>
      <c r="N691" s="7">
        <v>45765</v>
      </c>
      <c r="O691" s="8">
        <v>0</v>
      </c>
      <c r="P691" t="str">
        <f t="shared" si="10"/>
        <v>Delivered</v>
      </c>
    </row>
    <row r="692" spans="1:16" x14ac:dyDescent="0.3">
      <c r="A692" t="s">
        <v>206</v>
      </c>
      <c r="B692" s="6" t="s">
        <v>244</v>
      </c>
      <c r="C692" t="s">
        <v>70</v>
      </c>
      <c r="D692" t="s">
        <v>13</v>
      </c>
      <c r="E692" t="s">
        <v>14</v>
      </c>
      <c r="F692">
        <v>39</v>
      </c>
      <c r="G692">
        <v>14140</v>
      </c>
      <c r="H692">
        <v>5</v>
      </c>
      <c r="I692">
        <v>28</v>
      </c>
      <c r="J692">
        <v>670575.35999999999</v>
      </c>
      <c r="K692" t="s">
        <v>46</v>
      </c>
      <c r="L692" t="s">
        <v>33</v>
      </c>
      <c r="M692" s="7">
        <v>45777</v>
      </c>
      <c r="N692" s="7">
        <v>45786</v>
      </c>
      <c r="O692" s="8">
        <v>9</v>
      </c>
      <c r="P692" t="str">
        <f t="shared" si="10"/>
        <v>Delayed</v>
      </c>
    </row>
    <row r="693" spans="1:16" x14ac:dyDescent="0.3">
      <c r="A693" t="s">
        <v>174</v>
      </c>
      <c r="B693" s="6" t="s">
        <v>242</v>
      </c>
      <c r="C693" t="s">
        <v>12</v>
      </c>
      <c r="D693" t="s">
        <v>24</v>
      </c>
      <c r="E693" t="s">
        <v>25</v>
      </c>
      <c r="F693">
        <v>39</v>
      </c>
      <c r="G693">
        <v>54092</v>
      </c>
      <c r="H693">
        <v>12</v>
      </c>
      <c r="I693">
        <v>28</v>
      </c>
      <c r="J693">
        <v>2376239.92</v>
      </c>
      <c r="K693" t="s">
        <v>15</v>
      </c>
      <c r="L693" t="s">
        <v>26</v>
      </c>
      <c r="M693" s="7">
        <v>45671</v>
      </c>
      <c r="N693" s="7">
        <v>45683</v>
      </c>
      <c r="O693" s="8">
        <v>12</v>
      </c>
      <c r="P693" t="str">
        <f t="shared" si="10"/>
        <v>Delayed</v>
      </c>
    </row>
    <row r="694" spans="1:16" x14ac:dyDescent="0.3">
      <c r="A694" t="s">
        <v>202</v>
      </c>
      <c r="B694" s="6" t="s">
        <v>239</v>
      </c>
      <c r="C694" t="s">
        <v>23</v>
      </c>
      <c r="D694" t="s">
        <v>35</v>
      </c>
      <c r="E694" t="s">
        <v>36</v>
      </c>
      <c r="F694">
        <v>24</v>
      </c>
      <c r="G694">
        <v>42417</v>
      </c>
      <c r="H694">
        <v>0</v>
      </c>
      <c r="I694">
        <v>28</v>
      </c>
      <c r="J694">
        <v>1303050.24</v>
      </c>
      <c r="K694" t="s">
        <v>37</v>
      </c>
      <c r="L694" t="s">
        <v>26</v>
      </c>
      <c r="M694" s="7">
        <v>45825</v>
      </c>
      <c r="N694" s="7">
        <v>45839</v>
      </c>
      <c r="O694" s="8">
        <v>14</v>
      </c>
      <c r="P694" t="str">
        <f t="shared" si="10"/>
        <v>Delayed</v>
      </c>
    </row>
    <row r="695" spans="1:16" x14ac:dyDescent="0.3">
      <c r="A695" t="s">
        <v>57</v>
      </c>
      <c r="B695" s="6" t="s">
        <v>246</v>
      </c>
      <c r="C695" t="s">
        <v>80</v>
      </c>
      <c r="D695" t="s">
        <v>24</v>
      </c>
      <c r="E695" t="s">
        <v>76</v>
      </c>
      <c r="F695">
        <v>39</v>
      </c>
      <c r="G695">
        <v>73903</v>
      </c>
      <c r="H695">
        <v>12</v>
      </c>
      <c r="I695">
        <v>18</v>
      </c>
      <c r="J695">
        <v>2992894.13</v>
      </c>
      <c r="K695" t="s">
        <v>37</v>
      </c>
      <c r="L695" t="s">
        <v>38</v>
      </c>
      <c r="M695" s="7">
        <v>45797</v>
      </c>
      <c r="N695" s="7">
        <v>45810</v>
      </c>
      <c r="O695" s="8">
        <v>13</v>
      </c>
      <c r="P695" t="str">
        <f t="shared" si="10"/>
        <v>Delayed</v>
      </c>
    </row>
    <row r="696" spans="1:16" x14ac:dyDescent="0.3">
      <c r="A696" t="s">
        <v>134</v>
      </c>
      <c r="B696" s="6" t="s">
        <v>238</v>
      </c>
      <c r="C696" t="s">
        <v>58</v>
      </c>
      <c r="D696" t="s">
        <v>24</v>
      </c>
      <c r="E696" t="s">
        <v>40</v>
      </c>
      <c r="F696">
        <v>32</v>
      </c>
      <c r="G696">
        <v>53074</v>
      </c>
      <c r="H696">
        <v>5</v>
      </c>
      <c r="I696">
        <v>28</v>
      </c>
      <c r="J696">
        <v>2065215.49</v>
      </c>
      <c r="K696" t="s">
        <v>46</v>
      </c>
      <c r="L696" t="s">
        <v>16</v>
      </c>
      <c r="M696" s="7">
        <v>45774</v>
      </c>
      <c r="N696" s="7">
        <v>45777</v>
      </c>
      <c r="O696" s="8">
        <v>3</v>
      </c>
      <c r="P696" t="str">
        <f t="shared" si="10"/>
        <v>On Delivery</v>
      </c>
    </row>
    <row r="697" spans="1:16" x14ac:dyDescent="0.3">
      <c r="A697" t="s">
        <v>67</v>
      </c>
      <c r="B697" s="6" t="s">
        <v>240</v>
      </c>
      <c r="C697" t="s">
        <v>28</v>
      </c>
      <c r="D697" t="s">
        <v>62</v>
      </c>
      <c r="E697" t="s">
        <v>92</v>
      </c>
      <c r="F697">
        <v>10</v>
      </c>
      <c r="G697">
        <v>6539</v>
      </c>
      <c r="H697">
        <v>0</v>
      </c>
      <c r="I697">
        <v>28</v>
      </c>
      <c r="J697">
        <v>83699.199999999997</v>
      </c>
      <c r="K697" t="s">
        <v>46</v>
      </c>
      <c r="L697" t="s">
        <v>16</v>
      </c>
      <c r="M697" s="7">
        <v>45811</v>
      </c>
      <c r="N697" s="7">
        <v>45822</v>
      </c>
      <c r="O697" s="8">
        <v>11</v>
      </c>
      <c r="P697" t="str">
        <f t="shared" si="10"/>
        <v>Delayed</v>
      </c>
    </row>
    <row r="698" spans="1:16" x14ac:dyDescent="0.3">
      <c r="A698" t="s">
        <v>121</v>
      </c>
      <c r="B698" s="6" t="s">
        <v>243</v>
      </c>
      <c r="C698" t="s">
        <v>53</v>
      </c>
      <c r="D698" t="s">
        <v>48</v>
      </c>
      <c r="E698" t="s">
        <v>59</v>
      </c>
      <c r="F698">
        <v>3</v>
      </c>
      <c r="G698">
        <v>21352</v>
      </c>
      <c r="H698">
        <v>12</v>
      </c>
      <c r="I698">
        <v>18</v>
      </c>
      <c r="J698">
        <v>66515.75</v>
      </c>
      <c r="K698" t="s">
        <v>15</v>
      </c>
      <c r="L698" t="s">
        <v>38</v>
      </c>
      <c r="M698" s="7">
        <v>45784</v>
      </c>
      <c r="N698" s="7">
        <v>45791</v>
      </c>
      <c r="O698" s="8">
        <v>7</v>
      </c>
      <c r="P698" t="str">
        <f t="shared" si="10"/>
        <v>Delayed</v>
      </c>
    </row>
    <row r="699" spans="1:16" x14ac:dyDescent="0.3">
      <c r="A699" t="s">
        <v>224</v>
      </c>
      <c r="B699" s="6" t="s">
        <v>245</v>
      </c>
      <c r="C699" t="s">
        <v>18</v>
      </c>
      <c r="D699" t="s">
        <v>13</v>
      </c>
      <c r="E699" t="s">
        <v>14</v>
      </c>
      <c r="F699">
        <v>7</v>
      </c>
      <c r="G699">
        <v>61948</v>
      </c>
      <c r="H699">
        <v>0</v>
      </c>
      <c r="I699">
        <v>28</v>
      </c>
      <c r="J699">
        <v>555054.07999999996</v>
      </c>
      <c r="K699" t="s">
        <v>37</v>
      </c>
      <c r="L699" t="s">
        <v>16</v>
      </c>
      <c r="M699" s="7">
        <v>45662</v>
      </c>
      <c r="N699" s="7">
        <v>45664</v>
      </c>
      <c r="O699" s="8">
        <v>2</v>
      </c>
      <c r="P699" t="str">
        <f t="shared" si="10"/>
        <v>On Delivery</v>
      </c>
    </row>
    <row r="700" spans="1:16" x14ac:dyDescent="0.3">
      <c r="A700" t="s">
        <v>225</v>
      </c>
      <c r="B700" s="6" t="s">
        <v>244</v>
      </c>
      <c r="C700" t="s">
        <v>70</v>
      </c>
      <c r="D700" t="s">
        <v>62</v>
      </c>
      <c r="E700" t="s">
        <v>63</v>
      </c>
      <c r="F700">
        <v>31</v>
      </c>
      <c r="G700">
        <v>65426</v>
      </c>
      <c r="H700">
        <v>5</v>
      </c>
      <c r="I700">
        <v>18</v>
      </c>
      <c r="J700">
        <v>2273618.9300000002</v>
      </c>
      <c r="K700" t="s">
        <v>21</v>
      </c>
      <c r="L700" t="s">
        <v>16</v>
      </c>
      <c r="M700" s="7">
        <v>45799</v>
      </c>
      <c r="N700" s="7">
        <v>45812</v>
      </c>
      <c r="O700" s="8">
        <v>13</v>
      </c>
      <c r="P700" t="str">
        <f t="shared" si="10"/>
        <v>Delayed</v>
      </c>
    </row>
    <row r="701" spans="1:16" x14ac:dyDescent="0.3">
      <c r="A701" t="s">
        <v>93</v>
      </c>
      <c r="B701" s="6" t="s">
        <v>238</v>
      </c>
      <c r="C701" t="s">
        <v>58</v>
      </c>
      <c r="D701" t="s">
        <v>44</v>
      </c>
      <c r="E701" t="s">
        <v>51</v>
      </c>
      <c r="F701">
        <v>31</v>
      </c>
      <c r="G701">
        <v>71215</v>
      </c>
      <c r="H701">
        <v>10</v>
      </c>
      <c r="I701">
        <v>28</v>
      </c>
      <c r="J701">
        <v>2543230.08</v>
      </c>
      <c r="K701" t="s">
        <v>37</v>
      </c>
      <c r="L701" t="s">
        <v>38</v>
      </c>
      <c r="M701" s="7">
        <v>45798</v>
      </c>
      <c r="N701" s="7">
        <v>45799</v>
      </c>
      <c r="O701" s="8">
        <v>1</v>
      </c>
      <c r="P701" t="str">
        <f t="shared" si="10"/>
        <v>On Delivery</v>
      </c>
    </row>
    <row r="702" spans="1:16" x14ac:dyDescent="0.3">
      <c r="A702" t="s">
        <v>94</v>
      </c>
      <c r="B702" s="6" t="s">
        <v>243</v>
      </c>
      <c r="C702" t="s">
        <v>53</v>
      </c>
      <c r="D702" t="s">
        <v>13</v>
      </c>
      <c r="E702" t="s">
        <v>32</v>
      </c>
      <c r="F702">
        <v>9</v>
      </c>
      <c r="G702">
        <v>16773</v>
      </c>
      <c r="H702">
        <v>0</v>
      </c>
      <c r="I702">
        <v>12</v>
      </c>
      <c r="J702">
        <v>169071.84</v>
      </c>
      <c r="K702" t="s">
        <v>15</v>
      </c>
      <c r="L702" t="s">
        <v>26</v>
      </c>
      <c r="M702" s="7">
        <v>45782</v>
      </c>
      <c r="N702" s="7">
        <v>45786</v>
      </c>
      <c r="O702" s="8">
        <v>4</v>
      </c>
      <c r="P702" t="str">
        <f t="shared" si="10"/>
        <v>Delayed</v>
      </c>
    </row>
    <row r="703" spans="1:16" x14ac:dyDescent="0.3">
      <c r="A703" t="s">
        <v>113</v>
      </c>
      <c r="B703" s="6" t="s">
        <v>244</v>
      </c>
      <c r="C703" t="s">
        <v>70</v>
      </c>
      <c r="D703" t="s">
        <v>29</v>
      </c>
      <c r="E703" t="s">
        <v>30</v>
      </c>
      <c r="F703">
        <v>13</v>
      </c>
      <c r="G703">
        <v>1637</v>
      </c>
      <c r="H703">
        <v>5</v>
      </c>
      <c r="I703">
        <v>18</v>
      </c>
      <c r="J703">
        <v>23856</v>
      </c>
      <c r="K703" t="s">
        <v>37</v>
      </c>
      <c r="L703" t="s">
        <v>38</v>
      </c>
      <c r="M703" s="7">
        <v>45670</v>
      </c>
      <c r="N703" s="7">
        <v>45685</v>
      </c>
      <c r="O703" s="8">
        <v>15</v>
      </c>
      <c r="P703" t="str">
        <f t="shared" si="10"/>
        <v>Delayed</v>
      </c>
    </row>
    <row r="704" spans="1:16" x14ac:dyDescent="0.3">
      <c r="A704" t="s">
        <v>105</v>
      </c>
      <c r="B704" s="6" t="s">
        <v>245</v>
      </c>
      <c r="C704" t="s">
        <v>18</v>
      </c>
      <c r="D704" t="s">
        <v>35</v>
      </c>
      <c r="E704" t="s">
        <v>56</v>
      </c>
      <c r="F704">
        <v>16</v>
      </c>
      <c r="G704">
        <v>72734</v>
      </c>
      <c r="H704">
        <v>10</v>
      </c>
      <c r="I704">
        <v>18</v>
      </c>
      <c r="J704">
        <v>1235896.1299999999</v>
      </c>
      <c r="K704" t="s">
        <v>15</v>
      </c>
      <c r="L704" t="s">
        <v>38</v>
      </c>
      <c r="M704" s="7">
        <v>45780</v>
      </c>
      <c r="N704" s="7">
        <v>45790</v>
      </c>
      <c r="O704" s="8">
        <v>10</v>
      </c>
      <c r="P704" t="str">
        <f t="shared" si="10"/>
        <v>Delayed</v>
      </c>
    </row>
    <row r="705" spans="1:16" x14ac:dyDescent="0.3">
      <c r="A705" t="s">
        <v>112</v>
      </c>
      <c r="B705" s="6" t="s">
        <v>243</v>
      </c>
      <c r="C705" t="s">
        <v>53</v>
      </c>
      <c r="D705" t="s">
        <v>48</v>
      </c>
      <c r="E705" t="s">
        <v>49</v>
      </c>
      <c r="F705">
        <v>30</v>
      </c>
      <c r="G705">
        <v>3250</v>
      </c>
      <c r="H705">
        <v>0</v>
      </c>
      <c r="I705">
        <v>12</v>
      </c>
      <c r="J705">
        <v>109200</v>
      </c>
      <c r="K705" t="s">
        <v>15</v>
      </c>
      <c r="L705" t="s">
        <v>38</v>
      </c>
      <c r="M705" s="7">
        <v>45808</v>
      </c>
      <c r="N705" s="7">
        <v>45813</v>
      </c>
      <c r="O705" s="8">
        <v>5</v>
      </c>
      <c r="P705" t="str">
        <f t="shared" si="10"/>
        <v>Delayed</v>
      </c>
    </row>
    <row r="706" spans="1:16" x14ac:dyDescent="0.3">
      <c r="A706" t="s">
        <v>117</v>
      </c>
      <c r="B706" s="6" t="s">
        <v>240</v>
      </c>
      <c r="C706" t="s">
        <v>28</v>
      </c>
      <c r="D706" t="s">
        <v>24</v>
      </c>
      <c r="E706" t="s">
        <v>76</v>
      </c>
      <c r="F706">
        <v>22</v>
      </c>
      <c r="G706">
        <v>84908</v>
      </c>
      <c r="H706">
        <v>0</v>
      </c>
      <c r="I706">
        <v>12</v>
      </c>
      <c r="J706">
        <v>2092133.12</v>
      </c>
      <c r="K706" t="s">
        <v>21</v>
      </c>
      <c r="L706" t="s">
        <v>33</v>
      </c>
      <c r="M706" s="7">
        <v>45778</v>
      </c>
      <c r="N706" s="7">
        <v>45784</v>
      </c>
      <c r="O706" s="8">
        <v>6</v>
      </c>
      <c r="P706" t="str">
        <f t="shared" ref="P706:P769" si="11">IF(O706="","Pending",IF(O706=0,"Delivered",IF(O706&lt;=3,"On Delivery","Delayed")))</f>
        <v>Delayed</v>
      </c>
    </row>
    <row r="707" spans="1:16" x14ac:dyDescent="0.3">
      <c r="A707" t="s">
        <v>139</v>
      </c>
      <c r="B707" s="6" t="s">
        <v>240</v>
      </c>
      <c r="C707" t="s">
        <v>28</v>
      </c>
      <c r="D707" t="s">
        <v>13</v>
      </c>
      <c r="E707" t="s">
        <v>32</v>
      </c>
      <c r="F707">
        <v>17</v>
      </c>
      <c r="G707">
        <v>2648</v>
      </c>
      <c r="H707">
        <v>10</v>
      </c>
      <c r="I707">
        <v>18</v>
      </c>
      <c r="J707">
        <v>47806.99</v>
      </c>
      <c r="K707" t="s">
        <v>46</v>
      </c>
      <c r="L707" t="s">
        <v>38</v>
      </c>
      <c r="M707" s="7">
        <v>45788</v>
      </c>
      <c r="N707" s="7">
        <v>45794</v>
      </c>
      <c r="O707" s="8">
        <v>6</v>
      </c>
      <c r="P707" t="str">
        <f t="shared" si="11"/>
        <v>Delayed</v>
      </c>
    </row>
    <row r="708" spans="1:16" x14ac:dyDescent="0.3">
      <c r="A708" t="s">
        <v>136</v>
      </c>
      <c r="B708" s="6" t="s">
        <v>239</v>
      </c>
      <c r="C708" t="s">
        <v>23</v>
      </c>
      <c r="D708" t="s">
        <v>19</v>
      </c>
      <c r="E708" t="s">
        <v>20</v>
      </c>
      <c r="F708">
        <v>24</v>
      </c>
      <c r="G708">
        <v>51618</v>
      </c>
      <c r="H708">
        <v>5</v>
      </c>
      <c r="I708">
        <v>18</v>
      </c>
      <c r="J708">
        <v>1388730.67</v>
      </c>
      <c r="K708" t="s">
        <v>37</v>
      </c>
      <c r="L708" t="s">
        <v>33</v>
      </c>
      <c r="M708" s="7">
        <v>45704</v>
      </c>
      <c r="N708" s="7">
        <v>45719</v>
      </c>
      <c r="O708" s="8">
        <v>15</v>
      </c>
      <c r="P708" t="str">
        <f t="shared" si="11"/>
        <v>Delayed</v>
      </c>
    </row>
    <row r="709" spans="1:16" x14ac:dyDescent="0.3">
      <c r="A709" t="s">
        <v>124</v>
      </c>
      <c r="B709" s="6" t="s">
        <v>246</v>
      </c>
      <c r="C709" t="s">
        <v>80</v>
      </c>
      <c r="D709" t="s">
        <v>48</v>
      </c>
      <c r="E709" t="s">
        <v>49</v>
      </c>
      <c r="F709">
        <v>25</v>
      </c>
      <c r="G709">
        <v>29167</v>
      </c>
      <c r="H709">
        <v>0</v>
      </c>
      <c r="I709">
        <v>12</v>
      </c>
      <c r="J709">
        <v>816676</v>
      </c>
      <c r="K709" t="s">
        <v>15</v>
      </c>
      <c r="L709" t="s">
        <v>26</v>
      </c>
      <c r="M709" s="7">
        <v>45812</v>
      </c>
      <c r="N709" s="7">
        <v>45816</v>
      </c>
      <c r="O709" s="8">
        <v>4</v>
      </c>
      <c r="P709" t="str">
        <f t="shared" si="11"/>
        <v>Delayed</v>
      </c>
    </row>
    <row r="710" spans="1:16" x14ac:dyDescent="0.3">
      <c r="A710" t="s">
        <v>186</v>
      </c>
      <c r="B710" s="6" t="s">
        <v>243</v>
      </c>
      <c r="C710" t="s">
        <v>53</v>
      </c>
      <c r="D710" t="s">
        <v>48</v>
      </c>
      <c r="E710" t="s">
        <v>59</v>
      </c>
      <c r="F710">
        <v>21</v>
      </c>
      <c r="G710">
        <v>18220</v>
      </c>
      <c r="H710">
        <v>10</v>
      </c>
      <c r="I710">
        <v>12</v>
      </c>
      <c r="J710">
        <v>385680.96</v>
      </c>
      <c r="K710" t="s">
        <v>21</v>
      </c>
      <c r="L710" t="s">
        <v>38</v>
      </c>
      <c r="M710" s="7">
        <v>45742</v>
      </c>
      <c r="N710" s="7">
        <v>45745</v>
      </c>
      <c r="O710" s="8">
        <v>3</v>
      </c>
      <c r="P710" t="str">
        <f t="shared" si="11"/>
        <v>On Delivery</v>
      </c>
    </row>
    <row r="711" spans="1:16" x14ac:dyDescent="0.3">
      <c r="A711" t="s">
        <v>226</v>
      </c>
      <c r="B711" s="6" t="s">
        <v>245</v>
      </c>
      <c r="C711" t="s">
        <v>18</v>
      </c>
      <c r="D711" t="s">
        <v>13</v>
      </c>
      <c r="E711" t="s">
        <v>32</v>
      </c>
      <c r="F711">
        <v>32</v>
      </c>
      <c r="G711">
        <v>6423</v>
      </c>
      <c r="H711">
        <v>5</v>
      </c>
      <c r="I711">
        <v>28</v>
      </c>
      <c r="J711">
        <v>249931.78</v>
      </c>
      <c r="K711" t="s">
        <v>46</v>
      </c>
      <c r="L711" t="s">
        <v>38</v>
      </c>
      <c r="M711" s="7">
        <v>45680</v>
      </c>
      <c r="N711" s="7">
        <v>45683</v>
      </c>
      <c r="O711" s="8">
        <v>3</v>
      </c>
      <c r="P711" t="str">
        <f t="shared" si="11"/>
        <v>On Delivery</v>
      </c>
    </row>
    <row r="712" spans="1:16" x14ac:dyDescent="0.3">
      <c r="A712" t="s">
        <v>11</v>
      </c>
      <c r="B712" s="6" t="s">
        <v>242</v>
      </c>
      <c r="C712" t="s">
        <v>12</v>
      </c>
      <c r="D712" t="s">
        <v>29</v>
      </c>
      <c r="E712" t="s">
        <v>30</v>
      </c>
      <c r="F712">
        <v>8</v>
      </c>
      <c r="G712">
        <v>33449</v>
      </c>
      <c r="H712">
        <v>0</v>
      </c>
      <c r="I712">
        <v>12</v>
      </c>
      <c r="J712">
        <v>299703.03999999998</v>
      </c>
      <c r="K712" t="s">
        <v>46</v>
      </c>
      <c r="L712" t="s">
        <v>33</v>
      </c>
      <c r="M712" s="7">
        <v>45684</v>
      </c>
      <c r="N712" s="7">
        <v>45687</v>
      </c>
      <c r="O712" s="8">
        <v>3</v>
      </c>
      <c r="P712" t="str">
        <f t="shared" si="11"/>
        <v>On Delivery</v>
      </c>
    </row>
    <row r="713" spans="1:16" x14ac:dyDescent="0.3">
      <c r="A713" t="s">
        <v>17</v>
      </c>
      <c r="B713" s="6" t="s">
        <v>242</v>
      </c>
      <c r="C713" t="s">
        <v>12</v>
      </c>
      <c r="D713" t="s">
        <v>35</v>
      </c>
      <c r="E713" t="s">
        <v>77</v>
      </c>
      <c r="F713">
        <v>30</v>
      </c>
      <c r="G713">
        <v>79969</v>
      </c>
      <c r="H713">
        <v>10</v>
      </c>
      <c r="I713">
        <v>28</v>
      </c>
      <c r="J713">
        <v>2763728.64</v>
      </c>
      <c r="K713" t="s">
        <v>46</v>
      </c>
      <c r="L713" t="s">
        <v>33</v>
      </c>
      <c r="M713" s="7">
        <v>45819</v>
      </c>
      <c r="N713" s="7">
        <v>45822</v>
      </c>
      <c r="O713" s="8">
        <v>3</v>
      </c>
      <c r="P713" t="str">
        <f t="shared" si="11"/>
        <v>On Delivery</v>
      </c>
    </row>
    <row r="714" spans="1:16" x14ac:dyDescent="0.3">
      <c r="A714" t="s">
        <v>103</v>
      </c>
      <c r="B714" s="6" t="s">
        <v>243</v>
      </c>
      <c r="C714" t="s">
        <v>53</v>
      </c>
      <c r="D714" t="s">
        <v>62</v>
      </c>
      <c r="E714" t="s">
        <v>63</v>
      </c>
      <c r="F714">
        <v>17</v>
      </c>
      <c r="G714">
        <v>81447</v>
      </c>
      <c r="H714">
        <v>0</v>
      </c>
      <c r="I714">
        <v>28</v>
      </c>
      <c r="J714">
        <v>1772286.72</v>
      </c>
      <c r="K714" t="s">
        <v>15</v>
      </c>
      <c r="L714" t="s">
        <v>38</v>
      </c>
      <c r="M714" s="7">
        <v>45674</v>
      </c>
      <c r="N714" s="7">
        <v>45689</v>
      </c>
      <c r="O714" s="8">
        <v>15</v>
      </c>
      <c r="P714" t="str">
        <f t="shared" si="11"/>
        <v>Delayed</v>
      </c>
    </row>
    <row r="715" spans="1:16" x14ac:dyDescent="0.3">
      <c r="A715" t="s">
        <v>85</v>
      </c>
      <c r="B715" s="6" t="s">
        <v>242</v>
      </c>
      <c r="C715" t="s">
        <v>12</v>
      </c>
      <c r="D715" t="s">
        <v>19</v>
      </c>
      <c r="E715" t="s">
        <v>20</v>
      </c>
      <c r="F715">
        <v>18</v>
      </c>
      <c r="G715">
        <v>83578</v>
      </c>
      <c r="H715">
        <v>5</v>
      </c>
      <c r="I715">
        <v>12</v>
      </c>
      <c r="J715">
        <v>1600685.86</v>
      </c>
      <c r="K715" t="s">
        <v>46</v>
      </c>
      <c r="L715" t="s">
        <v>26</v>
      </c>
      <c r="M715" s="7">
        <v>45761</v>
      </c>
      <c r="N715" s="7">
        <v>45773</v>
      </c>
      <c r="O715" s="8">
        <v>12</v>
      </c>
      <c r="P715" t="str">
        <f t="shared" si="11"/>
        <v>Delayed</v>
      </c>
    </row>
    <row r="716" spans="1:16" x14ac:dyDescent="0.3">
      <c r="A716" t="s">
        <v>189</v>
      </c>
      <c r="B716" s="6" t="s">
        <v>244</v>
      </c>
      <c r="C716" t="s">
        <v>70</v>
      </c>
      <c r="D716" t="s">
        <v>19</v>
      </c>
      <c r="E716" t="s">
        <v>20</v>
      </c>
      <c r="F716">
        <v>32</v>
      </c>
      <c r="G716">
        <v>69635</v>
      </c>
      <c r="H716">
        <v>12</v>
      </c>
      <c r="I716">
        <v>28</v>
      </c>
      <c r="J716">
        <v>2509979.65</v>
      </c>
      <c r="K716" t="s">
        <v>46</v>
      </c>
      <c r="L716" t="s">
        <v>26</v>
      </c>
      <c r="M716" s="7">
        <v>45751</v>
      </c>
      <c r="N716" s="7">
        <v>45761</v>
      </c>
      <c r="O716" s="8">
        <v>10</v>
      </c>
      <c r="P716" t="str">
        <f t="shared" si="11"/>
        <v>Delayed</v>
      </c>
    </row>
    <row r="717" spans="1:16" x14ac:dyDescent="0.3">
      <c r="A717" t="s">
        <v>196</v>
      </c>
      <c r="B717" s="6" t="s">
        <v>240</v>
      </c>
      <c r="C717" t="s">
        <v>28</v>
      </c>
      <c r="D717" t="s">
        <v>44</v>
      </c>
      <c r="E717" t="s">
        <v>51</v>
      </c>
      <c r="F717">
        <v>5</v>
      </c>
      <c r="G717">
        <v>36377</v>
      </c>
      <c r="H717">
        <v>12</v>
      </c>
      <c r="I717">
        <v>28</v>
      </c>
      <c r="J717">
        <v>204875.26</v>
      </c>
      <c r="K717" t="s">
        <v>15</v>
      </c>
      <c r="L717" t="s">
        <v>33</v>
      </c>
      <c r="M717" s="7">
        <v>45813</v>
      </c>
      <c r="N717" s="7">
        <v>45821</v>
      </c>
      <c r="O717" s="8">
        <v>8</v>
      </c>
      <c r="P717" t="str">
        <f t="shared" si="11"/>
        <v>Delayed</v>
      </c>
    </row>
    <row r="718" spans="1:16" x14ac:dyDescent="0.3">
      <c r="A718" t="s">
        <v>227</v>
      </c>
      <c r="B718" s="6" t="s">
        <v>241</v>
      </c>
      <c r="C718" t="s">
        <v>42</v>
      </c>
      <c r="D718" t="s">
        <v>19</v>
      </c>
      <c r="E718" t="s">
        <v>20</v>
      </c>
      <c r="F718">
        <v>31</v>
      </c>
      <c r="G718">
        <v>54020</v>
      </c>
      <c r="H718">
        <v>5</v>
      </c>
      <c r="I718">
        <v>18</v>
      </c>
      <c r="J718">
        <v>1877249.02</v>
      </c>
      <c r="K718" t="s">
        <v>37</v>
      </c>
      <c r="L718" t="s">
        <v>26</v>
      </c>
      <c r="M718" s="7">
        <v>45715</v>
      </c>
      <c r="N718" s="7">
        <v>45716</v>
      </c>
      <c r="O718" s="8">
        <v>1</v>
      </c>
      <c r="P718" t="str">
        <f t="shared" si="11"/>
        <v>On Delivery</v>
      </c>
    </row>
    <row r="719" spans="1:16" x14ac:dyDescent="0.3">
      <c r="A719" t="s">
        <v>149</v>
      </c>
      <c r="B719" s="6" t="s">
        <v>240</v>
      </c>
      <c r="C719" t="s">
        <v>28</v>
      </c>
      <c r="D719" t="s">
        <v>35</v>
      </c>
      <c r="E719" t="s">
        <v>77</v>
      </c>
      <c r="F719">
        <v>17</v>
      </c>
      <c r="G719">
        <v>42707</v>
      </c>
      <c r="H719">
        <v>10</v>
      </c>
      <c r="I719">
        <v>28</v>
      </c>
      <c r="J719">
        <v>836373.89</v>
      </c>
      <c r="K719" t="s">
        <v>21</v>
      </c>
      <c r="L719" t="s">
        <v>16</v>
      </c>
      <c r="M719" s="7">
        <v>45790</v>
      </c>
      <c r="N719" s="7">
        <v>45802</v>
      </c>
      <c r="O719" s="8">
        <v>12</v>
      </c>
      <c r="P719" t="str">
        <f t="shared" si="11"/>
        <v>Delayed</v>
      </c>
    </row>
    <row r="720" spans="1:16" x14ac:dyDescent="0.3">
      <c r="A720" t="s">
        <v>215</v>
      </c>
      <c r="B720" s="6" t="s">
        <v>244</v>
      </c>
      <c r="C720" t="s">
        <v>70</v>
      </c>
      <c r="D720" t="s">
        <v>13</v>
      </c>
      <c r="E720" t="s">
        <v>14</v>
      </c>
      <c r="F720">
        <v>35</v>
      </c>
      <c r="G720">
        <v>42412</v>
      </c>
      <c r="H720">
        <v>5</v>
      </c>
      <c r="I720">
        <v>12</v>
      </c>
      <c r="J720">
        <v>1579422.88</v>
      </c>
      <c r="K720" t="s">
        <v>37</v>
      </c>
      <c r="L720" t="s">
        <v>16</v>
      </c>
      <c r="M720" s="7">
        <v>45805</v>
      </c>
      <c r="N720" s="7">
        <v>45815</v>
      </c>
      <c r="O720" s="8">
        <v>10</v>
      </c>
      <c r="P720" t="str">
        <f t="shared" si="11"/>
        <v>Delayed</v>
      </c>
    </row>
    <row r="721" spans="1:16" x14ac:dyDescent="0.3">
      <c r="A721" t="s">
        <v>98</v>
      </c>
      <c r="B721" s="6" t="s">
        <v>238</v>
      </c>
      <c r="C721" t="s">
        <v>58</v>
      </c>
      <c r="D721" t="s">
        <v>29</v>
      </c>
      <c r="E721" t="s">
        <v>30</v>
      </c>
      <c r="F721">
        <v>21</v>
      </c>
      <c r="G721">
        <v>58972</v>
      </c>
      <c r="H721">
        <v>12</v>
      </c>
      <c r="I721">
        <v>28</v>
      </c>
      <c r="J721">
        <v>1394947.28</v>
      </c>
      <c r="K721" t="s">
        <v>15</v>
      </c>
      <c r="L721" t="s">
        <v>33</v>
      </c>
      <c r="M721" s="7">
        <v>45727</v>
      </c>
      <c r="N721" s="7">
        <v>45739</v>
      </c>
      <c r="O721" s="8">
        <v>12</v>
      </c>
      <c r="P721" t="str">
        <f t="shared" si="11"/>
        <v>Delayed</v>
      </c>
    </row>
    <row r="722" spans="1:16" x14ac:dyDescent="0.3">
      <c r="A722" t="s">
        <v>172</v>
      </c>
      <c r="B722" s="6" t="s">
        <v>244</v>
      </c>
      <c r="C722" t="s">
        <v>70</v>
      </c>
      <c r="D722" t="s">
        <v>62</v>
      </c>
      <c r="E722" t="s">
        <v>63</v>
      </c>
      <c r="F722">
        <v>4</v>
      </c>
      <c r="G722">
        <v>24513</v>
      </c>
      <c r="H722">
        <v>5</v>
      </c>
      <c r="I722">
        <v>28</v>
      </c>
      <c r="J722">
        <v>119231.23</v>
      </c>
      <c r="K722" t="s">
        <v>21</v>
      </c>
      <c r="L722" t="s">
        <v>26</v>
      </c>
      <c r="M722" s="7">
        <v>45841</v>
      </c>
      <c r="N722" s="7">
        <v>45854</v>
      </c>
      <c r="O722" s="8">
        <v>13</v>
      </c>
      <c r="P722" t="str">
        <f t="shared" si="11"/>
        <v>Delayed</v>
      </c>
    </row>
    <row r="723" spans="1:16" x14ac:dyDescent="0.3">
      <c r="A723" t="s">
        <v>177</v>
      </c>
      <c r="B723" s="6" t="s">
        <v>242</v>
      </c>
      <c r="C723" t="s">
        <v>12</v>
      </c>
      <c r="D723" t="s">
        <v>44</v>
      </c>
      <c r="E723" t="s">
        <v>45</v>
      </c>
      <c r="F723">
        <v>24</v>
      </c>
      <c r="G723">
        <v>7668</v>
      </c>
      <c r="H723">
        <v>5</v>
      </c>
      <c r="I723">
        <v>18</v>
      </c>
      <c r="J723">
        <v>206299.87</v>
      </c>
      <c r="K723" t="s">
        <v>21</v>
      </c>
      <c r="L723" t="s">
        <v>16</v>
      </c>
      <c r="M723" s="7">
        <v>45820</v>
      </c>
      <c r="N723" s="7">
        <v>45830</v>
      </c>
      <c r="O723" s="8">
        <v>10</v>
      </c>
      <c r="P723" t="str">
        <f t="shared" si="11"/>
        <v>Delayed</v>
      </c>
    </row>
    <row r="724" spans="1:16" x14ac:dyDescent="0.3">
      <c r="A724" t="s">
        <v>219</v>
      </c>
      <c r="B724" s="6" t="s">
        <v>246</v>
      </c>
      <c r="C724" t="s">
        <v>80</v>
      </c>
      <c r="D724" t="s">
        <v>19</v>
      </c>
      <c r="E724" t="s">
        <v>20</v>
      </c>
      <c r="F724">
        <v>3</v>
      </c>
      <c r="G724">
        <v>40647</v>
      </c>
      <c r="H724">
        <v>5</v>
      </c>
      <c r="I724">
        <v>18</v>
      </c>
      <c r="J724">
        <v>136695.85999999999</v>
      </c>
      <c r="K724" t="s">
        <v>37</v>
      </c>
      <c r="L724" t="s">
        <v>16</v>
      </c>
      <c r="M724" s="7">
        <v>45685</v>
      </c>
      <c r="N724" s="7">
        <v>45691</v>
      </c>
      <c r="O724" s="8">
        <v>6</v>
      </c>
      <c r="P724" t="str">
        <f t="shared" si="11"/>
        <v>Delayed</v>
      </c>
    </row>
    <row r="725" spans="1:16" x14ac:dyDescent="0.3">
      <c r="A725" t="s">
        <v>124</v>
      </c>
      <c r="B725" s="6" t="s">
        <v>246</v>
      </c>
      <c r="C725" t="s">
        <v>80</v>
      </c>
      <c r="D725" t="s">
        <v>35</v>
      </c>
      <c r="E725" t="s">
        <v>36</v>
      </c>
      <c r="F725">
        <v>17</v>
      </c>
      <c r="G725">
        <v>20606</v>
      </c>
      <c r="H725">
        <v>10</v>
      </c>
      <c r="I725">
        <v>12</v>
      </c>
      <c r="J725">
        <v>353104.42</v>
      </c>
      <c r="K725" t="s">
        <v>21</v>
      </c>
      <c r="L725" t="s">
        <v>16</v>
      </c>
      <c r="M725" s="7">
        <v>45816</v>
      </c>
      <c r="N725" s="7">
        <v>45818</v>
      </c>
      <c r="O725" s="8">
        <v>2</v>
      </c>
      <c r="P725" t="str">
        <f t="shared" si="11"/>
        <v>On Delivery</v>
      </c>
    </row>
    <row r="726" spans="1:16" x14ac:dyDescent="0.3">
      <c r="A726" t="s">
        <v>102</v>
      </c>
      <c r="B726" s="6" t="s">
        <v>244</v>
      </c>
      <c r="C726" t="s">
        <v>70</v>
      </c>
      <c r="D726" t="s">
        <v>35</v>
      </c>
      <c r="E726" t="s">
        <v>36</v>
      </c>
      <c r="F726">
        <v>25</v>
      </c>
      <c r="G726">
        <v>10339</v>
      </c>
      <c r="H726">
        <v>12</v>
      </c>
      <c r="I726">
        <v>18</v>
      </c>
      <c r="J726">
        <v>268400.44</v>
      </c>
      <c r="K726" t="s">
        <v>46</v>
      </c>
      <c r="L726" t="s">
        <v>26</v>
      </c>
      <c r="M726" s="7">
        <v>45742</v>
      </c>
      <c r="N726" s="7">
        <v>45750</v>
      </c>
      <c r="O726" s="8">
        <v>8</v>
      </c>
      <c r="P726" t="str">
        <f t="shared" si="11"/>
        <v>Delayed</v>
      </c>
    </row>
    <row r="727" spans="1:16" x14ac:dyDescent="0.3">
      <c r="A727" t="s">
        <v>71</v>
      </c>
      <c r="B727" s="6" t="s">
        <v>242</v>
      </c>
      <c r="C727" t="s">
        <v>12</v>
      </c>
      <c r="D727" t="s">
        <v>24</v>
      </c>
      <c r="E727" t="s">
        <v>25</v>
      </c>
      <c r="F727">
        <v>15</v>
      </c>
      <c r="G727">
        <v>66646</v>
      </c>
      <c r="H727">
        <v>10</v>
      </c>
      <c r="I727">
        <v>12</v>
      </c>
      <c r="J727">
        <v>1007687.52</v>
      </c>
      <c r="K727" t="s">
        <v>21</v>
      </c>
      <c r="L727" t="s">
        <v>16</v>
      </c>
      <c r="M727" s="7">
        <v>45728</v>
      </c>
      <c r="N727" s="7">
        <v>45742</v>
      </c>
      <c r="O727" s="8">
        <v>14</v>
      </c>
      <c r="P727" t="str">
        <f t="shared" si="11"/>
        <v>Delayed</v>
      </c>
    </row>
    <row r="728" spans="1:16" x14ac:dyDescent="0.3">
      <c r="A728" t="s">
        <v>160</v>
      </c>
      <c r="B728" s="6" t="s">
        <v>243</v>
      </c>
      <c r="C728" t="s">
        <v>53</v>
      </c>
      <c r="D728" t="s">
        <v>13</v>
      </c>
      <c r="E728" t="s">
        <v>32</v>
      </c>
      <c r="F728">
        <v>32</v>
      </c>
      <c r="G728">
        <v>16771</v>
      </c>
      <c r="H728">
        <v>0</v>
      </c>
      <c r="I728">
        <v>18</v>
      </c>
      <c r="J728">
        <v>633272.96</v>
      </c>
      <c r="K728" t="s">
        <v>15</v>
      </c>
      <c r="L728" t="s">
        <v>16</v>
      </c>
      <c r="M728" s="7">
        <v>45730</v>
      </c>
      <c r="N728" s="7">
        <v>45742</v>
      </c>
      <c r="O728" s="8">
        <v>12</v>
      </c>
      <c r="P728" t="str">
        <f t="shared" si="11"/>
        <v>Delayed</v>
      </c>
    </row>
    <row r="729" spans="1:16" x14ac:dyDescent="0.3">
      <c r="A729" t="s">
        <v>219</v>
      </c>
      <c r="B729" s="6" t="s">
        <v>242</v>
      </c>
      <c r="C729" t="s">
        <v>12</v>
      </c>
      <c r="D729" t="s">
        <v>24</v>
      </c>
      <c r="E729" t="s">
        <v>40</v>
      </c>
      <c r="F729">
        <v>24</v>
      </c>
      <c r="G729">
        <v>32224</v>
      </c>
      <c r="H729">
        <v>10</v>
      </c>
      <c r="I729">
        <v>28</v>
      </c>
      <c r="J729">
        <v>890929.15</v>
      </c>
      <c r="K729" t="s">
        <v>46</v>
      </c>
      <c r="L729" t="s">
        <v>26</v>
      </c>
      <c r="M729" s="7">
        <v>45682</v>
      </c>
      <c r="N729" s="7">
        <v>45689</v>
      </c>
      <c r="O729" s="8">
        <v>7</v>
      </c>
      <c r="P729" t="str">
        <f t="shared" si="11"/>
        <v>Delayed</v>
      </c>
    </row>
    <row r="730" spans="1:16" x14ac:dyDescent="0.3">
      <c r="A730" t="s">
        <v>109</v>
      </c>
      <c r="B730" s="6" t="s">
        <v>243</v>
      </c>
      <c r="C730" t="s">
        <v>53</v>
      </c>
      <c r="D730" t="s">
        <v>44</v>
      </c>
      <c r="E730" t="s">
        <v>51</v>
      </c>
      <c r="F730">
        <v>32</v>
      </c>
      <c r="G730">
        <v>38397</v>
      </c>
      <c r="H730">
        <v>10</v>
      </c>
      <c r="I730">
        <v>18</v>
      </c>
      <c r="J730">
        <v>1304883.6499999999</v>
      </c>
      <c r="K730" t="s">
        <v>37</v>
      </c>
      <c r="L730" t="s">
        <v>38</v>
      </c>
      <c r="M730" s="7">
        <v>45714</v>
      </c>
      <c r="N730" s="7">
        <v>45726</v>
      </c>
      <c r="O730" s="8">
        <v>12</v>
      </c>
      <c r="P730" t="str">
        <f t="shared" si="11"/>
        <v>Delayed</v>
      </c>
    </row>
    <row r="731" spans="1:16" x14ac:dyDescent="0.3">
      <c r="A731" t="s">
        <v>111</v>
      </c>
      <c r="B731" s="6" t="s">
        <v>239</v>
      </c>
      <c r="C731" t="s">
        <v>23</v>
      </c>
      <c r="D731" t="s">
        <v>35</v>
      </c>
      <c r="E731" t="s">
        <v>36</v>
      </c>
      <c r="F731">
        <v>11</v>
      </c>
      <c r="G731">
        <v>32674</v>
      </c>
      <c r="H731">
        <v>10</v>
      </c>
      <c r="I731">
        <v>18</v>
      </c>
      <c r="J731">
        <v>381697.67</v>
      </c>
      <c r="K731" t="s">
        <v>46</v>
      </c>
      <c r="L731" t="s">
        <v>33</v>
      </c>
      <c r="M731" s="7">
        <v>45731</v>
      </c>
      <c r="N731" s="7">
        <v>45736</v>
      </c>
      <c r="O731" s="8">
        <v>5</v>
      </c>
      <c r="P731" t="str">
        <f t="shared" si="11"/>
        <v>Delayed</v>
      </c>
    </row>
    <row r="732" spans="1:16" x14ac:dyDescent="0.3">
      <c r="A732" t="s">
        <v>122</v>
      </c>
      <c r="B732" s="6" t="s">
        <v>239</v>
      </c>
      <c r="C732" t="s">
        <v>23</v>
      </c>
      <c r="D732" t="s">
        <v>24</v>
      </c>
      <c r="E732" t="s">
        <v>25</v>
      </c>
      <c r="F732">
        <v>13</v>
      </c>
      <c r="G732">
        <v>3000</v>
      </c>
      <c r="H732">
        <v>10</v>
      </c>
      <c r="I732">
        <v>12</v>
      </c>
      <c r="J732">
        <v>39312</v>
      </c>
      <c r="K732" t="s">
        <v>21</v>
      </c>
      <c r="L732" t="s">
        <v>26</v>
      </c>
      <c r="M732" s="7">
        <v>45723</v>
      </c>
      <c r="N732" s="7">
        <v>45728</v>
      </c>
      <c r="O732" s="8">
        <v>5</v>
      </c>
      <c r="P732" t="str">
        <f t="shared" si="11"/>
        <v>Delayed</v>
      </c>
    </row>
    <row r="733" spans="1:16" x14ac:dyDescent="0.3">
      <c r="A733" t="s">
        <v>134</v>
      </c>
      <c r="B733" s="6" t="s">
        <v>246</v>
      </c>
      <c r="C733" t="s">
        <v>80</v>
      </c>
      <c r="D733" t="s">
        <v>13</v>
      </c>
      <c r="E733" t="s">
        <v>32</v>
      </c>
      <c r="F733">
        <v>10</v>
      </c>
      <c r="G733">
        <v>38751</v>
      </c>
      <c r="H733">
        <v>12</v>
      </c>
      <c r="I733">
        <v>12</v>
      </c>
      <c r="J733">
        <v>381929.86</v>
      </c>
      <c r="K733" t="s">
        <v>21</v>
      </c>
      <c r="L733" t="s">
        <v>26</v>
      </c>
      <c r="M733" s="7">
        <v>45767</v>
      </c>
      <c r="N733" s="7">
        <v>45771</v>
      </c>
      <c r="O733" s="8">
        <v>4</v>
      </c>
      <c r="P733" t="str">
        <f t="shared" si="11"/>
        <v>Delayed</v>
      </c>
    </row>
    <row r="734" spans="1:16" x14ac:dyDescent="0.3">
      <c r="A734" t="s">
        <v>100</v>
      </c>
      <c r="B734" s="6" t="s">
        <v>242</v>
      </c>
      <c r="C734" t="s">
        <v>12</v>
      </c>
      <c r="D734" t="s">
        <v>35</v>
      </c>
      <c r="E734" t="s">
        <v>36</v>
      </c>
      <c r="F734">
        <v>33</v>
      </c>
      <c r="G734">
        <v>22975</v>
      </c>
      <c r="H734">
        <v>12</v>
      </c>
      <c r="I734">
        <v>18</v>
      </c>
      <c r="J734">
        <v>787288.92</v>
      </c>
      <c r="K734" t="s">
        <v>21</v>
      </c>
      <c r="L734" t="s">
        <v>26</v>
      </c>
      <c r="M734" s="7">
        <v>45761</v>
      </c>
      <c r="N734" s="7">
        <v>45765</v>
      </c>
      <c r="O734" s="8">
        <v>4</v>
      </c>
      <c r="P734" t="str">
        <f t="shared" si="11"/>
        <v>Delayed</v>
      </c>
    </row>
    <row r="735" spans="1:16" x14ac:dyDescent="0.3">
      <c r="A735" t="s">
        <v>103</v>
      </c>
      <c r="B735" s="6" t="s">
        <v>238</v>
      </c>
      <c r="C735" t="s">
        <v>58</v>
      </c>
      <c r="D735" t="s">
        <v>13</v>
      </c>
      <c r="E735" t="s">
        <v>14</v>
      </c>
      <c r="F735">
        <v>29</v>
      </c>
      <c r="G735">
        <v>60150</v>
      </c>
      <c r="H735">
        <v>10</v>
      </c>
      <c r="I735">
        <v>18</v>
      </c>
      <c r="J735">
        <v>1852499.7</v>
      </c>
      <c r="K735" t="s">
        <v>15</v>
      </c>
      <c r="L735" t="s">
        <v>33</v>
      </c>
      <c r="M735" s="7">
        <v>45672</v>
      </c>
      <c r="N735" s="7">
        <v>45672</v>
      </c>
      <c r="O735" s="8">
        <v>0</v>
      </c>
      <c r="P735" t="str">
        <f t="shared" si="11"/>
        <v>Delivered</v>
      </c>
    </row>
    <row r="736" spans="1:16" x14ac:dyDescent="0.3">
      <c r="A736" t="s">
        <v>176</v>
      </c>
      <c r="B736" s="6" t="s">
        <v>242</v>
      </c>
      <c r="C736" t="s">
        <v>12</v>
      </c>
      <c r="D736" t="s">
        <v>44</v>
      </c>
      <c r="E736" t="s">
        <v>51</v>
      </c>
      <c r="F736">
        <v>25</v>
      </c>
      <c r="G736">
        <v>55802</v>
      </c>
      <c r="H736">
        <v>0</v>
      </c>
      <c r="I736">
        <v>12</v>
      </c>
      <c r="J736">
        <v>1562456</v>
      </c>
      <c r="K736" t="s">
        <v>46</v>
      </c>
      <c r="L736" t="s">
        <v>38</v>
      </c>
      <c r="M736" s="7">
        <v>45779</v>
      </c>
      <c r="N736" s="7">
        <v>45783</v>
      </c>
      <c r="O736" s="8">
        <v>4</v>
      </c>
      <c r="P736" t="str">
        <f t="shared" si="11"/>
        <v>Delayed</v>
      </c>
    </row>
    <row r="737" spans="1:16" x14ac:dyDescent="0.3">
      <c r="A737" t="s">
        <v>164</v>
      </c>
      <c r="B737" s="6" t="s">
        <v>238</v>
      </c>
      <c r="C737" t="s">
        <v>58</v>
      </c>
      <c r="D737" t="s">
        <v>44</v>
      </c>
      <c r="E737" t="s">
        <v>51</v>
      </c>
      <c r="F737">
        <v>11</v>
      </c>
      <c r="G737">
        <v>19224</v>
      </c>
      <c r="H737">
        <v>5</v>
      </c>
      <c r="I737">
        <v>12</v>
      </c>
      <c r="J737">
        <v>224997.7</v>
      </c>
      <c r="K737" t="s">
        <v>21</v>
      </c>
      <c r="L737" t="s">
        <v>33</v>
      </c>
      <c r="M737" s="7">
        <v>45693</v>
      </c>
      <c r="N737" s="7">
        <v>45698</v>
      </c>
      <c r="O737" s="8">
        <v>5</v>
      </c>
      <c r="P737" t="str">
        <f t="shared" si="11"/>
        <v>Delayed</v>
      </c>
    </row>
    <row r="738" spans="1:16" x14ac:dyDescent="0.3">
      <c r="A738" t="s">
        <v>101</v>
      </c>
      <c r="B738" s="6" t="s">
        <v>242</v>
      </c>
      <c r="C738" t="s">
        <v>12</v>
      </c>
      <c r="D738" t="s">
        <v>24</v>
      </c>
      <c r="E738" t="s">
        <v>25</v>
      </c>
      <c r="F738">
        <v>29</v>
      </c>
      <c r="G738">
        <v>58944</v>
      </c>
      <c r="H738">
        <v>10</v>
      </c>
      <c r="I738">
        <v>12</v>
      </c>
      <c r="J738">
        <v>1723051.01</v>
      </c>
      <c r="K738" t="s">
        <v>15</v>
      </c>
      <c r="L738" t="s">
        <v>33</v>
      </c>
      <c r="M738" s="7">
        <v>45725</v>
      </c>
      <c r="N738" s="7">
        <v>45739</v>
      </c>
      <c r="O738" s="8">
        <v>14</v>
      </c>
      <c r="P738" t="str">
        <f t="shared" si="11"/>
        <v>Delayed</v>
      </c>
    </row>
    <row r="739" spans="1:16" x14ac:dyDescent="0.3">
      <c r="A739" t="s">
        <v>176</v>
      </c>
      <c r="B739" s="6" t="s">
        <v>240</v>
      </c>
      <c r="C739" t="s">
        <v>28</v>
      </c>
      <c r="D739" t="s">
        <v>44</v>
      </c>
      <c r="E739" t="s">
        <v>45</v>
      </c>
      <c r="F739">
        <v>33</v>
      </c>
      <c r="G739">
        <v>82385</v>
      </c>
      <c r="H739">
        <v>5</v>
      </c>
      <c r="I739">
        <v>28</v>
      </c>
      <c r="J739">
        <v>3305945.28</v>
      </c>
      <c r="K739" t="s">
        <v>15</v>
      </c>
      <c r="L739" t="s">
        <v>38</v>
      </c>
      <c r="M739" s="7">
        <v>45775</v>
      </c>
      <c r="N739" s="7">
        <v>45786</v>
      </c>
      <c r="O739" s="8">
        <v>11</v>
      </c>
      <c r="P739" t="str">
        <f t="shared" si="11"/>
        <v>Delayed</v>
      </c>
    </row>
    <row r="740" spans="1:16" x14ac:dyDescent="0.3">
      <c r="A740" t="s">
        <v>220</v>
      </c>
      <c r="B740" s="6" t="s">
        <v>239</v>
      </c>
      <c r="C740" t="s">
        <v>23</v>
      </c>
      <c r="D740" t="s">
        <v>19</v>
      </c>
      <c r="E740" t="s">
        <v>20</v>
      </c>
      <c r="F740">
        <v>18</v>
      </c>
      <c r="G740">
        <v>82585</v>
      </c>
      <c r="H740">
        <v>5</v>
      </c>
      <c r="I740">
        <v>12</v>
      </c>
      <c r="J740">
        <v>1581667.92</v>
      </c>
      <c r="K740" t="s">
        <v>46</v>
      </c>
      <c r="L740" t="s">
        <v>38</v>
      </c>
      <c r="M740" s="7">
        <v>45748</v>
      </c>
      <c r="N740" s="7">
        <v>45760</v>
      </c>
      <c r="O740" s="8">
        <v>12</v>
      </c>
      <c r="P740" t="str">
        <f t="shared" si="11"/>
        <v>Delayed</v>
      </c>
    </row>
    <row r="741" spans="1:16" x14ac:dyDescent="0.3">
      <c r="A741" t="s">
        <v>120</v>
      </c>
      <c r="B741" s="6" t="s">
        <v>245</v>
      </c>
      <c r="C741" t="s">
        <v>18</v>
      </c>
      <c r="D741" t="s">
        <v>29</v>
      </c>
      <c r="E741" t="s">
        <v>30</v>
      </c>
      <c r="F741">
        <v>26</v>
      </c>
      <c r="G741">
        <v>21836</v>
      </c>
      <c r="H741">
        <v>5</v>
      </c>
      <c r="I741">
        <v>18</v>
      </c>
      <c r="J741">
        <v>636432.06000000006</v>
      </c>
      <c r="K741" t="s">
        <v>15</v>
      </c>
      <c r="L741" t="s">
        <v>38</v>
      </c>
      <c r="M741" s="7">
        <v>45697</v>
      </c>
      <c r="N741" s="7">
        <v>45700</v>
      </c>
      <c r="O741" s="8">
        <v>3</v>
      </c>
      <c r="P741" t="str">
        <f t="shared" si="11"/>
        <v>On Delivery</v>
      </c>
    </row>
    <row r="742" spans="1:16" x14ac:dyDescent="0.3">
      <c r="A742" t="s">
        <v>166</v>
      </c>
      <c r="B742" s="6" t="s">
        <v>242</v>
      </c>
      <c r="C742" t="s">
        <v>12</v>
      </c>
      <c r="D742" t="s">
        <v>62</v>
      </c>
      <c r="E742" t="s">
        <v>63</v>
      </c>
      <c r="F742">
        <v>40</v>
      </c>
      <c r="G742">
        <v>70219</v>
      </c>
      <c r="H742">
        <v>5</v>
      </c>
      <c r="I742">
        <v>28</v>
      </c>
      <c r="J742">
        <v>3415452.16</v>
      </c>
      <c r="K742" t="s">
        <v>15</v>
      </c>
      <c r="L742" t="s">
        <v>38</v>
      </c>
      <c r="M742" s="7">
        <v>45759</v>
      </c>
      <c r="N742" s="7">
        <v>45759</v>
      </c>
      <c r="O742" s="8">
        <v>0</v>
      </c>
      <c r="P742" t="str">
        <f t="shared" si="11"/>
        <v>Delivered</v>
      </c>
    </row>
    <row r="743" spans="1:16" x14ac:dyDescent="0.3">
      <c r="A743" t="s">
        <v>164</v>
      </c>
      <c r="B743" s="6" t="s">
        <v>243</v>
      </c>
      <c r="C743" t="s">
        <v>53</v>
      </c>
      <c r="D743" t="s">
        <v>35</v>
      </c>
      <c r="E743" t="s">
        <v>77</v>
      </c>
      <c r="F743">
        <v>4</v>
      </c>
      <c r="G743">
        <v>33207</v>
      </c>
      <c r="H743">
        <v>12</v>
      </c>
      <c r="I743">
        <v>18</v>
      </c>
      <c r="J743">
        <v>137928.6</v>
      </c>
      <c r="K743" t="s">
        <v>37</v>
      </c>
      <c r="L743" t="s">
        <v>26</v>
      </c>
      <c r="M743" s="7">
        <v>45691</v>
      </c>
      <c r="N743" s="7">
        <v>45694</v>
      </c>
      <c r="O743" s="8">
        <v>3</v>
      </c>
      <c r="P743" t="str">
        <f t="shared" si="11"/>
        <v>On Delivery</v>
      </c>
    </row>
    <row r="744" spans="1:16" x14ac:dyDescent="0.3">
      <c r="A744" t="s">
        <v>174</v>
      </c>
      <c r="B744" s="6" t="s">
        <v>246</v>
      </c>
      <c r="C744" t="s">
        <v>80</v>
      </c>
      <c r="D744" t="s">
        <v>35</v>
      </c>
      <c r="E744" t="s">
        <v>36</v>
      </c>
      <c r="F744">
        <v>34</v>
      </c>
      <c r="G744">
        <v>56241</v>
      </c>
      <c r="H744">
        <v>0</v>
      </c>
      <c r="I744">
        <v>12</v>
      </c>
      <c r="J744">
        <v>2141657.2799999998</v>
      </c>
      <c r="K744" t="s">
        <v>15</v>
      </c>
      <c r="L744" t="s">
        <v>38</v>
      </c>
      <c r="M744" s="7">
        <v>45674</v>
      </c>
      <c r="N744" s="7">
        <v>45677</v>
      </c>
      <c r="O744" s="8">
        <v>3</v>
      </c>
      <c r="P744" t="str">
        <f t="shared" si="11"/>
        <v>On Delivery</v>
      </c>
    </row>
    <row r="745" spans="1:16" x14ac:dyDescent="0.3">
      <c r="A745" t="s">
        <v>105</v>
      </c>
      <c r="B745" s="6" t="s">
        <v>242</v>
      </c>
      <c r="C745" t="s">
        <v>12</v>
      </c>
      <c r="D745" t="s">
        <v>24</v>
      </c>
      <c r="E745" t="s">
        <v>76</v>
      </c>
      <c r="F745">
        <v>10</v>
      </c>
      <c r="G745">
        <v>77169</v>
      </c>
      <c r="H745">
        <v>10</v>
      </c>
      <c r="I745">
        <v>18</v>
      </c>
      <c r="J745">
        <v>819534.78</v>
      </c>
      <c r="K745" t="s">
        <v>37</v>
      </c>
      <c r="L745" t="s">
        <v>38</v>
      </c>
      <c r="M745" s="7">
        <v>45787</v>
      </c>
      <c r="N745" s="7">
        <v>45788</v>
      </c>
      <c r="O745" s="8">
        <v>1</v>
      </c>
      <c r="P745" t="str">
        <f t="shared" si="11"/>
        <v>On Delivery</v>
      </c>
    </row>
    <row r="746" spans="1:16" x14ac:dyDescent="0.3">
      <c r="A746" t="s">
        <v>87</v>
      </c>
      <c r="B746" s="6" t="s">
        <v>245</v>
      </c>
      <c r="C746" t="s">
        <v>18</v>
      </c>
      <c r="D746" t="s">
        <v>48</v>
      </c>
      <c r="E746" t="s">
        <v>49</v>
      </c>
      <c r="F746">
        <v>34</v>
      </c>
      <c r="G746">
        <v>33282</v>
      </c>
      <c r="H746">
        <v>10</v>
      </c>
      <c r="I746">
        <v>18</v>
      </c>
      <c r="J746">
        <v>1201746.46</v>
      </c>
      <c r="K746" t="s">
        <v>37</v>
      </c>
      <c r="L746" t="s">
        <v>26</v>
      </c>
      <c r="M746" s="7">
        <v>45806</v>
      </c>
      <c r="N746" s="7">
        <v>45813</v>
      </c>
      <c r="O746" s="8">
        <v>7</v>
      </c>
      <c r="P746" t="str">
        <f t="shared" si="11"/>
        <v>Delayed</v>
      </c>
    </row>
    <row r="747" spans="1:16" x14ac:dyDescent="0.3">
      <c r="A747" t="s">
        <v>144</v>
      </c>
      <c r="B747" s="6" t="s">
        <v>238</v>
      </c>
      <c r="C747" t="s">
        <v>58</v>
      </c>
      <c r="D747" t="s">
        <v>13</v>
      </c>
      <c r="E747" t="s">
        <v>32</v>
      </c>
      <c r="F747">
        <v>26</v>
      </c>
      <c r="G747">
        <v>73463</v>
      </c>
      <c r="H747">
        <v>0</v>
      </c>
      <c r="I747">
        <v>28</v>
      </c>
      <c r="J747">
        <v>2444848.64</v>
      </c>
      <c r="K747" t="s">
        <v>15</v>
      </c>
      <c r="L747" t="s">
        <v>16</v>
      </c>
      <c r="M747" s="7">
        <v>45695</v>
      </c>
      <c r="N747" s="7">
        <v>45699</v>
      </c>
      <c r="O747" s="8">
        <v>4</v>
      </c>
      <c r="P747" t="str">
        <f t="shared" si="11"/>
        <v>Delayed</v>
      </c>
    </row>
    <row r="748" spans="1:16" x14ac:dyDescent="0.3">
      <c r="A748" t="s">
        <v>214</v>
      </c>
      <c r="B748" s="6" t="s">
        <v>243</v>
      </c>
      <c r="C748" t="s">
        <v>53</v>
      </c>
      <c r="D748" t="s">
        <v>62</v>
      </c>
      <c r="E748" t="s">
        <v>63</v>
      </c>
      <c r="F748">
        <v>38</v>
      </c>
      <c r="G748">
        <v>2822</v>
      </c>
      <c r="H748">
        <v>12</v>
      </c>
      <c r="I748">
        <v>12</v>
      </c>
      <c r="J748">
        <v>105691.8</v>
      </c>
      <c r="K748" t="s">
        <v>21</v>
      </c>
      <c r="L748" t="s">
        <v>33</v>
      </c>
      <c r="M748" s="7">
        <v>45716</v>
      </c>
      <c r="N748" s="7">
        <v>45721</v>
      </c>
      <c r="O748" s="8">
        <v>5</v>
      </c>
      <c r="P748" t="str">
        <f t="shared" si="11"/>
        <v>Delayed</v>
      </c>
    </row>
    <row r="749" spans="1:16" x14ac:dyDescent="0.3">
      <c r="A749" t="s">
        <v>216</v>
      </c>
      <c r="B749" s="6" t="s">
        <v>246</v>
      </c>
      <c r="C749" t="s">
        <v>80</v>
      </c>
      <c r="D749" t="s">
        <v>44</v>
      </c>
      <c r="E749" t="s">
        <v>51</v>
      </c>
      <c r="F749">
        <v>15</v>
      </c>
      <c r="G749">
        <v>73701</v>
      </c>
      <c r="H749">
        <v>5</v>
      </c>
      <c r="I749">
        <v>28</v>
      </c>
      <c r="J749">
        <v>1344306.24</v>
      </c>
      <c r="K749" t="s">
        <v>46</v>
      </c>
      <c r="L749" t="s">
        <v>26</v>
      </c>
      <c r="M749" s="7">
        <v>45830</v>
      </c>
      <c r="N749" s="7">
        <v>45841</v>
      </c>
      <c r="O749" s="8">
        <v>11</v>
      </c>
      <c r="P749" t="str">
        <f t="shared" si="11"/>
        <v>Delayed</v>
      </c>
    </row>
    <row r="750" spans="1:16" x14ac:dyDescent="0.3">
      <c r="A750" t="s">
        <v>228</v>
      </c>
      <c r="B750" s="6" t="s">
        <v>245</v>
      </c>
      <c r="C750" t="s">
        <v>18</v>
      </c>
      <c r="D750" t="s">
        <v>13</v>
      </c>
      <c r="E750" t="s">
        <v>32</v>
      </c>
      <c r="F750">
        <v>5</v>
      </c>
      <c r="G750">
        <v>30942</v>
      </c>
      <c r="H750">
        <v>5</v>
      </c>
      <c r="I750">
        <v>18</v>
      </c>
      <c r="J750">
        <v>173429.91</v>
      </c>
      <c r="K750" t="s">
        <v>21</v>
      </c>
      <c r="L750" t="s">
        <v>38</v>
      </c>
      <c r="M750" s="7">
        <v>45748</v>
      </c>
      <c r="N750" s="7">
        <v>45754</v>
      </c>
      <c r="O750" s="8">
        <v>6</v>
      </c>
      <c r="P750" t="str">
        <f t="shared" si="11"/>
        <v>Delayed</v>
      </c>
    </row>
    <row r="751" spans="1:16" x14ac:dyDescent="0.3">
      <c r="A751" t="s">
        <v>85</v>
      </c>
      <c r="B751" s="6" t="s">
        <v>242</v>
      </c>
      <c r="C751" t="s">
        <v>12</v>
      </c>
      <c r="D751" t="s">
        <v>24</v>
      </c>
      <c r="E751" t="s">
        <v>76</v>
      </c>
      <c r="F751">
        <v>10</v>
      </c>
      <c r="G751">
        <v>57572</v>
      </c>
      <c r="H751">
        <v>10</v>
      </c>
      <c r="I751">
        <v>18</v>
      </c>
      <c r="J751">
        <v>611414.64</v>
      </c>
      <c r="K751" t="s">
        <v>21</v>
      </c>
      <c r="L751" t="s">
        <v>33</v>
      </c>
      <c r="M751" s="7">
        <v>45768</v>
      </c>
      <c r="N751" s="7">
        <v>45772</v>
      </c>
      <c r="O751" s="8">
        <v>4</v>
      </c>
      <c r="P751" t="str">
        <f t="shared" si="11"/>
        <v>Delayed</v>
      </c>
    </row>
    <row r="752" spans="1:16" x14ac:dyDescent="0.3">
      <c r="A752" t="s">
        <v>124</v>
      </c>
      <c r="B752" s="6" t="s">
        <v>241</v>
      </c>
      <c r="C752" t="s">
        <v>42</v>
      </c>
      <c r="D752" t="s">
        <v>62</v>
      </c>
      <c r="E752" t="s">
        <v>63</v>
      </c>
      <c r="F752">
        <v>29</v>
      </c>
      <c r="G752">
        <v>36703</v>
      </c>
      <c r="H752">
        <v>12</v>
      </c>
      <c r="I752">
        <v>12</v>
      </c>
      <c r="J752">
        <v>1049059.83</v>
      </c>
      <c r="K752" t="s">
        <v>21</v>
      </c>
      <c r="L752" t="s">
        <v>16</v>
      </c>
      <c r="M752" s="7">
        <v>45819</v>
      </c>
      <c r="N752" s="7">
        <v>45831</v>
      </c>
      <c r="O752" s="8">
        <v>12</v>
      </c>
      <c r="P752" t="str">
        <f t="shared" si="11"/>
        <v>Delayed</v>
      </c>
    </row>
    <row r="753" spans="1:16" x14ac:dyDescent="0.3">
      <c r="A753" t="s">
        <v>224</v>
      </c>
      <c r="B753" s="6" t="s">
        <v>239</v>
      </c>
      <c r="C753" t="s">
        <v>23</v>
      </c>
      <c r="D753" t="s">
        <v>44</v>
      </c>
      <c r="E753" t="s">
        <v>45</v>
      </c>
      <c r="F753">
        <v>15</v>
      </c>
      <c r="G753">
        <v>19158</v>
      </c>
      <c r="H753">
        <v>10</v>
      </c>
      <c r="I753">
        <v>12</v>
      </c>
      <c r="J753">
        <v>289668.96000000002</v>
      </c>
      <c r="K753" t="s">
        <v>21</v>
      </c>
      <c r="L753" t="s">
        <v>33</v>
      </c>
      <c r="M753" s="7">
        <v>45662</v>
      </c>
      <c r="N753" s="7">
        <v>45666</v>
      </c>
      <c r="O753" s="8">
        <v>4</v>
      </c>
      <c r="P753" t="str">
        <f t="shared" si="11"/>
        <v>Delayed</v>
      </c>
    </row>
    <row r="754" spans="1:16" x14ac:dyDescent="0.3">
      <c r="A754" t="s">
        <v>209</v>
      </c>
      <c r="B754" s="6" t="s">
        <v>243</v>
      </c>
      <c r="C754" t="s">
        <v>53</v>
      </c>
      <c r="D754" t="s">
        <v>44</v>
      </c>
      <c r="E754" t="s">
        <v>45</v>
      </c>
      <c r="F754">
        <v>21</v>
      </c>
      <c r="G754">
        <v>62284</v>
      </c>
      <c r="H754">
        <v>10</v>
      </c>
      <c r="I754">
        <v>18</v>
      </c>
      <c r="J754">
        <v>1389057.77</v>
      </c>
      <c r="K754" t="s">
        <v>21</v>
      </c>
      <c r="L754" t="s">
        <v>26</v>
      </c>
      <c r="M754" s="7">
        <v>45826</v>
      </c>
      <c r="N754" s="7">
        <v>45838</v>
      </c>
      <c r="O754" s="8">
        <v>12</v>
      </c>
      <c r="P754" t="str">
        <f t="shared" si="11"/>
        <v>Delayed</v>
      </c>
    </row>
    <row r="755" spans="1:16" x14ac:dyDescent="0.3">
      <c r="A755" t="s">
        <v>162</v>
      </c>
      <c r="B755" s="6" t="s">
        <v>242</v>
      </c>
      <c r="C755" t="s">
        <v>12</v>
      </c>
      <c r="D755" t="s">
        <v>24</v>
      </c>
      <c r="E755" t="s">
        <v>40</v>
      </c>
      <c r="F755">
        <v>30</v>
      </c>
      <c r="G755">
        <v>49548</v>
      </c>
      <c r="H755">
        <v>10</v>
      </c>
      <c r="I755">
        <v>28</v>
      </c>
      <c r="J755">
        <v>1712378.8799999999</v>
      </c>
      <c r="K755" t="s">
        <v>46</v>
      </c>
      <c r="L755" t="s">
        <v>16</v>
      </c>
      <c r="M755" s="7">
        <v>45796</v>
      </c>
      <c r="N755" s="7">
        <v>45801</v>
      </c>
      <c r="O755" s="8">
        <v>5</v>
      </c>
      <c r="P755" t="str">
        <f t="shared" si="11"/>
        <v>Delayed</v>
      </c>
    </row>
    <row r="756" spans="1:16" x14ac:dyDescent="0.3">
      <c r="A756" t="s">
        <v>87</v>
      </c>
      <c r="B756" s="6" t="s">
        <v>243</v>
      </c>
      <c r="C756" t="s">
        <v>53</v>
      </c>
      <c r="D756" t="s">
        <v>24</v>
      </c>
      <c r="E756" t="s">
        <v>76</v>
      </c>
      <c r="F756">
        <v>37</v>
      </c>
      <c r="G756">
        <v>81031</v>
      </c>
      <c r="H756">
        <v>0</v>
      </c>
      <c r="I756">
        <v>18</v>
      </c>
      <c r="J756">
        <v>3537813.46</v>
      </c>
      <c r="K756" t="s">
        <v>15</v>
      </c>
      <c r="L756" t="s">
        <v>16</v>
      </c>
      <c r="M756" s="7">
        <v>45806</v>
      </c>
      <c r="N756" s="7">
        <v>45812</v>
      </c>
      <c r="O756" s="8">
        <v>6</v>
      </c>
      <c r="P756" t="str">
        <f t="shared" si="11"/>
        <v>Delayed</v>
      </c>
    </row>
    <row r="757" spans="1:16" x14ac:dyDescent="0.3">
      <c r="A757" t="s">
        <v>213</v>
      </c>
      <c r="B757" s="6" t="s">
        <v>242</v>
      </c>
      <c r="C757" t="s">
        <v>12</v>
      </c>
      <c r="D757" t="s">
        <v>24</v>
      </c>
      <c r="E757" t="s">
        <v>25</v>
      </c>
      <c r="F757">
        <v>33</v>
      </c>
      <c r="G757">
        <v>39760</v>
      </c>
      <c r="H757">
        <v>10</v>
      </c>
      <c r="I757">
        <v>28</v>
      </c>
      <c r="J757">
        <v>1511516.1599999999</v>
      </c>
      <c r="K757" t="s">
        <v>37</v>
      </c>
      <c r="L757" t="s">
        <v>33</v>
      </c>
      <c r="M757" s="7">
        <v>45816</v>
      </c>
      <c r="N757" s="7">
        <v>45828</v>
      </c>
      <c r="O757" s="8">
        <v>12</v>
      </c>
      <c r="P757" t="str">
        <f t="shared" si="11"/>
        <v>Delayed</v>
      </c>
    </row>
    <row r="758" spans="1:16" x14ac:dyDescent="0.3">
      <c r="A758" t="s">
        <v>79</v>
      </c>
      <c r="B758" s="6" t="s">
        <v>239</v>
      </c>
      <c r="C758" t="s">
        <v>23</v>
      </c>
      <c r="D758" t="s">
        <v>29</v>
      </c>
      <c r="E758" t="s">
        <v>30</v>
      </c>
      <c r="F758">
        <v>30</v>
      </c>
      <c r="G758">
        <v>43436</v>
      </c>
      <c r="H758">
        <v>12</v>
      </c>
      <c r="I758">
        <v>18</v>
      </c>
      <c r="J758">
        <v>1353118.27</v>
      </c>
      <c r="K758" t="s">
        <v>46</v>
      </c>
      <c r="L758" t="s">
        <v>26</v>
      </c>
      <c r="M758" s="7">
        <v>45681</v>
      </c>
      <c r="N758" s="7">
        <v>45695</v>
      </c>
      <c r="O758" s="8">
        <v>14</v>
      </c>
      <c r="P758" t="str">
        <f t="shared" si="11"/>
        <v>Delayed</v>
      </c>
    </row>
    <row r="759" spans="1:16" x14ac:dyDescent="0.3">
      <c r="A759" t="s">
        <v>122</v>
      </c>
      <c r="B759" s="6" t="s">
        <v>238</v>
      </c>
      <c r="C759" t="s">
        <v>58</v>
      </c>
      <c r="D759" t="s">
        <v>44</v>
      </c>
      <c r="E759" t="s">
        <v>45</v>
      </c>
      <c r="F759">
        <v>33</v>
      </c>
      <c r="G759">
        <v>65232</v>
      </c>
      <c r="H759">
        <v>12</v>
      </c>
      <c r="I759">
        <v>12</v>
      </c>
      <c r="J759">
        <v>2121657.75</v>
      </c>
      <c r="K759" t="s">
        <v>15</v>
      </c>
      <c r="L759" t="s">
        <v>38</v>
      </c>
      <c r="M759" s="7">
        <v>45723</v>
      </c>
      <c r="N759" s="7">
        <v>45723</v>
      </c>
      <c r="O759" s="8">
        <v>0</v>
      </c>
      <c r="P759" t="str">
        <f t="shared" si="11"/>
        <v>Delivered</v>
      </c>
    </row>
    <row r="760" spans="1:16" x14ac:dyDescent="0.3">
      <c r="A760" t="s">
        <v>156</v>
      </c>
      <c r="B760" s="6" t="s">
        <v>246</v>
      </c>
      <c r="C760" t="s">
        <v>80</v>
      </c>
      <c r="D760" t="s">
        <v>62</v>
      </c>
      <c r="E760" t="s">
        <v>63</v>
      </c>
      <c r="F760">
        <v>34</v>
      </c>
      <c r="G760">
        <v>6960</v>
      </c>
      <c r="H760">
        <v>10</v>
      </c>
      <c r="I760">
        <v>28</v>
      </c>
      <c r="J760">
        <v>272609.28000000003</v>
      </c>
      <c r="K760" t="s">
        <v>37</v>
      </c>
      <c r="L760" t="s">
        <v>38</v>
      </c>
      <c r="M760" s="7">
        <v>45821</v>
      </c>
      <c r="N760" s="7">
        <v>45825</v>
      </c>
      <c r="O760" s="8">
        <v>4</v>
      </c>
      <c r="P760" t="str">
        <f t="shared" si="11"/>
        <v>Delayed</v>
      </c>
    </row>
    <row r="761" spans="1:16" x14ac:dyDescent="0.3">
      <c r="A761" t="s">
        <v>104</v>
      </c>
      <c r="B761" s="6" t="s">
        <v>242</v>
      </c>
      <c r="C761" t="s">
        <v>12</v>
      </c>
      <c r="D761" t="s">
        <v>35</v>
      </c>
      <c r="E761" t="s">
        <v>36</v>
      </c>
      <c r="F761">
        <v>32</v>
      </c>
      <c r="G761">
        <v>43000</v>
      </c>
      <c r="H761">
        <v>0</v>
      </c>
      <c r="I761">
        <v>12</v>
      </c>
      <c r="J761">
        <v>1541120</v>
      </c>
      <c r="K761" t="s">
        <v>37</v>
      </c>
      <c r="L761" t="s">
        <v>38</v>
      </c>
      <c r="M761" s="7">
        <v>45736</v>
      </c>
      <c r="N761" s="7">
        <v>45748</v>
      </c>
      <c r="O761" s="8">
        <v>12</v>
      </c>
      <c r="P761" t="str">
        <f t="shared" si="11"/>
        <v>Delayed</v>
      </c>
    </row>
    <row r="762" spans="1:16" x14ac:dyDescent="0.3">
      <c r="A762" t="s">
        <v>142</v>
      </c>
      <c r="B762" s="6" t="s">
        <v>244</v>
      </c>
      <c r="C762" t="s">
        <v>70</v>
      </c>
      <c r="D762" t="s">
        <v>19</v>
      </c>
      <c r="E762" t="s">
        <v>20</v>
      </c>
      <c r="F762">
        <v>17</v>
      </c>
      <c r="G762">
        <v>48166</v>
      </c>
      <c r="H762">
        <v>5</v>
      </c>
      <c r="I762">
        <v>12</v>
      </c>
      <c r="J762">
        <v>871226.61</v>
      </c>
      <c r="K762" t="s">
        <v>15</v>
      </c>
      <c r="L762" t="s">
        <v>38</v>
      </c>
      <c r="M762" s="7">
        <v>45760</v>
      </c>
      <c r="N762" s="7">
        <v>45770</v>
      </c>
      <c r="O762" s="8">
        <v>10</v>
      </c>
      <c r="P762" t="str">
        <f t="shared" si="11"/>
        <v>Delayed</v>
      </c>
    </row>
    <row r="763" spans="1:16" x14ac:dyDescent="0.3">
      <c r="A763" t="s">
        <v>125</v>
      </c>
      <c r="B763" s="6" t="s">
        <v>238</v>
      </c>
      <c r="C763" t="s">
        <v>58</v>
      </c>
      <c r="D763" t="s">
        <v>62</v>
      </c>
      <c r="E763" t="s">
        <v>92</v>
      </c>
      <c r="F763">
        <v>7</v>
      </c>
      <c r="G763">
        <v>11984</v>
      </c>
      <c r="H763">
        <v>10</v>
      </c>
      <c r="I763">
        <v>12</v>
      </c>
      <c r="J763">
        <v>84559.1</v>
      </c>
      <c r="K763" t="s">
        <v>15</v>
      </c>
      <c r="L763" t="s">
        <v>33</v>
      </c>
      <c r="M763" s="7">
        <v>45767</v>
      </c>
      <c r="N763" s="7">
        <v>45775</v>
      </c>
      <c r="O763" s="8">
        <v>8</v>
      </c>
      <c r="P763" t="str">
        <f t="shared" si="11"/>
        <v>Delayed</v>
      </c>
    </row>
    <row r="764" spans="1:16" x14ac:dyDescent="0.3">
      <c r="A764" t="s">
        <v>96</v>
      </c>
      <c r="B764" s="6" t="s">
        <v>242</v>
      </c>
      <c r="C764" t="s">
        <v>12</v>
      </c>
      <c r="D764" t="s">
        <v>48</v>
      </c>
      <c r="E764" t="s">
        <v>49</v>
      </c>
      <c r="F764">
        <v>10</v>
      </c>
      <c r="G764">
        <v>4159</v>
      </c>
      <c r="H764">
        <v>5</v>
      </c>
      <c r="I764">
        <v>12</v>
      </c>
      <c r="J764">
        <v>44251.76</v>
      </c>
      <c r="K764" t="s">
        <v>37</v>
      </c>
      <c r="L764" t="s">
        <v>16</v>
      </c>
      <c r="M764" s="7">
        <v>45749</v>
      </c>
      <c r="N764" s="7">
        <v>45753</v>
      </c>
      <c r="O764" s="8">
        <v>4</v>
      </c>
      <c r="P764" t="str">
        <f t="shared" si="11"/>
        <v>Delayed</v>
      </c>
    </row>
    <row r="765" spans="1:16" x14ac:dyDescent="0.3">
      <c r="A765" t="s">
        <v>133</v>
      </c>
      <c r="B765" s="6" t="s">
        <v>244</v>
      </c>
      <c r="C765" t="s">
        <v>70</v>
      </c>
      <c r="D765" t="s">
        <v>35</v>
      </c>
      <c r="E765" t="s">
        <v>56</v>
      </c>
      <c r="F765">
        <v>6</v>
      </c>
      <c r="G765">
        <v>80014</v>
      </c>
      <c r="H765">
        <v>0</v>
      </c>
      <c r="I765">
        <v>18</v>
      </c>
      <c r="J765">
        <v>566499.12</v>
      </c>
      <c r="K765" t="s">
        <v>15</v>
      </c>
      <c r="L765" t="s">
        <v>38</v>
      </c>
      <c r="M765" s="7">
        <v>45777</v>
      </c>
      <c r="N765" s="7">
        <v>45786</v>
      </c>
      <c r="O765" s="8">
        <v>9</v>
      </c>
      <c r="P765" t="str">
        <f t="shared" si="11"/>
        <v>Delayed</v>
      </c>
    </row>
    <row r="766" spans="1:16" x14ac:dyDescent="0.3">
      <c r="A766" t="s">
        <v>129</v>
      </c>
      <c r="B766" s="6" t="s">
        <v>238</v>
      </c>
      <c r="C766" t="s">
        <v>58</v>
      </c>
      <c r="D766" t="s">
        <v>48</v>
      </c>
      <c r="E766" t="s">
        <v>49</v>
      </c>
      <c r="F766">
        <v>5</v>
      </c>
      <c r="G766">
        <v>15150</v>
      </c>
      <c r="H766">
        <v>0</v>
      </c>
      <c r="I766">
        <v>28</v>
      </c>
      <c r="J766">
        <v>96960</v>
      </c>
      <c r="K766" t="s">
        <v>46</v>
      </c>
      <c r="L766" t="s">
        <v>38</v>
      </c>
      <c r="M766" s="7">
        <v>45737</v>
      </c>
      <c r="N766" s="7">
        <v>45747</v>
      </c>
      <c r="O766" s="8">
        <v>10</v>
      </c>
      <c r="P766" t="str">
        <f t="shared" si="11"/>
        <v>Delayed</v>
      </c>
    </row>
    <row r="767" spans="1:16" x14ac:dyDescent="0.3">
      <c r="A767" t="s">
        <v>118</v>
      </c>
      <c r="B767" s="6" t="s">
        <v>246</v>
      </c>
      <c r="C767" t="s">
        <v>80</v>
      </c>
      <c r="D767" t="s">
        <v>13</v>
      </c>
      <c r="E767" t="s">
        <v>14</v>
      </c>
      <c r="F767">
        <v>25</v>
      </c>
      <c r="G767">
        <v>38403</v>
      </c>
      <c r="H767">
        <v>5</v>
      </c>
      <c r="I767">
        <v>28</v>
      </c>
      <c r="J767">
        <v>1167451.2</v>
      </c>
      <c r="K767" t="s">
        <v>37</v>
      </c>
      <c r="L767" t="s">
        <v>16</v>
      </c>
      <c r="M767" s="7">
        <v>45708</v>
      </c>
      <c r="N767" s="7">
        <v>45709</v>
      </c>
      <c r="O767" s="8">
        <v>1</v>
      </c>
      <c r="P767" t="str">
        <f t="shared" si="11"/>
        <v>On Delivery</v>
      </c>
    </row>
    <row r="768" spans="1:16" x14ac:dyDescent="0.3">
      <c r="A768" t="s">
        <v>146</v>
      </c>
      <c r="B768" s="6" t="s">
        <v>239</v>
      </c>
      <c r="C768" t="s">
        <v>23</v>
      </c>
      <c r="D768" t="s">
        <v>35</v>
      </c>
      <c r="E768" t="s">
        <v>56</v>
      </c>
      <c r="F768">
        <v>36</v>
      </c>
      <c r="G768">
        <v>64242</v>
      </c>
      <c r="H768">
        <v>0</v>
      </c>
      <c r="I768">
        <v>28</v>
      </c>
      <c r="J768">
        <v>2960271.3599999999</v>
      </c>
      <c r="K768" t="s">
        <v>15</v>
      </c>
      <c r="L768" t="s">
        <v>26</v>
      </c>
      <c r="M768" s="7">
        <v>45805</v>
      </c>
      <c r="N768" s="7">
        <v>45811</v>
      </c>
      <c r="O768" s="8">
        <v>6</v>
      </c>
      <c r="P768" t="str">
        <f t="shared" si="11"/>
        <v>Delayed</v>
      </c>
    </row>
    <row r="769" spans="1:16" x14ac:dyDescent="0.3">
      <c r="A769" t="s">
        <v>123</v>
      </c>
      <c r="B769" s="6" t="s">
        <v>246</v>
      </c>
      <c r="C769" t="s">
        <v>80</v>
      </c>
      <c r="D769" t="s">
        <v>48</v>
      </c>
      <c r="E769" t="s">
        <v>59</v>
      </c>
      <c r="F769">
        <v>13</v>
      </c>
      <c r="G769">
        <v>35185</v>
      </c>
      <c r="H769">
        <v>0</v>
      </c>
      <c r="I769">
        <v>28</v>
      </c>
      <c r="J769">
        <v>585478.40000000002</v>
      </c>
      <c r="K769" t="s">
        <v>37</v>
      </c>
      <c r="L769" t="s">
        <v>16</v>
      </c>
      <c r="M769" s="7">
        <v>45735</v>
      </c>
      <c r="N769" s="7">
        <v>45738</v>
      </c>
      <c r="O769" s="8">
        <v>3</v>
      </c>
      <c r="P769" t="str">
        <f t="shared" si="11"/>
        <v>On Delivery</v>
      </c>
    </row>
    <row r="770" spans="1:16" x14ac:dyDescent="0.3">
      <c r="A770" t="s">
        <v>229</v>
      </c>
      <c r="B770" s="6" t="s">
        <v>238</v>
      </c>
      <c r="C770" t="s">
        <v>58</v>
      </c>
      <c r="D770" t="s">
        <v>48</v>
      </c>
      <c r="E770" t="s">
        <v>59</v>
      </c>
      <c r="F770">
        <v>25</v>
      </c>
      <c r="G770">
        <v>32728</v>
      </c>
      <c r="H770">
        <v>12</v>
      </c>
      <c r="I770">
        <v>28</v>
      </c>
      <c r="J770">
        <v>921620.47999999998</v>
      </c>
      <c r="K770" t="s">
        <v>15</v>
      </c>
      <c r="L770" t="s">
        <v>26</v>
      </c>
      <c r="M770" s="7">
        <v>45690</v>
      </c>
      <c r="N770" s="7">
        <v>45691</v>
      </c>
      <c r="O770" s="8">
        <v>1</v>
      </c>
      <c r="P770" t="str">
        <f t="shared" ref="P770:P833" si="12">IF(O770="","Pending",IF(O770=0,"Delivered",IF(O770&lt;=3,"On Delivery","Delayed")))</f>
        <v>On Delivery</v>
      </c>
    </row>
    <row r="771" spans="1:16" x14ac:dyDescent="0.3">
      <c r="A771" t="s">
        <v>43</v>
      </c>
      <c r="B771" s="6" t="s">
        <v>244</v>
      </c>
      <c r="C771" t="s">
        <v>70</v>
      </c>
      <c r="D771" t="s">
        <v>35</v>
      </c>
      <c r="E771" t="s">
        <v>77</v>
      </c>
      <c r="F771">
        <v>13</v>
      </c>
      <c r="G771">
        <v>8636</v>
      </c>
      <c r="H771">
        <v>10</v>
      </c>
      <c r="I771">
        <v>28</v>
      </c>
      <c r="J771">
        <v>129332.74</v>
      </c>
      <c r="K771" t="s">
        <v>15</v>
      </c>
      <c r="L771" t="s">
        <v>33</v>
      </c>
      <c r="M771" s="7">
        <v>45725</v>
      </c>
      <c r="N771" s="7">
        <v>45731</v>
      </c>
      <c r="O771" s="8">
        <v>6</v>
      </c>
      <c r="P771" t="str">
        <f t="shared" si="12"/>
        <v>Delayed</v>
      </c>
    </row>
    <row r="772" spans="1:16" x14ac:dyDescent="0.3">
      <c r="A772" t="s">
        <v>149</v>
      </c>
      <c r="B772" s="6" t="s">
        <v>244</v>
      </c>
      <c r="C772" t="s">
        <v>70</v>
      </c>
      <c r="D772" t="s">
        <v>19</v>
      </c>
      <c r="E772" t="s">
        <v>20</v>
      </c>
      <c r="F772">
        <v>9</v>
      </c>
      <c r="G772">
        <v>6313</v>
      </c>
      <c r="H772">
        <v>10</v>
      </c>
      <c r="I772">
        <v>12</v>
      </c>
      <c r="J772">
        <v>57271.54</v>
      </c>
      <c r="K772" t="s">
        <v>21</v>
      </c>
      <c r="L772" t="s">
        <v>38</v>
      </c>
      <c r="M772" s="7">
        <v>45791</v>
      </c>
      <c r="N772" s="7">
        <v>45793</v>
      </c>
      <c r="O772" s="8">
        <v>2</v>
      </c>
      <c r="P772" t="str">
        <f t="shared" si="12"/>
        <v>On Delivery</v>
      </c>
    </row>
    <row r="773" spans="1:16" x14ac:dyDescent="0.3">
      <c r="A773" t="s">
        <v>158</v>
      </c>
      <c r="B773" s="6" t="s">
        <v>245</v>
      </c>
      <c r="C773" t="s">
        <v>18</v>
      </c>
      <c r="D773" t="s">
        <v>44</v>
      </c>
      <c r="E773" t="s">
        <v>45</v>
      </c>
      <c r="F773">
        <v>4</v>
      </c>
      <c r="G773">
        <v>30812</v>
      </c>
      <c r="H773">
        <v>0</v>
      </c>
      <c r="I773">
        <v>18</v>
      </c>
      <c r="J773">
        <v>145432.64000000001</v>
      </c>
      <c r="K773" t="s">
        <v>15</v>
      </c>
      <c r="L773" t="s">
        <v>26</v>
      </c>
      <c r="M773" s="7">
        <v>45692</v>
      </c>
      <c r="N773" s="7">
        <v>45694</v>
      </c>
      <c r="O773" s="8">
        <v>2</v>
      </c>
      <c r="P773" t="str">
        <f t="shared" si="12"/>
        <v>On Delivery</v>
      </c>
    </row>
    <row r="774" spans="1:16" x14ac:dyDescent="0.3">
      <c r="A774" t="s">
        <v>54</v>
      </c>
      <c r="B774" s="6" t="s">
        <v>244</v>
      </c>
      <c r="C774" t="s">
        <v>70</v>
      </c>
      <c r="D774" t="s">
        <v>19</v>
      </c>
      <c r="E774" t="s">
        <v>20</v>
      </c>
      <c r="F774">
        <v>15</v>
      </c>
      <c r="G774">
        <v>35181</v>
      </c>
      <c r="H774">
        <v>5</v>
      </c>
      <c r="I774">
        <v>28</v>
      </c>
      <c r="J774">
        <v>641701.43999999994</v>
      </c>
      <c r="K774" t="s">
        <v>37</v>
      </c>
      <c r="L774" t="s">
        <v>26</v>
      </c>
      <c r="M774" s="7">
        <v>45742</v>
      </c>
      <c r="N774" s="7">
        <v>45747</v>
      </c>
      <c r="O774" s="8">
        <v>5</v>
      </c>
      <c r="P774" t="str">
        <f t="shared" si="12"/>
        <v>Delayed</v>
      </c>
    </row>
    <row r="775" spans="1:16" x14ac:dyDescent="0.3">
      <c r="A775" t="s">
        <v>54</v>
      </c>
      <c r="B775" s="6" t="s">
        <v>239</v>
      </c>
      <c r="C775" t="s">
        <v>23</v>
      </c>
      <c r="D775" t="s">
        <v>35</v>
      </c>
      <c r="E775" t="s">
        <v>36</v>
      </c>
      <c r="F775">
        <v>20</v>
      </c>
      <c r="G775">
        <v>53096</v>
      </c>
      <c r="H775">
        <v>0</v>
      </c>
      <c r="I775">
        <v>12</v>
      </c>
      <c r="J775">
        <v>1189350.3999999999</v>
      </c>
      <c r="K775" t="s">
        <v>37</v>
      </c>
      <c r="L775" t="s">
        <v>26</v>
      </c>
      <c r="M775" s="7">
        <v>45745</v>
      </c>
      <c r="N775" s="7">
        <v>45752</v>
      </c>
      <c r="O775" s="8">
        <v>7</v>
      </c>
      <c r="P775" t="str">
        <f t="shared" si="12"/>
        <v>Delayed</v>
      </c>
    </row>
    <row r="776" spans="1:16" x14ac:dyDescent="0.3">
      <c r="A776" t="s">
        <v>119</v>
      </c>
      <c r="B776" s="6" t="s">
        <v>240</v>
      </c>
      <c r="C776" t="s">
        <v>28</v>
      </c>
      <c r="D776" t="s">
        <v>48</v>
      </c>
      <c r="E776" t="s">
        <v>49</v>
      </c>
      <c r="F776">
        <v>10</v>
      </c>
      <c r="G776">
        <v>45488</v>
      </c>
      <c r="H776">
        <v>12</v>
      </c>
      <c r="I776">
        <v>28</v>
      </c>
      <c r="J776">
        <v>512376.83</v>
      </c>
      <c r="K776" t="s">
        <v>37</v>
      </c>
      <c r="L776" t="s">
        <v>16</v>
      </c>
      <c r="M776" s="7">
        <v>45797</v>
      </c>
      <c r="N776" s="7">
        <v>45808</v>
      </c>
      <c r="O776" s="8">
        <v>11</v>
      </c>
      <c r="P776" t="str">
        <f t="shared" si="12"/>
        <v>Delayed</v>
      </c>
    </row>
    <row r="777" spans="1:16" x14ac:dyDescent="0.3">
      <c r="A777" t="s">
        <v>111</v>
      </c>
      <c r="B777" s="6" t="s">
        <v>243</v>
      </c>
      <c r="C777" t="s">
        <v>53</v>
      </c>
      <c r="D777" t="s">
        <v>35</v>
      </c>
      <c r="E777" t="s">
        <v>56</v>
      </c>
      <c r="F777">
        <v>18</v>
      </c>
      <c r="G777">
        <v>24943</v>
      </c>
      <c r="H777">
        <v>10</v>
      </c>
      <c r="I777">
        <v>18</v>
      </c>
      <c r="J777">
        <v>476810.39</v>
      </c>
      <c r="K777" t="s">
        <v>46</v>
      </c>
      <c r="L777" t="s">
        <v>38</v>
      </c>
      <c r="M777" s="7">
        <v>45730</v>
      </c>
      <c r="N777" s="7">
        <v>45743</v>
      </c>
      <c r="O777" s="8">
        <v>13</v>
      </c>
      <c r="P777" t="str">
        <f t="shared" si="12"/>
        <v>Delayed</v>
      </c>
    </row>
    <row r="778" spans="1:16" x14ac:dyDescent="0.3">
      <c r="A778" t="s">
        <v>168</v>
      </c>
      <c r="B778" s="6" t="s">
        <v>238</v>
      </c>
      <c r="C778" t="s">
        <v>58</v>
      </c>
      <c r="D778" t="s">
        <v>35</v>
      </c>
      <c r="E778" t="s">
        <v>77</v>
      </c>
      <c r="F778">
        <v>16</v>
      </c>
      <c r="G778">
        <v>15869</v>
      </c>
      <c r="H778">
        <v>0</v>
      </c>
      <c r="I778">
        <v>12</v>
      </c>
      <c r="J778">
        <v>284372.47999999998</v>
      </c>
      <c r="K778" t="s">
        <v>21</v>
      </c>
      <c r="L778" t="s">
        <v>33</v>
      </c>
      <c r="M778" s="7">
        <v>45768</v>
      </c>
      <c r="N778" s="7">
        <v>45779</v>
      </c>
      <c r="O778" s="8">
        <v>11</v>
      </c>
      <c r="P778" t="str">
        <f t="shared" si="12"/>
        <v>Delayed</v>
      </c>
    </row>
    <row r="779" spans="1:16" x14ac:dyDescent="0.3">
      <c r="A779" t="s">
        <v>68</v>
      </c>
      <c r="B779" s="6" t="s">
        <v>246</v>
      </c>
      <c r="C779" t="s">
        <v>80</v>
      </c>
      <c r="D779" t="s">
        <v>62</v>
      </c>
      <c r="E779" t="s">
        <v>63</v>
      </c>
      <c r="F779">
        <v>32</v>
      </c>
      <c r="G779">
        <v>47755</v>
      </c>
      <c r="H779">
        <v>5</v>
      </c>
      <c r="I779">
        <v>18</v>
      </c>
      <c r="J779">
        <v>1713067.36</v>
      </c>
      <c r="K779" t="s">
        <v>46</v>
      </c>
      <c r="L779" t="s">
        <v>38</v>
      </c>
      <c r="M779" s="7">
        <v>45672</v>
      </c>
      <c r="N779" s="7">
        <v>45685</v>
      </c>
      <c r="O779" s="8">
        <v>13</v>
      </c>
      <c r="P779" t="str">
        <f t="shared" si="12"/>
        <v>Delayed</v>
      </c>
    </row>
    <row r="780" spans="1:16" x14ac:dyDescent="0.3">
      <c r="A780" t="s">
        <v>150</v>
      </c>
      <c r="B780" s="6" t="s">
        <v>240</v>
      </c>
      <c r="C780" t="s">
        <v>28</v>
      </c>
      <c r="D780" t="s">
        <v>24</v>
      </c>
      <c r="E780" t="s">
        <v>40</v>
      </c>
      <c r="F780">
        <v>15</v>
      </c>
      <c r="G780">
        <v>7661</v>
      </c>
      <c r="H780">
        <v>5</v>
      </c>
      <c r="I780">
        <v>12</v>
      </c>
      <c r="J780">
        <v>122269.56</v>
      </c>
      <c r="K780" t="s">
        <v>21</v>
      </c>
      <c r="L780" t="s">
        <v>33</v>
      </c>
      <c r="M780" s="7">
        <v>45736</v>
      </c>
      <c r="N780" s="7">
        <v>45739</v>
      </c>
      <c r="O780" s="8">
        <v>3</v>
      </c>
      <c r="P780" t="str">
        <f t="shared" si="12"/>
        <v>On Delivery</v>
      </c>
    </row>
    <row r="781" spans="1:16" x14ac:dyDescent="0.3">
      <c r="A781" t="s">
        <v>83</v>
      </c>
      <c r="B781" s="6" t="s">
        <v>246</v>
      </c>
      <c r="C781" t="s">
        <v>80</v>
      </c>
      <c r="D781" t="s">
        <v>48</v>
      </c>
      <c r="E781" t="s">
        <v>49</v>
      </c>
      <c r="F781">
        <v>33</v>
      </c>
      <c r="G781">
        <v>24265</v>
      </c>
      <c r="H781">
        <v>12</v>
      </c>
      <c r="I781">
        <v>12</v>
      </c>
      <c r="J781">
        <v>789214.27</v>
      </c>
      <c r="K781" t="s">
        <v>21</v>
      </c>
      <c r="L781" t="s">
        <v>38</v>
      </c>
      <c r="M781" s="7">
        <v>45703</v>
      </c>
      <c r="N781" s="7">
        <v>45711</v>
      </c>
      <c r="O781" s="8">
        <v>8</v>
      </c>
      <c r="P781" t="str">
        <f t="shared" si="12"/>
        <v>Delayed</v>
      </c>
    </row>
    <row r="782" spans="1:16" x14ac:dyDescent="0.3">
      <c r="A782" t="s">
        <v>145</v>
      </c>
      <c r="B782" s="6" t="s">
        <v>244</v>
      </c>
      <c r="C782" t="s">
        <v>70</v>
      </c>
      <c r="D782" t="s">
        <v>24</v>
      </c>
      <c r="E782" t="s">
        <v>40</v>
      </c>
      <c r="F782">
        <v>32</v>
      </c>
      <c r="G782">
        <v>5238</v>
      </c>
      <c r="H782">
        <v>10</v>
      </c>
      <c r="I782">
        <v>12</v>
      </c>
      <c r="J782">
        <v>168956.93</v>
      </c>
      <c r="K782" t="s">
        <v>46</v>
      </c>
      <c r="L782" t="s">
        <v>16</v>
      </c>
      <c r="M782" s="7">
        <v>45719</v>
      </c>
      <c r="N782" s="7">
        <v>45722</v>
      </c>
      <c r="O782" s="8">
        <v>3</v>
      </c>
      <c r="P782" t="str">
        <f t="shared" si="12"/>
        <v>On Delivery</v>
      </c>
    </row>
    <row r="783" spans="1:16" x14ac:dyDescent="0.3">
      <c r="A783" t="s">
        <v>230</v>
      </c>
      <c r="B783" s="6" t="s">
        <v>246</v>
      </c>
      <c r="C783" t="s">
        <v>80</v>
      </c>
      <c r="D783" t="s">
        <v>48</v>
      </c>
      <c r="E783" t="s">
        <v>59</v>
      </c>
      <c r="F783">
        <v>6</v>
      </c>
      <c r="G783">
        <v>23192</v>
      </c>
      <c r="H783">
        <v>12</v>
      </c>
      <c r="I783">
        <v>18</v>
      </c>
      <c r="J783">
        <v>144495.44</v>
      </c>
      <c r="K783" t="s">
        <v>21</v>
      </c>
      <c r="L783" t="s">
        <v>26</v>
      </c>
      <c r="M783" s="7">
        <v>45702</v>
      </c>
      <c r="N783" s="7">
        <v>45704</v>
      </c>
      <c r="O783" s="8">
        <v>2</v>
      </c>
      <c r="P783" t="str">
        <f t="shared" si="12"/>
        <v>On Delivery</v>
      </c>
    </row>
    <row r="784" spans="1:16" x14ac:dyDescent="0.3">
      <c r="A784" t="s">
        <v>79</v>
      </c>
      <c r="B784" s="6" t="s">
        <v>239</v>
      </c>
      <c r="C784" t="s">
        <v>23</v>
      </c>
      <c r="D784" t="s">
        <v>48</v>
      </c>
      <c r="E784" t="s">
        <v>59</v>
      </c>
      <c r="F784">
        <v>37</v>
      </c>
      <c r="G784">
        <v>57583</v>
      </c>
      <c r="H784">
        <v>0</v>
      </c>
      <c r="I784">
        <v>28</v>
      </c>
      <c r="J784">
        <v>2727130.88</v>
      </c>
      <c r="K784" t="s">
        <v>46</v>
      </c>
      <c r="L784" t="s">
        <v>38</v>
      </c>
      <c r="M784" s="7">
        <v>45681</v>
      </c>
      <c r="N784" s="7">
        <v>45687</v>
      </c>
      <c r="O784" s="8">
        <v>6</v>
      </c>
      <c r="P784" t="str">
        <f t="shared" si="12"/>
        <v>Delayed</v>
      </c>
    </row>
    <row r="785" spans="1:16" x14ac:dyDescent="0.3">
      <c r="A785" t="s">
        <v>72</v>
      </c>
      <c r="B785" s="6" t="s">
        <v>238</v>
      </c>
      <c r="C785" t="s">
        <v>58</v>
      </c>
      <c r="D785" t="s">
        <v>44</v>
      </c>
      <c r="E785" t="s">
        <v>45</v>
      </c>
      <c r="F785">
        <v>38</v>
      </c>
      <c r="G785">
        <v>80271</v>
      </c>
      <c r="H785">
        <v>5</v>
      </c>
      <c r="I785">
        <v>12</v>
      </c>
      <c r="J785">
        <v>3245517.07</v>
      </c>
      <c r="K785" t="s">
        <v>15</v>
      </c>
      <c r="L785" t="s">
        <v>16</v>
      </c>
      <c r="M785" s="7">
        <v>45704</v>
      </c>
      <c r="N785" s="7">
        <v>45708</v>
      </c>
      <c r="O785" s="8">
        <v>4</v>
      </c>
      <c r="P785" t="str">
        <f t="shared" si="12"/>
        <v>Delayed</v>
      </c>
    </row>
    <row r="786" spans="1:16" x14ac:dyDescent="0.3">
      <c r="A786" t="s">
        <v>91</v>
      </c>
      <c r="B786" s="6" t="s">
        <v>241</v>
      </c>
      <c r="C786" t="s">
        <v>42</v>
      </c>
      <c r="D786" t="s">
        <v>44</v>
      </c>
      <c r="E786" t="s">
        <v>51</v>
      </c>
      <c r="F786">
        <v>2</v>
      </c>
      <c r="G786">
        <v>40596</v>
      </c>
      <c r="H786">
        <v>12</v>
      </c>
      <c r="I786">
        <v>28</v>
      </c>
      <c r="J786">
        <v>91454.67</v>
      </c>
      <c r="K786" t="s">
        <v>15</v>
      </c>
      <c r="L786" t="s">
        <v>33</v>
      </c>
      <c r="M786" s="7">
        <v>45726</v>
      </c>
      <c r="N786" s="7">
        <v>45737</v>
      </c>
      <c r="O786" s="8">
        <v>11</v>
      </c>
      <c r="P786" t="str">
        <f t="shared" si="12"/>
        <v>Delayed</v>
      </c>
    </row>
    <row r="787" spans="1:16" x14ac:dyDescent="0.3">
      <c r="A787" t="s">
        <v>196</v>
      </c>
      <c r="B787" s="6" t="s">
        <v>238</v>
      </c>
      <c r="C787" t="s">
        <v>58</v>
      </c>
      <c r="D787" t="s">
        <v>44</v>
      </c>
      <c r="E787" t="s">
        <v>45</v>
      </c>
      <c r="F787">
        <v>11</v>
      </c>
      <c r="G787">
        <v>57150</v>
      </c>
      <c r="H787">
        <v>5</v>
      </c>
      <c r="I787">
        <v>18</v>
      </c>
      <c r="J787">
        <v>704716.65</v>
      </c>
      <c r="K787" t="s">
        <v>46</v>
      </c>
      <c r="L787" t="s">
        <v>26</v>
      </c>
      <c r="M787" s="7">
        <v>45808</v>
      </c>
      <c r="N787" s="7">
        <v>45813</v>
      </c>
      <c r="O787" s="8">
        <v>5</v>
      </c>
      <c r="P787" t="str">
        <f t="shared" si="12"/>
        <v>Delayed</v>
      </c>
    </row>
    <row r="788" spans="1:16" x14ac:dyDescent="0.3">
      <c r="A788" t="s">
        <v>104</v>
      </c>
      <c r="B788" s="6" t="s">
        <v>242</v>
      </c>
      <c r="C788" t="s">
        <v>12</v>
      </c>
      <c r="D788" t="s">
        <v>35</v>
      </c>
      <c r="E788" t="s">
        <v>36</v>
      </c>
      <c r="F788">
        <v>17</v>
      </c>
      <c r="G788">
        <v>52251</v>
      </c>
      <c r="H788">
        <v>10</v>
      </c>
      <c r="I788">
        <v>18</v>
      </c>
      <c r="J788">
        <v>943339.55</v>
      </c>
      <c r="K788" t="s">
        <v>15</v>
      </c>
      <c r="L788" t="s">
        <v>16</v>
      </c>
      <c r="M788" s="7">
        <v>45734</v>
      </c>
      <c r="N788" s="7">
        <v>45745</v>
      </c>
      <c r="O788" s="8">
        <v>11</v>
      </c>
      <c r="P788" t="str">
        <f t="shared" si="12"/>
        <v>Delayed</v>
      </c>
    </row>
    <row r="789" spans="1:16" x14ac:dyDescent="0.3">
      <c r="A789" t="s">
        <v>138</v>
      </c>
      <c r="B789" s="6" t="s">
        <v>246</v>
      </c>
      <c r="C789" t="s">
        <v>80</v>
      </c>
      <c r="D789" t="s">
        <v>44</v>
      </c>
      <c r="E789" t="s">
        <v>51</v>
      </c>
      <c r="F789">
        <v>26</v>
      </c>
      <c r="G789">
        <v>8433</v>
      </c>
      <c r="H789">
        <v>0</v>
      </c>
      <c r="I789">
        <v>18</v>
      </c>
      <c r="J789">
        <v>258724.44</v>
      </c>
      <c r="K789" t="s">
        <v>15</v>
      </c>
      <c r="L789" t="s">
        <v>26</v>
      </c>
      <c r="M789" s="7">
        <v>45715</v>
      </c>
      <c r="N789" s="7">
        <v>45715</v>
      </c>
      <c r="O789" s="8">
        <v>0</v>
      </c>
      <c r="P789" t="str">
        <f t="shared" si="12"/>
        <v>Delivered</v>
      </c>
    </row>
    <row r="790" spans="1:16" x14ac:dyDescent="0.3">
      <c r="A790" t="s">
        <v>217</v>
      </c>
      <c r="B790" s="6" t="s">
        <v>239</v>
      </c>
      <c r="C790" t="s">
        <v>23</v>
      </c>
      <c r="D790" t="s">
        <v>35</v>
      </c>
      <c r="E790" t="s">
        <v>36</v>
      </c>
      <c r="F790">
        <v>21</v>
      </c>
      <c r="G790">
        <v>28585</v>
      </c>
      <c r="H790">
        <v>0</v>
      </c>
      <c r="I790">
        <v>12</v>
      </c>
      <c r="J790">
        <v>672319.2</v>
      </c>
      <c r="K790" t="s">
        <v>21</v>
      </c>
      <c r="L790" t="s">
        <v>26</v>
      </c>
      <c r="M790" s="7">
        <v>45815</v>
      </c>
      <c r="N790" s="7">
        <v>45818</v>
      </c>
      <c r="O790" s="8">
        <v>3</v>
      </c>
      <c r="P790" t="str">
        <f t="shared" si="12"/>
        <v>On Delivery</v>
      </c>
    </row>
    <row r="791" spans="1:16" x14ac:dyDescent="0.3">
      <c r="A791" t="s">
        <v>17</v>
      </c>
      <c r="B791" s="6" t="s">
        <v>238</v>
      </c>
      <c r="C791" t="s">
        <v>58</v>
      </c>
      <c r="D791" t="s">
        <v>24</v>
      </c>
      <c r="E791" t="s">
        <v>40</v>
      </c>
      <c r="F791">
        <v>32</v>
      </c>
      <c r="G791">
        <v>58907</v>
      </c>
      <c r="H791">
        <v>5</v>
      </c>
      <c r="I791">
        <v>12</v>
      </c>
      <c r="J791">
        <v>2005665.54</v>
      </c>
      <c r="K791" t="s">
        <v>46</v>
      </c>
      <c r="L791" t="s">
        <v>16</v>
      </c>
      <c r="M791" s="7">
        <v>45818</v>
      </c>
      <c r="N791" s="7">
        <v>45826</v>
      </c>
      <c r="O791" s="8">
        <v>8</v>
      </c>
      <c r="P791" t="str">
        <f t="shared" si="12"/>
        <v>Delayed</v>
      </c>
    </row>
    <row r="792" spans="1:16" x14ac:dyDescent="0.3">
      <c r="A792" t="s">
        <v>88</v>
      </c>
      <c r="B792" s="6" t="s">
        <v>244</v>
      </c>
      <c r="C792" t="s">
        <v>70</v>
      </c>
      <c r="D792" t="s">
        <v>62</v>
      </c>
      <c r="E792" t="s">
        <v>63</v>
      </c>
      <c r="F792">
        <v>3</v>
      </c>
      <c r="G792">
        <v>41359</v>
      </c>
      <c r="H792">
        <v>12</v>
      </c>
      <c r="I792">
        <v>12</v>
      </c>
      <c r="J792">
        <v>122290.29</v>
      </c>
      <c r="K792" t="s">
        <v>15</v>
      </c>
      <c r="L792" t="s">
        <v>16</v>
      </c>
      <c r="M792" s="7">
        <v>45831</v>
      </c>
      <c r="N792" s="7">
        <v>45839</v>
      </c>
      <c r="O792" s="8">
        <v>8</v>
      </c>
      <c r="P792" t="str">
        <f t="shared" si="12"/>
        <v>Delayed</v>
      </c>
    </row>
    <row r="793" spans="1:16" x14ac:dyDescent="0.3">
      <c r="A793" t="s">
        <v>165</v>
      </c>
      <c r="B793" s="6" t="s">
        <v>241</v>
      </c>
      <c r="C793" t="s">
        <v>42</v>
      </c>
      <c r="D793" t="s">
        <v>35</v>
      </c>
      <c r="E793" t="s">
        <v>36</v>
      </c>
      <c r="F793">
        <v>7</v>
      </c>
      <c r="G793">
        <v>75490</v>
      </c>
      <c r="H793">
        <v>10</v>
      </c>
      <c r="I793">
        <v>28</v>
      </c>
      <c r="J793">
        <v>608751.35999999999</v>
      </c>
      <c r="K793" t="s">
        <v>46</v>
      </c>
      <c r="L793" t="s">
        <v>16</v>
      </c>
      <c r="M793" s="7">
        <v>45690</v>
      </c>
      <c r="N793" s="7">
        <v>45696</v>
      </c>
      <c r="O793" s="8">
        <v>6</v>
      </c>
      <c r="P793" t="str">
        <f t="shared" si="12"/>
        <v>Delayed</v>
      </c>
    </row>
    <row r="794" spans="1:16" x14ac:dyDescent="0.3">
      <c r="A794" t="s">
        <v>215</v>
      </c>
      <c r="B794" s="6" t="s">
        <v>240</v>
      </c>
      <c r="C794" t="s">
        <v>28</v>
      </c>
      <c r="D794" t="s">
        <v>13</v>
      </c>
      <c r="E794" t="s">
        <v>14</v>
      </c>
      <c r="F794">
        <v>26</v>
      </c>
      <c r="G794">
        <v>4220</v>
      </c>
      <c r="H794">
        <v>5</v>
      </c>
      <c r="I794">
        <v>28</v>
      </c>
      <c r="J794">
        <v>133419.51999999999</v>
      </c>
      <c r="K794" t="s">
        <v>46</v>
      </c>
      <c r="L794" t="s">
        <v>38</v>
      </c>
      <c r="M794" s="7">
        <v>45806</v>
      </c>
      <c r="N794" s="7">
        <v>45809</v>
      </c>
      <c r="O794" s="8">
        <v>3</v>
      </c>
      <c r="P794" t="str">
        <f t="shared" si="12"/>
        <v>On Delivery</v>
      </c>
    </row>
    <row r="795" spans="1:16" x14ac:dyDescent="0.3">
      <c r="A795" t="s">
        <v>200</v>
      </c>
      <c r="B795" s="6" t="s">
        <v>241</v>
      </c>
      <c r="C795" t="s">
        <v>42</v>
      </c>
      <c r="D795" t="s">
        <v>29</v>
      </c>
      <c r="E795" t="s">
        <v>30</v>
      </c>
      <c r="F795">
        <v>29</v>
      </c>
      <c r="G795">
        <v>82323</v>
      </c>
      <c r="H795">
        <v>0</v>
      </c>
      <c r="I795">
        <v>18</v>
      </c>
      <c r="J795">
        <v>2817093.06</v>
      </c>
      <c r="K795" t="s">
        <v>21</v>
      </c>
      <c r="L795" t="s">
        <v>33</v>
      </c>
      <c r="M795" s="7">
        <v>45755</v>
      </c>
      <c r="N795" s="7">
        <v>45759</v>
      </c>
      <c r="O795" s="8">
        <v>4</v>
      </c>
      <c r="P795" t="str">
        <f t="shared" si="12"/>
        <v>Delayed</v>
      </c>
    </row>
    <row r="796" spans="1:16" x14ac:dyDescent="0.3">
      <c r="A796" t="s">
        <v>27</v>
      </c>
      <c r="B796" s="6" t="s">
        <v>243</v>
      </c>
      <c r="C796" t="s">
        <v>53</v>
      </c>
      <c r="D796" t="s">
        <v>48</v>
      </c>
      <c r="E796" t="s">
        <v>49</v>
      </c>
      <c r="F796">
        <v>35</v>
      </c>
      <c r="G796">
        <v>34499</v>
      </c>
      <c r="H796">
        <v>5</v>
      </c>
      <c r="I796">
        <v>18</v>
      </c>
      <c r="J796">
        <v>1353568.26</v>
      </c>
      <c r="K796" t="s">
        <v>15</v>
      </c>
      <c r="L796" t="s">
        <v>38</v>
      </c>
      <c r="M796" s="7">
        <v>45802</v>
      </c>
      <c r="N796" s="7">
        <v>45814</v>
      </c>
      <c r="O796" s="8">
        <v>12</v>
      </c>
      <c r="P796" t="str">
        <f t="shared" si="12"/>
        <v>Delayed</v>
      </c>
    </row>
    <row r="797" spans="1:16" x14ac:dyDescent="0.3">
      <c r="A797" t="s">
        <v>160</v>
      </c>
      <c r="B797" s="6" t="s">
        <v>246</v>
      </c>
      <c r="C797" t="s">
        <v>80</v>
      </c>
      <c r="D797" t="s">
        <v>44</v>
      </c>
      <c r="E797" t="s">
        <v>51</v>
      </c>
      <c r="F797">
        <v>16</v>
      </c>
      <c r="G797">
        <v>34918</v>
      </c>
      <c r="H797">
        <v>5</v>
      </c>
      <c r="I797">
        <v>28</v>
      </c>
      <c r="J797">
        <v>679364.61</v>
      </c>
      <c r="K797" t="s">
        <v>21</v>
      </c>
      <c r="L797" t="s">
        <v>16</v>
      </c>
      <c r="M797" s="7">
        <v>45729</v>
      </c>
      <c r="N797" s="7">
        <v>45736</v>
      </c>
      <c r="O797" s="8">
        <v>7</v>
      </c>
      <c r="P797" t="str">
        <f t="shared" si="12"/>
        <v>Delayed</v>
      </c>
    </row>
    <row r="798" spans="1:16" x14ac:dyDescent="0.3">
      <c r="A798" t="s">
        <v>219</v>
      </c>
      <c r="B798" s="6" t="s">
        <v>239</v>
      </c>
      <c r="C798" t="s">
        <v>23</v>
      </c>
      <c r="D798" t="s">
        <v>35</v>
      </c>
      <c r="E798" t="s">
        <v>56</v>
      </c>
      <c r="F798">
        <v>10</v>
      </c>
      <c r="G798">
        <v>11642</v>
      </c>
      <c r="H798">
        <v>12</v>
      </c>
      <c r="I798">
        <v>28</v>
      </c>
      <c r="J798">
        <v>131135.49</v>
      </c>
      <c r="K798" t="s">
        <v>21</v>
      </c>
      <c r="L798" t="s">
        <v>38</v>
      </c>
      <c r="M798" s="7">
        <v>45683</v>
      </c>
      <c r="N798" s="7">
        <v>45687</v>
      </c>
      <c r="O798" s="8">
        <v>4</v>
      </c>
      <c r="P798" t="str">
        <f t="shared" si="12"/>
        <v>Delayed</v>
      </c>
    </row>
    <row r="799" spans="1:16" x14ac:dyDescent="0.3">
      <c r="A799" t="s">
        <v>142</v>
      </c>
      <c r="B799" s="6" t="s">
        <v>242</v>
      </c>
      <c r="C799" t="s">
        <v>12</v>
      </c>
      <c r="D799" t="s">
        <v>35</v>
      </c>
      <c r="E799" t="s">
        <v>77</v>
      </c>
      <c r="F799">
        <v>19</v>
      </c>
      <c r="G799">
        <v>22141</v>
      </c>
      <c r="H799">
        <v>10</v>
      </c>
      <c r="I799">
        <v>28</v>
      </c>
      <c r="J799">
        <v>484622.21</v>
      </c>
      <c r="K799" t="s">
        <v>46</v>
      </c>
      <c r="L799" t="s">
        <v>38</v>
      </c>
      <c r="M799" s="7">
        <v>45755</v>
      </c>
      <c r="N799" s="7">
        <v>45759</v>
      </c>
      <c r="O799" s="8">
        <v>4</v>
      </c>
      <c r="P799" t="str">
        <f t="shared" si="12"/>
        <v>Delayed</v>
      </c>
    </row>
    <row r="800" spans="1:16" x14ac:dyDescent="0.3">
      <c r="A800" t="s">
        <v>216</v>
      </c>
      <c r="B800" s="6" t="s">
        <v>241</v>
      </c>
      <c r="C800" t="s">
        <v>42</v>
      </c>
      <c r="D800" t="s">
        <v>13</v>
      </c>
      <c r="E800" t="s">
        <v>14</v>
      </c>
      <c r="F800">
        <v>23</v>
      </c>
      <c r="G800">
        <v>47844</v>
      </c>
      <c r="H800">
        <v>10</v>
      </c>
      <c r="I800">
        <v>18</v>
      </c>
      <c r="J800">
        <v>1168637.54</v>
      </c>
      <c r="K800" t="s">
        <v>15</v>
      </c>
      <c r="L800" t="s">
        <v>33</v>
      </c>
      <c r="M800" s="7">
        <v>45826</v>
      </c>
      <c r="N800" s="7">
        <v>45831</v>
      </c>
      <c r="O800" s="8">
        <v>5</v>
      </c>
      <c r="P800" t="str">
        <f t="shared" si="12"/>
        <v>Delayed</v>
      </c>
    </row>
    <row r="801" spans="1:16" x14ac:dyDescent="0.3">
      <c r="A801" t="s">
        <v>185</v>
      </c>
      <c r="B801" s="6" t="s">
        <v>241</v>
      </c>
      <c r="C801" t="s">
        <v>42</v>
      </c>
      <c r="D801" t="s">
        <v>44</v>
      </c>
      <c r="E801" t="s">
        <v>45</v>
      </c>
      <c r="F801">
        <v>6</v>
      </c>
      <c r="G801">
        <v>60851</v>
      </c>
      <c r="H801">
        <v>12</v>
      </c>
      <c r="I801">
        <v>28</v>
      </c>
      <c r="J801">
        <v>411255.4</v>
      </c>
      <c r="K801" t="s">
        <v>21</v>
      </c>
      <c r="L801" t="s">
        <v>16</v>
      </c>
      <c r="M801" s="7">
        <v>45710</v>
      </c>
      <c r="N801" s="7">
        <v>45722</v>
      </c>
      <c r="O801" s="8">
        <v>12</v>
      </c>
      <c r="P801" t="str">
        <f t="shared" si="12"/>
        <v>Delayed</v>
      </c>
    </row>
    <row r="802" spans="1:16" x14ac:dyDescent="0.3">
      <c r="A802" t="s">
        <v>208</v>
      </c>
      <c r="B802" s="6" t="s">
        <v>241</v>
      </c>
      <c r="C802" t="s">
        <v>42</v>
      </c>
      <c r="D802" t="s">
        <v>13</v>
      </c>
      <c r="E802" t="s">
        <v>32</v>
      </c>
      <c r="F802">
        <v>36</v>
      </c>
      <c r="G802">
        <v>16691</v>
      </c>
      <c r="H802">
        <v>5</v>
      </c>
      <c r="I802">
        <v>18</v>
      </c>
      <c r="J802">
        <v>673582</v>
      </c>
      <c r="K802" t="s">
        <v>15</v>
      </c>
      <c r="L802" t="s">
        <v>38</v>
      </c>
      <c r="M802" s="7">
        <v>45801</v>
      </c>
      <c r="N802" s="7">
        <v>45816</v>
      </c>
      <c r="O802" s="8">
        <v>15</v>
      </c>
      <c r="P802" t="str">
        <f t="shared" si="12"/>
        <v>Delayed</v>
      </c>
    </row>
    <row r="803" spans="1:16" x14ac:dyDescent="0.3">
      <c r="A803" t="s">
        <v>174</v>
      </c>
      <c r="B803" s="6" t="s">
        <v>240</v>
      </c>
      <c r="C803" t="s">
        <v>28</v>
      </c>
      <c r="D803" t="s">
        <v>13</v>
      </c>
      <c r="E803" t="s">
        <v>14</v>
      </c>
      <c r="F803">
        <v>31</v>
      </c>
      <c r="G803">
        <v>20303</v>
      </c>
      <c r="H803">
        <v>12</v>
      </c>
      <c r="I803">
        <v>12</v>
      </c>
      <c r="J803">
        <v>620329.74</v>
      </c>
      <c r="K803" t="s">
        <v>21</v>
      </c>
      <c r="L803" t="s">
        <v>16</v>
      </c>
      <c r="M803" s="7">
        <v>45676</v>
      </c>
      <c r="N803" s="7">
        <v>45691</v>
      </c>
      <c r="O803" s="8">
        <v>15</v>
      </c>
      <c r="P803" t="str">
        <f t="shared" si="12"/>
        <v>Delayed</v>
      </c>
    </row>
    <row r="804" spans="1:16" x14ac:dyDescent="0.3">
      <c r="A804" t="s">
        <v>182</v>
      </c>
      <c r="B804" s="6" t="s">
        <v>238</v>
      </c>
      <c r="C804" t="s">
        <v>58</v>
      </c>
      <c r="D804" t="s">
        <v>48</v>
      </c>
      <c r="E804" t="s">
        <v>49</v>
      </c>
      <c r="F804">
        <v>32</v>
      </c>
      <c r="G804">
        <v>15203</v>
      </c>
      <c r="H804">
        <v>12</v>
      </c>
      <c r="I804">
        <v>18</v>
      </c>
      <c r="J804">
        <v>505177.45</v>
      </c>
      <c r="K804" t="s">
        <v>46</v>
      </c>
      <c r="L804" t="s">
        <v>33</v>
      </c>
      <c r="M804" s="7">
        <v>45847</v>
      </c>
      <c r="N804" s="7">
        <v>45848</v>
      </c>
      <c r="O804" s="8">
        <v>1</v>
      </c>
      <c r="P804" t="str">
        <f t="shared" si="12"/>
        <v>On Delivery</v>
      </c>
    </row>
    <row r="805" spans="1:16" x14ac:dyDescent="0.3">
      <c r="A805" t="s">
        <v>122</v>
      </c>
      <c r="B805" s="6" t="s">
        <v>241</v>
      </c>
      <c r="C805" t="s">
        <v>42</v>
      </c>
      <c r="D805" t="s">
        <v>13</v>
      </c>
      <c r="E805" t="s">
        <v>14</v>
      </c>
      <c r="F805">
        <v>3</v>
      </c>
      <c r="G805">
        <v>31408</v>
      </c>
      <c r="H805">
        <v>10</v>
      </c>
      <c r="I805">
        <v>18</v>
      </c>
      <c r="J805">
        <v>100065.89</v>
      </c>
      <c r="K805" t="s">
        <v>21</v>
      </c>
      <c r="L805" t="s">
        <v>38</v>
      </c>
      <c r="M805" s="7">
        <v>45727</v>
      </c>
      <c r="N805" s="7">
        <v>45727</v>
      </c>
      <c r="O805" s="8">
        <v>0</v>
      </c>
      <c r="P805" t="str">
        <f t="shared" si="12"/>
        <v>Delivered</v>
      </c>
    </row>
    <row r="806" spans="1:16" x14ac:dyDescent="0.3">
      <c r="A806" t="s">
        <v>120</v>
      </c>
      <c r="B806" s="6" t="s">
        <v>239</v>
      </c>
      <c r="C806" t="s">
        <v>23</v>
      </c>
      <c r="D806" t="s">
        <v>24</v>
      </c>
      <c r="E806" t="s">
        <v>40</v>
      </c>
      <c r="F806">
        <v>21</v>
      </c>
      <c r="G806">
        <v>75343</v>
      </c>
      <c r="H806">
        <v>12</v>
      </c>
      <c r="I806">
        <v>28</v>
      </c>
      <c r="J806">
        <v>1782193.46</v>
      </c>
      <c r="K806" t="s">
        <v>15</v>
      </c>
      <c r="L806" t="s">
        <v>26</v>
      </c>
      <c r="M806" s="7">
        <v>45702</v>
      </c>
      <c r="N806" s="7">
        <v>45711</v>
      </c>
      <c r="O806" s="8">
        <v>9</v>
      </c>
      <c r="P806" t="str">
        <f t="shared" si="12"/>
        <v>Delayed</v>
      </c>
    </row>
    <row r="807" spans="1:16" x14ac:dyDescent="0.3">
      <c r="A807" t="s">
        <v>78</v>
      </c>
      <c r="B807" s="6" t="s">
        <v>245</v>
      </c>
      <c r="C807" t="s">
        <v>18</v>
      </c>
      <c r="D807" t="s">
        <v>44</v>
      </c>
      <c r="E807" t="s">
        <v>51</v>
      </c>
      <c r="F807">
        <v>28</v>
      </c>
      <c r="G807">
        <v>13096</v>
      </c>
      <c r="H807">
        <v>12</v>
      </c>
      <c r="I807">
        <v>18</v>
      </c>
      <c r="J807">
        <v>380768.82</v>
      </c>
      <c r="K807" t="s">
        <v>21</v>
      </c>
      <c r="L807" t="s">
        <v>26</v>
      </c>
      <c r="M807" s="7">
        <v>45835</v>
      </c>
      <c r="N807" s="7">
        <v>45844</v>
      </c>
      <c r="O807" s="8">
        <v>9</v>
      </c>
      <c r="P807" t="str">
        <f t="shared" si="12"/>
        <v>Delayed</v>
      </c>
    </row>
    <row r="808" spans="1:16" x14ac:dyDescent="0.3">
      <c r="A808" t="s">
        <v>134</v>
      </c>
      <c r="B808" s="6" t="s">
        <v>245</v>
      </c>
      <c r="C808" t="s">
        <v>18</v>
      </c>
      <c r="D808" t="s">
        <v>29</v>
      </c>
      <c r="E808" t="s">
        <v>30</v>
      </c>
      <c r="F808">
        <v>4</v>
      </c>
      <c r="G808">
        <v>50320</v>
      </c>
      <c r="H808">
        <v>0</v>
      </c>
      <c r="I808">
        <v>12</v>
      </c>
      <c r="J808">
        <v>225433.60000000001</v>
      </c>
      <c r="K808" t="s">
        <v>37</v>
      </c>
      <c r="L808" t="s">
        <v>26</v>
      </c>
      <c r="M808" s="7">
        <v>45773</v>
      </c>
      <c r="N808" s="7">
        <v>45783</v>
      </c>
      <c r="O808" s="8">
        <v>10</v>
      </c>
      <c r="P808" t="str">
        <f t="shared" si="12"/>
        <v>Delayed</v>
      </c>
    </row>
    <row r="809" spans="1:16" x14ac:dyDescent="0.3">
      <c r="A809" t="s">
        <v>78</v>
      </c>
      <c r="B809" s="6" t="s">
        <v>244</v>
      </c>
      <c r="C809" t="s">
        <v>70</v>
      </c>
      <c r="D809" t="s">
        <v>13</v>
      </c>
      <c r="E809" t="s">
        <v>32</v>
      </c>
      <c r="F809">
        <v>37</v>
      </c>
      <c r="G809">
        <v>46803</v>
      </c>
      <c r="H809">
        <v>10</v>
      </c>
      <c r="I809">
        <v>28</v>
      </c>
      <c r="J809">
        <v>1994931.07</v>
      </c>
      <c r="K809" t="s">
        <v>46</v>
      </c>
      <c r="L809" t="s">
        <v>16</v>
      </c>
      <c r="M809" s="7">
        <v>45837</v>
      </c>
      <c r="N809" s="7">
        <v>45841</v>
      </c>
      <c r="O809" s="8">
        <v>4</v>
      </c>
      <c r="P809" t="str">
        <f t="shared" si="12"/>
        <v>Delayed</v>
      </c>
    </row>
    <row r="810" spans="1:16" x14ac:dyDescent="0.3">
      <c r="A810" t="s">
        <v>34</v>
      </c>
      <c r="B810" s="6" t="s">
        <v>238</v>
      </c>
      <c r="C810" t="s">
        <v>58</v>
      </c>
      <c r="D810" t="s">
        <v>24</v>
      </c>
      <c r="E810" t="s">
        <v>25</v>
      </c>
      <c r="F810">
        <v>16</v>
      </c>
      <c r="G810">
        <v>21659</v>
      </c>
      <c r="H810">
        <v>5</v>
      </c>
      <c r="I810">
        <v>18</v>
      </c>
      <c r="J810">
        <v>388475.82</v>
      </c>
      <c r="K810" t="s">
        <v>21</v>
      </c>
      <c r="L810" t="s">
        <v>26</v>
      </c>
      <c r="M810" s="7">
        <v>45783</v>
      </c>
      <c r="N810" s="7">
        <v>45787</v>
      </c>
      <c r="O810" s="8">
        <v>4</v>
      </c>
      <c r="P810" t="str">
        <f t="shared" si="12"/>
        <v>Delayed</v>
      </c>
    </row>
    <row r="811" spans="1:16" x14ac:dyDescent="0.3">
      <c r="A811" t="s">
        <v>162</v>
      </c>
      <c r="B811" s="6" t="s">
        <v>238</v>
      </c>
      <c r="C811" t="s">
        <v>58</v>
      </c>
      <c r="D811" t="s">
        <v>13</v>
      </c>
      <c r="E811" t="s">
        <v>14</v>
      </c>
      <c r="F811">
        <v>3</v>
      </c>
      <c r="G811">
        <v>37455</v>
      </c>
      <c r="H811">
        <v>12</v>
      </c>
      <c r="I811">
        <v>18</v>
      </c>
      <c r="J811">
        <v>116679.82</v>
      </c>
      <c r="K811" t="s">
        <v>37</v>
      </c>
      <c r="L811" t="s">
        <v>33</v>
      </c>
      <c r="M811" s="7">
        <v>45802</v>
      </c>
      <c r="N811" s="7">
        <v>45815</v>
      </c>
      <c r="O811" s="8">
        <v>13</v>
      </c>
      <c r="P811" t="str">
        <f t="shared" si="12"/>
        <v>Delayed</v>
      </c>
    </row>
    <row r="812" spans="1:16" x14ac:dyDescent="0.3">
      <c r="A812" t="s">
        <v>193</v>
      </c>
      <c r="B812" s="6" t="s">
        <v>243</v>
      </c>
      <c r="C812" t="s">
        <v>53</v>
      </c>
      <c r="D812" t="s">
        <v>35</v>
      </c>
      <c r="E812" t="s">
        <v>77</v>
      </c>
      <c r="F812">
        <v>3</v>
      </c>
      <c r="G812">
        <v>81306</v>
      </c>
      <c r="H812">
        <v>10</v>
      </c>
      <c r="I812">
        <v>12</v>
      </c>
      <c r="J812">
        <v>245869.34</v>
      </c>
      <c r="K812" t="s">
        <v>15</v>
      </c>
      <c r="L812" t="s">
        <v>38</v>
      </c>
      <c r="M812" s="7">
        <v>45681</v>
      </c>
      <c r="N812" s="7">
        <v>45683</v>
      </c>
      <c r="O812" s="8">
        <v>2</v>
      </c>
      <c r="P812" t="str">
        <f t="shared" si="12"/>
        <v>On Delivery</v>
      </c>
    </row>
    <row r="813" spans="1:16" x14ac:dyDescent="0.3">
      <c r="A813" t="s">
        <v>106</v>
      </c>
      <c r="B813" s="6" t="s">
        <v>244</v>
      </c>
      <c r="C813" t="s">
        <v>70</v>
      </c>
      <c r="D813" t="s">
        <v>48</v>
      </c>
      <c r="E813" t="s">
        <v>49</v>
      </c>
      <c r="F813">
        <v>27</v>
      </c>
      <c r="G813">
        <v>41491</v>
      </c>
      <c r="H813">
        <v>10</v>
      </c>
      <c r="I813">
        <v>12</v>
      </c>
      <c r="J813">
        <v>1129219.06</v>
      </c>
      <c r="K813" t="s">
        <v>46</v>
      </c>
      <c r="L813" t="s">
        <v>33</v>
      </c>
      <c r="M813" s="7">
        <v>45775</v>
      </c>
      <c r="N813" s="7">
        <v>45790</v>
      </c>
      <c r="O813" s="8">
        <v>15</v>
      </c>
      <c r="P813" t="str">
        <f t="shared" si="12"/>
        <v>Delayed</v>
      </c>
    </row>
    <row r="814" spans="1:16" x14ac:dyDescent="0.3">
      <c r="A814" t="s">
        <v>132</v>
      </c>
      <c r="B814" s="6" t="s">
        <v>244</v>
      </c>
      <c r="C814" t="s">
        <v>70</v>
      </c>
      <c r="D814" t="s">
        <v>29</v>
      </c>
      <c r="E814" t="s">
        <v>30</v>
      </c>
      <c r="F814">
        <v>34</v>
      </c>
      <c r="G814">
        <v>38813</v>
      </c>
      <c r="H814">
        <v>10</v>
      </c>
      <c r="I814">
        <v>12</v>
      </c>
      <c r="J814">
        <v>1330199.1399999999</v>
      </c>
      <c r="K814" t="s">
        <v>37</v>
      </c>
      <c r="L814" t="s">
        <v>33</v>
      </c>
      <c r="M814" s="7">
        <v>45675</v>
      </c>
      <c r="N814" s="7">
        <v>45683</v>
      </c>
      <c r="O814" s="8">
        <v>8</v>
      </c>
      <c r="P814" t="str">
        <f t="shared" si="12"/>
        <v>Delayed</v>
      </c>
    </row>
    <row r="815" spans="1:16" x14ac:dyDescent="0.3">
      <c r="A815" t="s">
        <v>101</v>
      </c>
      <c r="B815" s="6" t="s">
        <v>246</v>
      </c>
      <c r="C815" t="s">
        <v>80</v>
      </c>
      <c r="D815" t="s">
        <v>19</v>
      </c>
      <c r="E815" t="s">
        <v>20</v>
      </c>
      <c r="F815">
        <v>15</v>
      </c>
      <c r="G815">
        <v>13495</v>
      </c>
      <c r="H815">
        <v>10</v>
      </c>
      <c r="I815">
        <v>12</v>
      </c>
      <c r="J815">
        <v>204044.4</v>
      </c>
      <c r="K815" t="s">
        <v>15</v>
      </c>
      <c r="L815" t="s">
        <v>26</v>
      </c>
      <c r="M815" s="7">
        <v>45729</v>
      </c>
      <c r="N815" s="7">
        <v>45741</v>
      </c>
      <c r="O815" s="8">
        <v>12</v>
      </c>
      <c r="P815" t="str">
        <f t="shared" si="12"/>
        <v>Delayed</v>
      </c>
    </row>
    <row r="816" spans="1:16" x14ac:dyDescent="0.3">
      <c r="A816" t="s">
        <v>154</v>
      </c>
      <c r="B816" s="6" t="s">
        <v>239</v>
      </c>
      <c r="C816" t="s">
        <v>23</v>
      </c>
      <c r="D816" t="s">
        <v>29</v>
      </c>
      <c r="E816" t="s">
        <v>30</v>
      </c>
      <c r="F816">
        <v>18</v>
      </c>
      <c r="G816">
        <v>40194</v>
      </c>
      <c r="H816">
        <v>0</v>
      </c>
      <c r="I816">
        <v>28</v>
      </c>
      <c r="J816">
        <v>926069.76000000001</v>
      </c>
      <c r="K816" t="s">
        <v>21</v>
      </c>
      <c r="L816" t="s">
        <v>33</v>
      </c>
      <c r="M816" s="7">
        <v>45836</v>
      </c>
      <c r="N816" s="7">
        <v>45837</v>
      </c>
      <c r="O816" s="8">
        <v>1</v>
      </c>
      <c r="P816" t="str">
        <f t="shared" si="12"/>
        <v>On Delivery</v>
      </c>
    </row>
    <row r="817" spans="1:16" x14ac:dyDescent="0.3">
      <c r="A817" t="s">
        <v>205</v>
      </c>
      <c r="B817" s="6" t="s">
        <v>246</v>
      </c>
      <c r="C817" t="s">
        <v>80</v>
      </c>
      <c r="D817" t="s">
        <v>29</v>
      </c>
      <c r="E817" t="s">
        <v>30</v>
      </c>
      <c r="F817">
        <v>21</v>
      </c>
      <c r="G817">
        <v>59377</v>
      </c>
      <c r="H817">
        <v>0</v>
      </c>
      <c r="I817">
        <v>12</v>
      </c>
      <c r="J817">
        <v>1396547.04</v>
      </c>
      <c r="K817" t="s">
        <v>37</v>
      </c>
      <c r="L817" t="s">
        <v>26</v>
      </c>
      <c r="M817" s="7">
        <v>45687</v>
      </c>
      <c r="N817" s="7">
        <v>45701</v>
      </c>
      <c r="O817" s="8">
        <v>14</v>
      </c>
      <c r="P817" t="str">
        <f t="shared" si="12"/>
        <v>Delayed</v>
      </c>
    </row>
    <row r="818" spans="1:16" x14ac:dyDescent="0.3">
      <c r="A818" t="s">
        <v>162</v>
      </c>
      <c r="B818" s="6" t="s">
        <v>240</v>
      </c>
      <c r="C818" t="s">
        <v>28</v>
      </c>
      <c r="D818" t="s">
        <v>48</v>
      </c>
      <c r="E818" t="s">
        <v>49</v>
      </c>
      <c r="F818">
        <v>22</v>
      </c>
      <c r="G818">
        <v>68011</v>
      </c>
      <c r="H818">
        <v>12</v>
      </c>
      <c r="I818">
        <v>18</v>
      </c>
      <c r="J818">
        <v>1553697.69</v>
      </c>
      <c r="K818" t="s">
        <v>46</v>
      </c>
      <c r="L818" t="s">
        <v>26</v>
      </c>
      <c r="M818" s="7">
        <v>45796</v>
      </c>
      <c r="N818" s="7">
        <v>45803</v>
      </c>
      <c r="O818" s="8">
        <v>7</v>
      </c>
      <c r="P818" t="str">
        <f t="shared" si="12"/>
        <v>Delayed</v>
      </c>
    </row>
    <row r="819" spans="1:16" x14ac:dyDescent="0.3">
      <c r="A819" t="s">
        <v>163</v>
      </c>
      <c r="B819" s="6" t="s">
        <v>240</v>
      </c>
      <c r="C819" t="s">
        <v>28</v>
      </c>
      <c r="D819" t="s">
        <v>44</v>
      </c>
      <c r="E819" t="s">
        <v>51</v>
      </c>
      <c r="F819">
        <v>35</v>
      </c>
      <c r="G819">
        <v>23124</v>
      </c>
      <c r="H819">
        <v>10</v>
      </c>
      <c r="I819">
        <v>28</v>
      </c>
      <c r="J819">
        <v>932359.68000000005</v>
      </c>
      <c r="K819" t="s">
        <v>21</v>
      </c>
      <c r="L819" t="s">
        <v>33</v>
      </c>
      <c r="M819" s="7">
        <v>45708</v>
      </c>
      <c r="N819" s="7">
        <v>45720</v>
      </c>
      <c r="O819" s="8">
        <v>12</v>
      </c>
      <c r="P819" t="str">
        <f t="shared" si="12"/>
        <v>Delayed</v>
      </c>
    </row>
    <row r="820" spans="1:16" x14ac:dyDescent="0.3">
      <c r="A820" t="s">
        <v>126</v>
      </c>
      <c r="B820" s="6" t="s">
        <v>246</v>
      </c>
      <c r="C820" t="s">
        <v>80</v>
      </c>
      <c r="D820" t="s">
        <v>24</v>
      </c>
      <c r="E820" t="s">
        <v>25</v>
      </c>
      <c r="F820">
        <v>10</v>
      </c>
      <c r="G820">
        <v>13070</v>
      </c>
      <c r="H820">
        <v>5</v>
      </c>
      <c r="I820">
        <v>28</v>
      </c>
      <c r="J820">
        <v>158931.20000000001</v>
      </c>
      <c r="K820" t="s">
        <v>46</v>
      </c>
      <c r="L820" t="s">
        <v>38</v>
      </c>
      <c r="M820" s="7">
        <v>45702</v>
      </c>
      <c r="N820" s="7">
        <v>45713</v>
      </c>
      <c r="O820" s="8">
        <v>11</v>
      </c>
      <c r="P820" t="str">
        <f t="shared" si="12"/>
        <v>Delayed</v>
      </c>
    </row>
    <row r="821" spans="1:16" x14ac:dyDescent="0.3">
      <c r="A821" t="s">
        <v>228</v>
      </c>
      <c r="B821" s="6" t="s">
        <v>246</v>
      </c>
      <c r="C821" t="s">
        <v>80</v>
      </c>
      <c r="D821" t="s">
        <v>24</v>
      </c>
      <c r="E821" t="s">
        <v>76</v>
      </c>
      <c r="F821">
        <v>7</v>
      </c>
      <c r="G821">
        <v>60974</v>
      </c>
      <c r="H821">
        <v>0</v>
      </c>
      <c r="I821">
        <v>28</v>
      </c>
      <c r="J821">
        <v>546327.04000000004</v>
      </c>
      <c r="K821" t="s">
        <v>15</v>
      </c>
      <c r="L821" t="s">
        <v>26</v>
      </c>
      <c r="M821" s="7">
        <v>45747</v>
      </c>
      <c r="N821" s="7">
        <v>45747</v>
      </c>
      <c r="O821" s="8">
        <v>0</v>
      </c>
      <c r="P821" t="str">
        <f t="shared" si="12"/>
        <v>Delivered</v>
      </c>
    </row>
    <row r="822" spans="1:16" x14ac:dyDescent="0.3">
      <c r="A822" t="s">
        <v>11</v>
      </c>
      <c r="B822" s="6" t="s">
        <v>244</v>
      </c>
      <c r="C822" t="s">
        <v>70</v>
      </c>
      <c r="D822" t="s">
        <v>44</v>
      </c>
      <c r="E822" t="s">
        <v>45</v>
      </c>
      <c r="F822">
        <v>3</v>
      </c>
      <c r="G822">
        <v>3153</v>
      </c>
      <c r="H822">
        <v>0</v>
      </c>
      <c r="I822">
        <v>12</v>
      </c>
      <c r="J822">
        <v>10594.08</v>
      </c>
      <c r="K822" t="s">
        <v>46</v>
      </c>
      <c r="L822" t="s">
        <v>16</v>
      </c>
      <c r="M822" s="7">
        <v>45683</v>
      </c>
      <c r="N822" s="7">
        <v>45695</v>
      </c>
      <c r="O822" s="8">
        <v>12</v>
      </c>
      <c r="P822" t="str">
        <f t="shared" si="12"/>
        <v>Delayed</v>
      </c>
    </row>
    <row r="823" spans="1:16" x14ac:dyDescent="0.3">
      <c r="A823" t="s">
        <v>93</v>
      </c>
      <c r="B823" s="6" t="s">
        <v>242</v>
      </c>
      <c r="C823" t="s">
        <v>12</v>
      </c>
      <c r="D823" t="s">
        <v>29</v>
      </c>
      <c r="E823" t="s">
        <v>30</v>
      </c>
      <c r="F823">
        <v>10</v>
      </c>
      <c r="G823">
        <v>82693</v>
      </c>
      <c r="H823">
        <v>10</v>
      </c>
      <c r="I823">
        <v>28</v>
      </c>
      <c r="J823">
        <v>952623.36</v>
      </c>
      <c r="K823" t="s">
        <v>21</v>
      </c>
      <c r="L823" t="s">
        <v>26</v>
      </c>
      <c r="M823" s="7">
        <v>45796</v>
      </c>
      <c r="N823" s="7">
        <v>45810</v>
      </c>
      <c r="O823" s="8">
        <v>14</v>
      </c>
      <c r="P823" t="str">
        <f t="shared" si="12"/>
        <v>Delayed</v>
      </c>
    </row>
    <row r="824" spans="1:16" x14ac:dyDescent="0.3">
      <c r="A824" t="s">
        <v>101</v>
      </c>
      <c r="B824" s="6" t="s">
        <v>246</v>
      </c>
      <c r="C824" t="s">
        <v>80</v>
      </c>
      <c r="D824" t="s">
        <v>24</v>
      </c>
      <c r="E824" t="s">
        <v>40</v>
      </c>
      <c r="F824">
        <v>12</v>
      </c>
      <c r="G824">
        <v>77025</v>
      </c>
      <c r="H824">
        <v>5</v>
      </c>
      <c r="I824">
        <v>28</v>
      </c>
      <c r="J824">
        <v>1123948.8</v>
      </c>
      <c r="K824" t="s">
        <v>21</v>
      </c>
      <c r="L824" t="s">
        <v>16</v>
      </c>
      <c r="M824" s="7">
        <v>45722</v>
      </c>
      <c r="N824" s="7">
        <v>45735</v>
      </c>
      <c r="O824" s="8">
        <v>13</v>
      </c>
      <c r="P824" t="str">
        <f t="shared" si="12"/>
        <v>Delayed</v>
      </c>
    </row>
    <row r="825" spans="1:16" x14ac:dyDescent="0.3">
      <c r="A825" t="s">
        <v>177</v>
      </c>
      <c r="B825" s="6" t="s">
        <v>243</v>
      </c>
      <c r="C825" t="s">
        <v>53</v>
      </c>
      <c r="D825" t="s">
        <v>62</v>
      </c>
      <c r="E825" t="s">
        <v>63</v>
      </c>
      <c r="F825">
        <v>16</v>
      </c>
      <c r="G825">
        <v>21563</v>
      </c>
      <c r="H825">
        <v>5</v>
      </c>
      <c r="I825">
        <v>28</v>
      </c>
      <c r="J825">
        <v>419529.73</v>
      </c>
      <c r="K825" t="s">
        <v>15</v>
      </c>
      <c r="L825" t="s">
        <v>26</v>
      </c>
      <c r="M825" s="7">
        <v>45818</v>
      </c>
      <c r="N825" s="7">
        <v>45828</v>
      </c>
      <c r="O825" s="8">
        <v>10</v>
      </c>
      <c r="P825" t="str">
        <f t="shared" si="12"/>
        <v>Delayed</v>
      </c>
    </row>
    <row r="826" spans="1:16" x14ac:dyDescent="0.3">
      <c r="A826" t="s">
        <v>217</v>
      </c>
      <c r="B826" s="6" t="s">
        <v>239</v>
      </c>
      <c r="C826" t="s">
        <v>23</v>
      </c>
      <c r="D826" t="s">
        <v>35</v>
      </c>
      <c r="E826" t="s">
        <v>36</v>
      </c>
      <c r="F826">
        <v>4</v>
      </c>
      <c r="G826">
        <v>28345</v>
      </c>
      <c r="H826">
        <v>12</v>
      </c>
      <c r="I826">
        <v>18</v>
      </c>
      <c r="J826">
        <v>117733.79</v>
      </c>
      <c r="K826" t="s">
        <v>21</v>
      </c>
      <c r="L826" t="s">
        <v>26</v>
      </c>
      <c r="M826" s="7">
        <v>45816</v>
      </c>
      <c r="N826" s="7">
        <v>45824</v>
      </c>
      <c r="O826" s="8">
        <v>8</v>
      </c>
      <c r="P826" t="str">
        <f t="shared" si="12"/>
        <v>Delayed</v>
      </c>
    </row>
    <row r="827" spans="1:16" x14ac:dyDescent="0.3">
      <c r="A827" t="s">
        <v>228</v>
      </c>
      <c r="B827" s="6" t="s">
        <v>240</v>
      </c>
      <c r="C827" t="s">
        <v>28</v>
      </c>
      <c r="D827" t="s">
        <v>19</v>
      </c>
      <c r="E827" t="s">
        <v>20</v>
      </c>
      <c r="F827">
        <v>23</v>
      </c>
      <c r="G827">
        <v>42942</v>
      </c>
      <c r="H827">
        <v>0</v>
      </c>
      <c r="I827">
        <v>12</v>
      </c>
      <c r="J827">
        <v>1106185.92</v>
      </c>
      <c r="K827" t="s">
        <v>46</v>
      </c>
      <c r="L827" t="s">
        <v>33</v>
      </c>
      <c r="M827" s="7">
        <v>45745</v>
      </c>
      <c r="N827" s="7">
        <v>45752</v>
      </c>
      <c r="O827" s="8">
        <v>7</v>
      </c>
      <c r="P827" t="str">
        <f t="shared" si="12"/>
        <v>Delayed</v>
      </c>
    </row>
    <row r="828" spans="1:16" x14ac:dyDescent="0.3">
      <c r="A828" t="s">
        <v>41</v>
      </c>
      <c r="B828" s="6" t="s">
        <v>246</v>
      </c>
      <c r="C828" t="s">
        <v>80</v>
      </c>
      <c r="D828" t="s">
        <v>19</v>
      </c>
      <c r="E828" t="s">
        <v>20</v>
      </c>
      <c r="F828">
        <v>3</v>
      </c>
      <c r="G828">
        <v>82840</v>
      </c>
      <c r="H828">
        <v>0</v>
      </c>
      <c r="I828">
        <v>18</v>
      </c>
      <c r="J828">
        <v>293253.59999999998</v>
      </c>
      <c r="K828" t="s">
        <v>37</v>
      </c>
      <c r="L828" t="s">
        <v>38</v>
      </c>
      <c r="M828" s="7">
        <v>45771</v>
      </c>
      <c r="N828" s="7">
        <v>45785</v>
      </c>
      <c r="O828" s="8">
        <v>14</v>
      </c>
      <c r="P828" t="str">
        <f t="shared" si="12"/>
        <v>Delayed</v>
      </c>
    </row>
    <row r="829" spans="1:16" x14ac:dyDescent="0.3">
      <c r="A829" t="s">
        <v>159</v>
      </c>
      <c r="B829" s="6" t="s">
        <v>239</v>
      </c>
      <c r="C829" t="s">
        <v>23</v>
      </c>
      <c r="D829" t="s">
        <v>44</v>
      </c>
      <c r="E829" t="s">
        <v>45</v>
      </c>
      <c r="F829">
        <v>9</v>
      </c>
      <c r="G829">
        <v>43808</v>
      </c>
      <c r="H829">
        <v>12</v>
      </c>
      <c r="I829">
        <v>12</v>
      </c>
      <c r="J829">
        <v>388594.48</v>
      </c>
      <c r="K829" t="s">
        <v>46</v>
      </c>
      <c r="L829" t="s">
        <v>16</v>
      </c>
      <c r="M829" s="7">
        <v>45841</v>
      </c>
      <c r="N829" s="7">
        <v>45853</v>
      </c>
      <c r="O829" s="8">
        <v>12</v>
      </c>
      <c r="P829" t="str">
        <f t="shared" si="12"/>
        <v>Delayed</v>
      </c>
    </row>
    <row r="830" spans="1:16" x14ac:dyDescent="0.3">
      <c r="A830" t="s">
        <v>204</v>
      </c>
      <c r="B830" s="6" t="s">
        <v>244</v>
      </c>
      <c r="C830" t="s">
        <v>70</v>
      </c>
      <c r="D830" t="s">
        <v>62</v>
      </c>
      <c r="E830" t="s">
        <v>92</v>
      </c>
      <c r="F830">
        <v>3</v>
      </c>
      <c r="G830">
        <v>7067</v>
      </c>
      <c r="H830">
        <v>0</v>
      </c>
      <c r="I830">
        <v>18</v>
      </c>
      <c r="J830">
        <v>25017.18</v>
      </c>
      <c r="K830" t="s">
        <v>21</v>
      </c>
      <c r="L830" t="s">
        <v>26</v>
      </c>
      <c r="M830" s="7">
        <v>45674</v>
      </c>
      <c r="N830" s="7">
        <v>45688</v>
      </c>
      <c r="O830" s="8">
        <v>14</v>
      </c>
      <c r="P830" t="str">
        <f t="shared" si="12"/>
        <v>Delayed</v>
      </c>
    </row>
    <row r="831" spans="1:16" x14ac:dyDescent="0.3">
      <c r="A831" t="s">
        <v>55</v>
      </c>
      <c r="B831" s="6" t="s">
        <v>240</v>
      </c>
      <c r="C831" t="s">
        <v>28</v>
      </c>
      <c r="D831" t="s">
        <v>35</v>
      </c>
      <c r="E831" t="s">
        <v>36</v>
      </c>
      <c r="F831">
        <v>30</v>
      </c>
      <c r="G831">
        <v>32191</v>
      </c>
      <c r="H831">
        <v>12</v>
      </c>
      <c r="I831">
        <v>18</v>
      </c>
      <c r="J831">
        <v>1002814.03</v>
      </c>
      <c r="K831" t="s">
        <v>46</v>
      </c>
      <c r="L831" t="s">
        <v>38</v>
      </c>
      <c r="M831" s="7">
        <v>45759</v>
      </c>
      <c r="N831" s="7">
        <v>45759</v>
      </c>
      <c r="O831" s="8">
        <v>0</v>
      </c>
      <c r="P831" t="str">
        <f t="shared" si="12"/>
        <v>Delivered</v>
      </c>
    </row>
    <row r="832" spans="1:16" x14ac:dyDescent="0.3">
      <c r="A832" t="s">
        <v>79</v>
      </c>
      <c r="B832" s="6" t="s">
        <v>238</v>
      </c>
      <c r="C832" t="s">
        <v>58</v>
      </c>
      <c r="D832" t="s">
        <v>62</v>
      </c>
      <c r="E832" t="s">
        <v>92</v>
      </c>
      <c r="F832">
        <v>21</v>
      </c>
      <c r="G832">
        <v>50997</v>
      </c>
      <c r="H832">
        <v>12</v>
      </c>
      <c r="I832">
        <v>28</v>
      </c>
      <c r="J832">
        <v>1206303.44</v>
      </c>
      <c r="K832" t="s">
        <v>21</v>
      </c>
      <c r="L832" t="s">
        <v>16</v>
      </c>
      <c r="M832" s="7">
        <v>45687</v>
      </c>
      <c r="N832" s="7">
        <v>45696</v>
      </c>
      <c r="O832" s="8">
        <v>9</v>
      </c>
      <c r="P832" t="str">
        <f t="shared" si="12"/>
        <v>Delayed</v>
      </c>
    </row>
    <row r="833" spans="1:16" x14ac:dyDescent="0.3">
      <c r="A833" t="s">
        <v>72</v>
      </c>
      <c r="B833" s="6" t="s">
        <v>242</v>
      </c>
      <c r="C833" t="s">
        <v>12</v>
      </c>
      <c r="D833" t="s">
        <v>24</v>
      </c>
      <c r="E833" t="s">
        <v>76</v>
      </c>
      <c r="F833">
        <v>24</v>
      </c>
      <c r="G833">
        <v>64991</v>
      </c>
      <c r="H833">
        <v>10</v>
      </c>
      <c r="I833">
        <v>28</v>
      </c>
      <c r="J833">
        <v>1796871.17</v>
      </c>
      <c r="K833" t="s">
        <v>37</v>
      </c>
      <c r="L833" t="s">
        <v>38</v>
      </c>
      <c r="M833" s="7">
        <v>45708</v>
      </c>
      <c r="N833" s="7">
        <v>45717</v>
      </c>
      <c r="O833" s="8">
        <v>9</v>
      </c>
      <c r="P833" t="str">
        <f t="shared" si="12"/>
        <v>Delayed</v>
      </c>
    </row>
    <row r="834" spans="1:16" x14ac:dyDescent="0.3">
      <c r="A834" t="s">
        <v>93</v>
      </c>
      <c r="B834" s="6" t="s">
        <v>244</v>
      </c>
      <c r="C834" t="s">
        <v>70</v>
      </c>
      <c r="D834" t="s">
        <v>48</v>
      </c>
      <c r="E834" t="s">
        <v>59</v>
      </c>
      <c r="F834">
        <v>14</v>
      </c>
      <c r="G834">
        <v>54571</v>
      </c>
      <c r="H834">
        <v>5</v>
      </c>
      <c r="I834">
        <v>28</v>
      </c>
      <c r="J834">
        <v>929016.7</v>
      </c>
      <c r="K834" t="s">
        <v>37</v>
      </c>
      <c r="L834" t="s">
        <v>33</v>
      </c>
      <c r="M834" s="7">
        <v>45797</v>
      </c>
      <c r="N834" s="7">
        <v>45806</v>
      </c>
      <c r="O834" s="8">
        <v>9</v>
      </c>
      <c r="P834" t="str">
        <f t="shared" ref="P834:P897" si="13">IF(O834="","Pending",IF(O834=0,"Delivered",IF(O834&lt;=3,"On Delivery","Delayed")))</f>
        <v>Delayed</v>
      </c>
    </row>
    <row r="835" spans="1:16" x14ac:dyDescent="0.3">
      <c r="A835" t="s">
        <v>225</v>
      </c>
      <c r="B835" s="6" t="s">
        <v>241</v>
      </c>
      <c r="C835" t="s">
        <v>42</v>
      </c>
      <c r="D835" t="s">
        <v>62</v>
      </c>
      <c r="E835" t="s">
        <v>63</v>
      </c>
      <c r="F835">
        <v>28</v>
      </c>
      <c r="G835">
        <v>67085</v>
      </c>
      <c r="H835">
        <v>10</v>
      </c>
      <c r="I835">
        <v>28</v>
      </c>
      <c r="J835">
        <v>2163893.7599999998</v>
      </c>
      <c r="K835" t="s">
        <v>15</v>
      </c>
      <c r="L835" t="s">
        <v>38</v>
      </c>
      <c r="M835" s="7">
        <v>45797</v>
      </c>
      <c r="N835" s="7">
        <v>45804</v>
      </c>
      <c r="O835" s="8">
        <v>7</v>
      </c>
      <c r="P835" t="str">
        <f t="shared" si="13"/>
        <v>Delayed</v>
      </c>
    </row>
    <row r="836" spans="1:16" x14ac:dyDescent="0.3">
      <c r="A836" t="s">
        <v>135</v>
      </c>
      <c r="B836" s="6" t="s">
        <v>240</v>
      </c>
      <c r="C836" t="s">
        <v>28</v>
      </c>
      <c r="D836" t="s">
        <v>48</v>
      </c>
      <c r="E836" t="s">
        <v>59</v>
      </c>
      <c r="F836">
        <v>11</v>
      </c>
      <c r="G836">
        <v>44794</v>
      </c>
      <c r="H836">
        <v>5</v>
      </c>
      <c r="I836">
        <v>28</v>
      </c>
      <c r="J836">
        <v>599164.54</v>
      </c>
      <c r="K836" t="s">
        <v>15</v>
      </c>
      <c r="L836" t="s">
        <v>33</v>
      </c>
      <c r="M836" s="7">
        <v>45845</v>
      </c>
      <c r="N836" s="7">
        <v>45850</v>
      </c>
      <c r="O836" s="8">
        <v>5</v>
      </c>
      <c r="P836" t="str">
        <f t="shared" si="13"/>
        <v>Delayed</v>
      </c>
    </row>
    <row r="837" spans="1:16" x14ac:dyDescent="0.3">
      <c r="A837" t="s">
        <v>160</v>
      </c>
      <c r="B837" s="6" t="s">
        <v>244</v>
      </c>
      <c r="C837" t="s">
        <v>70</v>
      </c>
      <c r="D837" t="s">
        <v>24</v>
      </c>
      <c r="E837" t="s">
        <v>25</v>
      </c>
      <c r="F837">
        <v>13</v>
      </c>
      <c r="G837">
        <v>53378</v>
      </c>
      <c r="H837">
        <v>10</v>
      </c>
      <c r="I837">
        <v>18</v>
      </c>
      <c r="J837">
        <v>736936.67</v>
      </c>
      <c r="K837" t="s">
        <v>46</v>
      </c>
      <c r="L837" t="s">
        <v>16</v>
      </c>
      <c r="M837" s="7">
        <v>45728</v>
      </c>
      <c r="N837" s="7">
        <v>45738</v>
      </c>
      <c r="O837" s="8">
        <v>10</v>
      </c>
      <c r="P837" t="str">
        <f t="shared" si="13"/>
        <v>Delayed</v>
      </c>
    </row>
    <row r="838" spans="1:16" x14ac:dyDescent="0.3">
      <c r="A838" t="s">
        <v>161</v>
      </c>
      <c r="B838" s="6" t="s">
        <v>238</v>
      </c>
      <c r="C838" t="s">
        <v>58</v>
      </c>
      <c r="D838" t="s">
        <v>44</v>
      </c>
      <c r="E838" t="s">
        <v>51</v>
      </c>
      <c r="F838">
        <v>5</v>
      </c>
      <c r="G838">
        <v>14435</v>
      </c>
      <c r="H838">
        <v>5</v>
      </c>
      <c r="I838">
        <v>18</v>
      </c>
      <c r="J838">
        <v>80908.179999999993</v>
      </c>
      <c r="K838" t="s">
        <v>15</v>
      </c>
      <c r="L838" t="s">
        <v>16</v>
      </c>
      <c r="M838" s="7">
        <v>45724</v>
      </c>
      <c r="N838" s="7">
        <v>45731</v>
      </c>
      <c r="O838" s="8">
        <v>7</v>
      </c>
      <c r="P838" t="str">
        <f t="shared" si="13"/>
        <v>Delayed</v>
      </c>
    </row>
    <row r="839" spans="1:16" x14ac:dyDescent="0.3">
      <c r="A839" t="s">
        <v>134</v>
      </c>
      <c r="B839" s="6" t="s">
        <v>242</v>
      </c>
      <c r="C839" t="s">
        <v>12</v>
      </c>
      <c r="D839" t="s">
        <v>29</v>
      </c>
      <c r="E839" t="s">
        <v>30</v>
      </c>
      <c r="F839">
        <v>32</v>
      </c>
      <c r="G839">
        <v>53135</v>
      </c>
      <c r="H839">
        <v>12</v>
      </c>
      <c r="I839">
        <v>18</v>
      </c>
      <c r="J839">
        <v>1765612.29</v>
      </c>
      <c r="K839" t="s">
        <v>15</v>
      </c>
      <c r="L839" t="s">
        <v>33</v>
      </c>
      <c r="M839" s="7">
        <v>45769</v>
      </c>
      <c r="N839" s="7">
        <v>45782</v>
      </c>
      <c r="O839" s="8">
        <v>13</v>
      </c>
      <c r="P839" t="str">
        <f t="shared" si="13"/>
        <v>Delayed</v>
      </c>
    </row>
    <row r="840" spans="1:16" x14ac:dyDescent="0.3">
      <c r="A840" t="s">
        <v>218</v>
      </c>
      <c r="B840" s="6" t="s">
        <v>243</v>
      </c>
      <c r="C840" t="s">
        <v>53</v>
      </c>
      <c r="D840" t="s">
        <v>62</v>
      </c>
      <c r="E840" t="s">
        <v>63</v>
      </c>
      <c r="F840">
        <v>3</v>
      </c>
      <c r="G840">
        <v>38591</v>
      </c>
      <c r="H840">
        <v>10</v>
      </c>
      <c r="I840">
        <v>18</v>
      </c>
      <c r="J840">
        <v>122950.93</v>
      </c>
      <c r="K840" t="s">
        <v>37</v>
      </c>
      <c r="L840" t="s">
        <v>16</v>
      </c>
      <c r="M840" s="7">
        <v>45780</v>
      </c>
      <c r="N840" s="7">
        <v>45780</v>
      </c>
      <c r="O840" s="8">
        <v>0</v>
      </c>
      <c r="P840" t="str">
        <f t="shared" si="13"/>
        <v>Delivered</v>
      </c>
    </row>
    <row r="841" spans="1:16" x14ac:dyDescent="0.3">
      <c r="A841" t="s">
        <v>190</v>
      </c>
      <c r="B841" s="6" t="s">
        <v>240</v>
      </c>
      <c r="C841" t="s">
        <v>28</v>
      </c>
      <c r="D841" t="s">
        <v>13</v>
      </c>
      <c r="E841" t="s">
        <v>32</v>
      </c>
      <c r="F841">
        <v>23</v>
      </c>
      <c r="G841">
        <v>75264</v>
      </c>
      <c r="H841">
        <v>10</v>
      </c>
      <c r="I841">
        <v>12</v>
      </c>
      <c r="J841">
        <v>1744920.58</v>
      </c>
      <c r="K841" t="s">
        <v>21</v>
      </c>
      <c r="L841" t="s">
        <v>33</v>
      </c>
      <c r="M841" s="7">
        <v>45728</v>
      </c>
      <c r="N841" s="7">
        <v>45738</v>
      </c>
      <c r="O841" s="8">
        <v>10</v>
      </c>
      <c r="P841" t="str">
        <f t="shared" si="13"/>
        <v>Delayed</v>
      </c>
    </row>
    <row r="842" spans="1:16" x14ac:dyDescent="0.3">
      <c r="A842" t="s">
        <v>146</v>
      </c>
      <c r="B842" s="6" t="s">
        <v>246</v>
      </c>
      <c r="C842" t="s">
        <v>80</v>
      </c>
      <c r="D842" t="s">
        <v>24</v>
      </c>
      <c r="E842" t="s">
        <v>76</v>
      </c>
      <c r="F842">
        <v>11</v>
      </c>
      <c r="G842">
        <v>57719</v>
      </c>
      <c r="H842">
        <v>12</v>
      </c>
      <c r="I842">
        <v>28</v>
      </c>
      <c r="J842">
        <v>715161.5</v>
      </c>
      <c r="K842" t="s">
        <v>15</v>
      </c>
      <c r="L842" t="s">
        <v>26</v>
      </c>
      <c r="M842" s="7">
        <v>45810</v>
      </c>
      <c r="N842" s="7">
        <v>45822</v>
      </c>
      <c r="O842" s="8">
        <v>12</v>
      </c>
      <c r="P842" t="str">
        <f t="shared" si="13"/>
        <v>Delayed</v>
      </c>
    </row>
    <row r="843" spans="1:16" x14ac:dyDescent="0.3">
      <c r="A843" t="s">
        <v>61</v>
      </c>
      <c r="B843" s="6" t="s">
        <v>240</v>
      </c>
      <c r="C843" t="s">
        <v>28</v>
      </c>
      <c r="D843" t="s">
        <v>44</v>
      </c>
      <c r="E843" t="s">
        <v>45</v>
      </c>
      <c r="F843">
        <v>39</v>
      </c>
      <c r="G843">
        <v>44566</v>
      </c>
      <c r="H843">
        <v>12</v>
      </c>
      <c r="I843">
        <v>18</v>
      </c>
      <c r="J843">
        <v>1804816.04</v>
      </c>
      <c r="K843" t="s">
        <v>46</v>
      </c>
      <c r="L843" t="s">
        <v>38</v>
      </c>
      <c r="M843" s="7">
        <v>45774</v>
      </c>
      <c r="N843" s="7">
        <v>45776</v>
      </c>
      <c r="O843" s="8">
        <v>2</v>
      </c>
      <c r="P843" t="str">
        <f t="shared" si="13"/>
        <v>On Delivery</v>
      </c>
    </row>
    <row r="844" spans="1:16" x14ac:dyDescent="0.3">
      <c r="A844" t="s">
        <v>146</v>
      </c>
      <c r="B844" s="6" t="s">
        <v>240</v>
      </c>
      <c r="C844" t="s">
        <v>28</v>
      </c>
      <c r="D844" t="s">
        <v>62</v>
      </c>
      <c r="E844" t="s">
        <v>63</v>
      </c>
      <c r="F844">
        <v>28</v>
      </c>
      <c r="G844">
        <v>58418</v>
      </c>
      <c r="H844">
        <v>12</v>
      </c>
      <c r="I844">
        <v>28</v>
      </c>
      <c r="J844">
        <v>1842456.99</v>
      </c>
      <c r="K844" t="s">
        <v>46</v>
      </c>
      <c r="L844" t="s">
        <v>38</v>
      </c>
      <c r="M844" s="7">
        <v>45810</v>
      </c>
      <c r="N844" s="7">
        <v>45819</v>
      </c>
      <c r="O844" s="8">
        <v>9</v>
      </c>
      <c r="P844" t="str">
        <f t="shared" si="13"/>
        <v>Delayed</v>
      </c>
    </row>
    <row r="845" spans="1:16" x14ac:dyDescent="0.3">
      <c r="A845" t="s">
        <v>68</v>
      </c>
      <c r="B845" s="6" t="s">
        <v>242</v>
      </c>
      <c r="C845" t="s">
        <v>12</v>
      </c>
      <c r="D845" t="s">
        <v>13</v>
      </c>
      <c r="E845" t="s">
        <v>14</v>
      </c>
      <c r="F845">
        <v>12</v>
      </c>
      <c r="G845">
        <v>33562</v>
      </c>
      <c r="H845">
        <v>5</v>
      </c>
      <c r="I845">
        <v>28</v>
      </c>
      <c r="J845">
        <v>489736.7</v>
      </c>
      <c r="K845" t="s">
        <v>21</v>
      </c>
      <c r="L845" t="s">
        <v>16</v>
      </c>
      <c r="M845" s="7">
        <v>45672</v>
      </c>
      <c r="N845" s="7">
        <v>45687</v>
      </c>
      <c r="O845" s="8">
        <v>15</v>
      </c>
      <c r="P845" t="str">
        <f t="shared" si="13"/>
        <v>Delayed</v>
      </c>
    </row>
    <row r="846" spans="1:16" x14ac:dyDescent="0.3">
      <c r="A846" t="s">
        <v>201</v>
      </c>
      <c r="B846" s="6" t="s">
        <v>238</v>
      </c>
      <c r="C846" t="s">
        <v>58</v>
      </c>
      <c r="D846" t="s">
        <v>35</v>
      </c>
      <c r="E846" t="s">
        <v>77</v>
      </c>
      <c r="F846">
        <v>20</v>
      </c>
      <c r="G846">
        <v>81302</v>
      </c>
      <c r="H846">
        <v>10</v>
      </c>
      <c r="I846">
        <v>18</v>
      </c>
      <c r="J846">
        <v>1726854.48</v>
      </c>
      <c r="K846" t="s">
        <v>15</v>
      </c>
      <c r="L846" t="s">
        <v>16</v>
      </c>
      <c r="M846" s="7">
        <v>45727</v>
      </c>
      <c r="N846" s="7">
        <v>45728</v>
      </c>
      <c r="O846" s="8">
        <v>1</v>
      </c>
      <c r="P846" t="str">
        <f t="shared" si="13"/>
        <v>On Delivery</v>
      </c>
    </row>
    <row r="847" spans="1:16" x14ac:dyDescent="0.3">
      <c r="A847" t="s">
        <v>227</v>
      </c>
      <c r="B847" s="6" t="s">
        <v>240</v>
      </c>
      <c r="C847" t="s">
        <v>28</v>
      </c>
      <c r="D847" t="s">
        <v>35</v>
      </c>
      <c r="E847" t="s">
        <v>36</v>
      </c>
      <c r="F847">
        <v>19</v>
      </c>
      <c r="G847">
        <v>72543</v>
      </c>
      <c r="H847">
        <v>0</v>
      </c>
      <c r="I847">
        <v>28</v>
      </c>
      <c r="J847">
        <v>1764245.76</v>
      </c>
      <c r="K847" t="s">
        <v>21</v>
      </c>
      <c r="L847" t="s">
        <v>38</v>
      </c>
      <c r="M847" s="7">
        <v>45713</v>
      </c>
      <c r="N847" s="7">
        <v>45726</v>
      </c>
      <c r="O847" s="8">
        <v>13</v>
      </c>
      <c r="P847" t="str">
        <f t="shared" si="13"/>
        <v>Delayed</v>
      </c>
    </row>
    <row r="848" spans="1:16" x14ac:dyDescent="0.3">
      <c r="A848" t="s">
        <v>88</v>
      </c>
      <c r="B848" s="6" t="s">
        <v>240</v>
      </c>
      <c r="C848" t="s">
        <v>28</v>
      </c>
      <c r="D848" t="s">
        <v>29</v>
      </c>
      <c r="E848" t="s">
        <v>30</v>
      </c>
      <c r="F848">
        <v>17</v>
      </c>
      <c r="G848">
        <v>17799</v>
      </c>
      <c r="H848">
        <v>5</v>
      </c>
      <c r="I848">
        <v>12</v>
      </c>
      <c r="J848">
        <v>321948.31</v>
      </c>
      <c r="K848" t="s">
        <v>21</v>
      </c>
      <c r="L848" t="s">
        <v>26</v>
      </c>
      <c r="M848" s="7">
        <v>45831</v>
      </c>
      <c r="N848" s="7">
        <v>45836</v>
      </c>
      <c r="O848" s="8">
        <v>5</v>
      </c>
      <c r="P848" t="str">
        <f t="shared" si="13"/>
        <v>Delayed</v>
      </c>
    </row>
    <row r="849" spans="1:16" x14ac:dyDescent="0.3">
      <c r="A849" t="s">
        <v>87</v>
      </c>
      <c r="B849" s="6" t="s">
        <v>244</v>
      </c>
      <c r="C849" t="s">
        <v>70</v>
      </c>
      <c r="D849" t="s">
        <v>35</v>
      </c>
      <c r="E849" t="s">
        <v>77</v>
      </c>
      <c r="F849">
        <v>40</v>
      </c>
      <c r="G849">
        <v>35036</v>
      </c>
      <c r="H849">
        <v>10</v>
      </c>
      <c r="I849">
        <v>28</v>
      </c>
      <c r="J849">
        <v>1614458.8799999999</v>
      </c>
      <c r="K849" t="s">
        <v>15</v>
      </c>
      <c r="L849" t="s">
        <v>26</v>
      </c>
      <c r="M849" s="7">
        <v>45805</v>
      </c>
      <c r="N849" s="7">
        <v>45819</v>
      </c>
      <c r="O849" s="8">
        <v>14</v>
      </c>
      <c r="P849" t="str">
        <f t="shared" si="13"/>
        <v>Delayed</v>
      </c>
    </row>
    <row r="850" spans="1:16" x14ac:dyDescent="0.3">
      <c r="A850" t="s">
        <v>208</v>
      </c>
      <c r="B850" s="6" t="s">
        <v>245</v>
      </c>
      <c r="C850" t="s">
        <v>18</v>
      </c>
      <c r="D850" t="s">
        <v>35</v>
      </c>
      <c r="E850" t="s">
        <v>56</v>
      </c>
      <c r="F850">
        <v>20</v>
      </c>
      <c r="G850">
        <v>68837</v>
      </c>
      <c r="H850">
        <v>12</v>
      </c>
      <c r="I850">
        <v>12</v>
      </c>
      <c r="J850">
        <v>1356914.94</v>
      </c>
      <c r="K850" t="s">
        <v>21</v>
      </c>
      <c r="L850" t="s">
        <v>33</v>
      </c>
      <c r="M850" s="7">
        <v>45804</v>
      </c>
      <c r="N850" s="7">
        <v>45814</v>
      </c>
      <c r="O850" s="8">
        <v>10</v>
      </c>
      <c r="P850" t="str">
        <f t="shared" si="13"/>
        <v>Delayed</v>
      </c>
    </row>
    <row r="851" spans="1:16" x14ac:dyDescent="0.3">
      <c r="A851" t="s">
        <v>43</v>
      </c>
      <c r="B851" s="6" t="s">
        <v>244</v>
      </c>
      <c r="C851" t="s">
        <v>70</v>
      </c>
      <c r="D851" t="s">
        <v>48</v>
      </c>
      <c r="E851" t="s">
        <v>49</v>
      </c>
      <c r="F851">
        <v>11</v>
      </c>
      <c r="G851">
        <v>5752</v>
      </c>
      <c r="H851">
        <v>12</v>
      </c>
      <c r="I851">
        <v>12</v>
      </c>
      <c r="J851">
        <v>62360.88</v>
      </c>
      <c r="K851" t="s">
        <v>37</v>
      </c>
      <c r="L851" t="s">
        <v>16</v>
      </c>
      <c r="M851" s="7">
        <v>45722</v>
      </c>
      <c r="N851" s="7">
        <v>45737</v>
      </c>
      <c r="O851" s="8">
        <v>15</v>
      </c>
      <c r="P851" t="str">
        <f t="shared" si="13"/>
        <v>Delayed</v>
      </c>
    </row>
    <row r="852" spans="1:16" x14ac:dyDescent="0.3">
      <c r="A852" t="s">
        <v>197</v>
      </c>
      <c r="B852" s="6" t="s">
        <v>246</v>
      </c>
      <c r="C852" t="s">
        <v>80</v>
      </c>
      <c r="D852" t="s">
        <v>48</v>
      </c>
      <c r="E852" t="s">
        <v>59</v>
      </c>
      <c r="F852">
        <v>10</v>
      </c>
      <c r="G852">
        <v>80014</v>
      </c>
      <c r="H852">
        <v>12</v>
      </c>
      <c r="I852">
        <v>28</v>
      </c>
      <c r="J852">
        <v>901277.7</v>
      </c>
      <c r="K852" t="s">
        <v>46</v>
      </c>
      <c r="L852" t="s">
        <v>26</v>
      </c>
      <c r="M852" s="7">
        <v>45832</v>
      </c>
      <c r="N852" s="7">
        <v>45835</v>
      </c>
      <c r="O852" s="8">
        <v>3</v>
      </c>
      <c r="P852" t="str">
        <f t="shared" si="13"/>
        <v>On Delivery</v>
      </c>
    </row>
    <row r="853" spans="1:16" x14ac:dyDescent="0.3">
      <c r="A853" t="s">
        <v>166</v>
      </c>
      <c r="B853" s="6" t="s">
        <v>243</v>
      </c>
      <c r="C853" t="s">
        <v>53</v>
      </c>
      <c r="D853" t="s">
        <v>13</v>
      </c>
      <c r="E853" t="s">
        <v>14</v>
      </c>
      <c r="F853">
        <v>28</v>
      </c>
      <c r="G853">
        <v>48001</v>
      </c>
      <c r="H853">
        <v>10</v>
      </c>
      <c r="I853">
        <v>28</v>
      </c>
      <c r="J853">
        <v>1548320.26</v>
      </c>
      <c r="K853" t="s">
        <v>15</v>
      </c>
      <c r="L853" t="s">
        <v>16</v>
      </c>
      <c r="M853" s="7">
        <v>45752</v>
      </c>
      <c r="N853" s="7">
        <v>45752</v>
      </c>
      <c r="O853" s="8">
        <v>0</v>
      </c>
      <c r="P853" t="str">
        <f t="shared" si="13"/>
        <v>Delivered</v>
      </c>
    </row>
    <row r="854" spans="1:16" x14ac:dyDescent="0.3">
      <c r="A854" t="s">
        <v>135</v>
      </c>
      <c r="B854" s="6" t="s">
        <v>242</v>
      </c>
      <c r="C854" t="s">
        <v>12</v>
      </c>
      <c r="D854" t="s">
        <v>62</v>
      </c>
      <c r="E854" t="s">
        <v>63</v>
      </c>
      <c r="F854">
        <v>7</v>
      </c>
      <c r="G854">
        <v>36723</v>
      </c>
      <c r="H854">
        <v>5</v>
      </c>
      <c r="I854">
        <v>28</v>
      </c>
      <c r="J854">
        <v>312586.18</v>
      </c>
      <c r="K854" t="s">
        <v>37</v>
      </c>
      <c r="L854" t="s">
        <v>38</v>
      </c>
      <c r="M854" s="7">
        <v>45845</v>
      </c>
      <c r="N854" s="7">
        <v>45858</v>
      </c>
      <c r="O854" s="8">
        <v>13</v>
      </c>
      <c r="P854" t="str">
        <f t="shared" si="13"/>
        <v>Delayed</v>
      </c>
    </row>
    <row r="855" spans="1:16" x14ac:dyDescent="0.3">
      <c r="A855" t="s">
        <v>204</v>
      </c>
      <c r="B855" s="6" t="s">
        <v>246</v>
      </c>
      <c r="C855" t="s">
        <v>80</v>
      </c>
      <c r="D855" t="s">
        <v>24</v>
      </c>
      <c r="E855" t="s">
        <v>76</v>
      </c>
      <c r="F855">
        <v>8</v>
      </c>
      <c r="G855">
        <v>28555</v>
      </c>
      <c r="H855">
        <v>12</v>
      </c>
      <c r="I855">
        <v>12</v>
      </c>
      <c r="J855">
        <v>225150.46</v>
      </c>
      <c r="K855" t="s">
        <v>15</v>
      </c>
      <c r="L855" t="s">
        <v>26</v>
      </c>
      <c r="M855" s="7">
        <v>45667</v>
      </c>
      <c r="N855" s="7">
        <v>45667</v>
      </c>
      <c r="O855" s="8">
        <v>0</v>
      </c>
      <c r="P855" t="str">
        <f t="shared" si="13"/>
        <v>Delivered</v>
      </c>
    </row>
    <row r="856" spans="1:16" x14ac:dyDescent="0.3">
      <c r="A856" t="s">
        <v>155</v>
      </c>
      <c r="B856" s="6" t="s">
        <v>238</v>
      </c>
      <c r="C856" t="s">
        <v>58</v>
      </c>
      <c r="D856" t="s">
        <v>35</v>
      </c>
      <c r="E856" t="s">
        <v>56</v>
      </c>
      <c r="F856">
        <v>24</v>
      </c>
      <c r="G856">
        <v>65017</v>
      </c>
      <c r="H856">
        <v>10</v>
      </c>
      <c r="I856">
        <v>28</v>
      </c>
      <c r="J856">
        <v>1797590.02</v>
      </c>
      <c r="K856" t="s">
        <v>15</v>
      </c>
      <c r="L856" t="s">
        <v>16</v>
      </c>
      <c r="M856" s="7">
        <v>45758</v>
      </c>
      <c r="N856" s="7">
        <v>45762</v>
      </c>
      <c r="O856" s="8">
        <v>4</v>
      </c>
      <c r="P856" t="str">
        <f t="shared" si="13"/>
        <v>Delayed</v>
      </c>
    </row>
    <row r="857" spans="1:16" x14ac:dyDescent="0.3">
      <c r="A857" t="s">
        <v>39</v>
      </c>
      <c r="B857" s="6" t="s">
        <v>245</v>
      </c>
      <c r="C857" t="s">
        <v>18</v>
      </c>
      <c r="D857" t="s">
        <v>44</v>
      </c>
      <c r="E857" t="s">
        <v>51</v>
      </c>
      <c r="F857">
        <v>37</v>
      </c>
      <c r="G857">
        <v>64791</v>
      </c>
      <c r="H857">
        <v>10</v>
      </c>
      <c r="I857">
        <v>18</v>
      </c>
      <c r="J857">
        <v>2545897.5499999998</v>
      </c>
      <c r="K857" t="s">
        <v>15</v>
      </c>
      <c r="L857" t="s">
        <v>26</v>
      </c>
      <c r="M857" s="7">
        <v>45734</v>
      </c>
      <c r="N857" s="7">
        <v>45734</v>
      </c>
      <c r="O857" s="8">
        <v>0</v>
      </c>
      <c r="P857" t="str">
        <f t="shared" si="13"/>
        <v>Delivered</v>
      </c>
    </row>
    <row r="858" spans="1:16" x14ac:dyDescent="0.3">
      <c r="A858" t="s">
        <v>160</v>
      </c>
      <c r="B858" s="6" t="s">
        <v>245</v>
      </c>
      <c r="C858" t="s">
        <v>18</v>
      </c>
      <c r="D858" t="s">
        <v>24</v>
      </c>
      <c r="E858" t="s">
        <v>76</v>
      </c>
      <c r="F858">
        <v>28</v>
      </c>
      <c r="G858">
        <v>79903</v>
      </c>
      <c r="H858">
        <v>10</v>
      </c>
      <c r="I858">
        <v>18</v>
      </c>
      <c r="J858">
        <v>2375995.61</v>
      </c>
      <c r="K858" t="s">
        <v>15</v>
      </c>
      <c r="L858" t="s">
        <v>33</v>
      </c>
      <c r="M858" s="7">
        <v>45735</v>
      </c>
      <c r="N858" s="7">
        <v>45735</v>
      </c>
      <c r="O858" s="8">
        <v>0</v>
      </c>
      <c r="P858" t="str">
        <f t="shared" si="13"/>
        <v>Delivered</v>
      </c>
    </row>
    <row r="859" spans="1:16" x14ac:dyDescent="0.3">
      <c r="A859" t="s">
        <v>166</v>
      </c>
      <c r="B859" s="6" t="s">
        <v>240</v>
      </c>
      <c r="C859" t="s">
        <v>28</v>
      </c>
      <c r="D859" t="s">
        <v>19</v>
      </c>
      <c r="E859" t="s">
        <v>20</v>
      </c>
      <c r="F859">
        <v>2</v>
      </c>
      <c r="G859">
        <v>8958</v>
      </c>
      <c r="H859">
        <v>10</v>
      </c>
      <c r="I859">
        <v>18</v>
      </c>
      <c r="J859">
        <v>19026.79</v>
      </c>
      <c r="K859" t="s">
        <v>21</v>
      </c>
      <c r="L859" t="s">
        <v>16</v>
      </c>
      <c r="M859" s="7">
        <v>45753</v>
      </c>
      <c r="N859" s="7">
        <v>45766</v>
      </c>
      <c r="O859" s="8">
        <v>13</v>
      </c>
      <c r="P859" t="str">
        <f t="shared" si="13"/>
        <v>Delayed</v>
      </c>
    </row>
    <row r="860" spans="1:16" x14ac:dyDescent="0.3">
      <c r="A860" t="s">
        <v>86</v>
      </c>
      <c r="B860" s="6" t="s">
        <v>240</v>
      </c>
      <c r="C860" t="s">
        <v>28</v>
      </c>
      <c r="D860" t="s">
        <v>13</v>
      </c>
      <c r="E860" t="s">
        <v>32</v>
      </c>
      <c r="F860">
        <v>20</v>
      </c>
      <c r="G860">
        <v>13480</v>
      </c>
      <c r="H860">
        <v>12</v>
      </c>
      <c r="I860">
        <v>12</v>
      </c>
      <c r="J860">
        <v>265717.76000000001</v>
      </c>
      <c r="K860" t="s">
        <v>46</v>
      </c>
      <c r="L860" t="s">
        <v>16</v>
      </c>
      <c r="M860" s="7">
        <v>45802</v>
      </c>
      <c r="N860" s="7">
        <v>45810</v>
      </c>
      <c r="O860" s="8">
        <v>8</v>
      </c>
      <c r="P860" t="str">
        <f t="shared" si="13"/>
        <v>Delayed</v>
      </c>
    </row>
    <row r="861" spans="1:16" x14ac:dyDescent="0.3">
      <c r="A861" t="s">
        <v>145</v>
      </c>
      <c r="B861" s="6" t="s">
        <v>242</v>
      </c>
      <c r="C861" t="s">
        <v>12</v>
      </c>
      <c r="D861" t="s">
        <v>24</v>
      </c>
      <c r="E861" t="s">
        <v>40</v>
      </c>
      <c r="F861">
        <v>15</v>
      </c>
      <c r="G861">
        <v>32645</v>
      </c>
      <c r="H861">
        <v>5</v>
      </c>
      <c r="I861">
        <v>18</v>
      </c>
      <c r="J861">
        <v>548925.67000000004</v>
      </c>
      <c r="K861" t="s">
        <v>15</v>
      </c>
      <c r="L861" t="s">
        <v>33</v>
      </c>
      <c r="M861" s="7">
        <v>45720</v>
      </c>
      <c r="N861" s="7">
        <v>45725</v>
      </c>
      <c r="O861" s="8">
        <v>5</v>
      </c>
      <c r="P861" t="str">
        <f t="shared" si="13"/>
        <v>Delayed</v>
      </c>
    </row>
    <row r="862" spans="1:16" x14ac:dyDescent="0.3">
      <c r="A862" t="s">
        <v>224</v>
      </c>
      <c r="B862" s="6" t="s">
        <v>246</v>
      </c>
      <c r="C862" t="s">
        <v>80</v>
      </c>
      <c r="D862" t="s">
        <v>48</v>
      </c>
      <c r="E862" t="s">
        <v>49</v>
      </c>
      <c r="F862">
        <v>24</v>
      </c>
      <c r="G862">
        <v>26053</v>
      </c>
      <c r="H862">
        <v>0</v>
      </c>
      <c r="I862">
        <v>12</v>
      </c>
      <c r="J862">
        <v>700304.64</v>
      </c>
      <c r="K862" t="s">
        <v>21</v>
      </c>
      <c r="L862" t="s">
        <v>38</v>
      </c>
      <c r="M862" s="7">
        <v>45669</v>
      </c>
      <c r="N862" s="7">
        <v>45673</v>
      </c>
      <c r="O862" s="8">
        <v>4</v>
      </c>
      <c r="P862" t="str">
        <f t="shared" si="13"/>
        <v>Delayed</v>
      </c>
    </row>
    <row r="863" spans="1:16" x14ac:dyDescent="0.3">
      <c r="A863" t="s">
        <v>188</v>
      </c>
      <c r="B863" s="6" t="s">
        <v>240</v>
      </c>
      <c r="C863" t="s">
        <v>28</v>
      </c>
      <c r="D863" t="s">
        <v>44</v>
      </c>
      <c r="E863" t="s">
        <v>51</v>
      </c>
      <c r="F863">
        <v>28</v>
      </c>
      <c r="G863">
        <v>23863</v>
      </c>
      <c r="H863">
        <v>10</v>
      </c>
      <c r="I863">
        <v>28</v>
      </c>
      <c r="J863">
        <v>769724.93</v>
      </c>
      <c r="K863" t="s">
        <v>37</v>
      </c>
      <c r="L863" t="s">
        <v>38</v>
      </c>
      <c r="M863" s="7">
        <v>45820</v>
      </c>
      <c r="N863" s="7">
        <v>45832</v>
      </c>
      <c r="O863" s="8">
        <v>12</v>
      </c>
      <c r="P863" t="str">
        <f t="shared" si="13"/>
        <v>Delayed</v>
      </c>
    </row>
    <row r="864" spans="1:16" x14ac:dyDescent="0.3">
      <c r="A864" t="s">
        <v>101</v>
      </c>
      <c r="B864" s="6" t="s">
        <v>238</v>
      </c>
      <c r="C864" t="s">
        <v>58</v>
      </c>
      <c r="D864" t="s">
        <v>44</v>
      </c>
      <c r="E864" t="s">
        <v>51</v>
      </c>
      <c r="F864">
        <v>19</v>
      </c>
      <c r="G864">
        <v>31911</v>
      </c>
      <c r="H864">
        <v>12</v>
      </c>
      <c r="I864">
        <v>18</v>
      </c>
      <c r="J864">
        <v>629591.27</v>
      </c>
      <c r="K864" t="s">
        <v>37</v>
      </c>
      <c r="L864" t="s">
        <v>16</v>
      </c>
      <c r="M864" s="7">
        <v>45724</v>
      </c>
      <c r="N864" s="7">
        <v>45732</v>
      </c>
      <c r="O864" s="8">
        <v>8</v>
      </c>
      <c r="P864" t="str">
        <f t="shared" si="13"/>
        <v>Delayed</v>
      </c>
    </row>
    <row r="865" spans="1:16" x14ac:dyDescent="0.3">
      <c r="A865" t="s">
        <v>61</v>
      </c>
      <c r="B865" s="6" t="s">
        <v>244</v>
      </c>
      <c r="C865" t="s">
        <v>70</v>
      </c>
      <c r="D865" t="s">
        <v>29</v>
      </c>
      <c r="E865" t="s">
        <v>30</v>
      </c>
      <c r="F865">
        <v>25</v>
      </c>
      <c r="G865">
        <v>70608</v>
      </c>
      <c r="H865">
        <v>12</v>
      </c>
      <c r="I865">
        <v>12</v>
      </c>
      <c r="J865">
        <v>1739781.1200000001</v>
      </c>
      <c r="K865" t="s">
        <v>37</v>
      </c>
      <c r="L865" t="s">
        <v>16</v>
      </c>
      <c r="M865" s="7">
        <v>45773</v>
      </c>
      <c r="N865" s="7">
        <v>45779</v>
      </c>
      <c r="O865" s="8">
        <v>6</v>
      </c>
      <c r="P865" t="str">
        <f t="shared" si="13"/>
        <v>Delayed</v>
      </c>
    </row>
    <row r="866" spans="1:16" x14ac:dyDescent="0.3">
      <c r="A866" t="s">
        <v>187</v>
      </c>
      <c r="B866" s="6" t="s">
        <v>244</v>
      </c>
      <c r="C866" t="s">
        <v>70</v>
      </c>
      <c r="D866" t="s">
        <v>19</v>
      </c>
      <c r="E866" t="s">
        <v>20</v>
      </c>
      <c r="F866">
        <v>23</v>
      </c>
      <c r="G866">
        <v>35359</v>
      </c>
      <c r="H866">
        <v>12</v>
      </c>
      <c r="I866">
        <v>18</v>
      </c>
      <c r="J866">
        <v>844486.07</v>
      </c>
      <c r="K866" t="s">
        <v>46</v>
      </c>
      <c r="L866" t="s">
        <v>26</v>
      </c>
      <c r="M866" s="7">
        <v>45667</v>
      </c>
      <c r="N866" s="7">
        <v>45681</v>
      </c>
      <c r="O866" s="8">
        <v>14</v>
      </c>
      <c r="P866" t="str">
        <f t="shared" si="13"/>
        <v>Delayed</v>
      </c>
    </row>
    <row r="867" spans="1:16" x14ac:dyDescent="0.3">
      <c r="A867" t="s">
        <v>212</v>
      </c>
      <c r="B867" s="6" t="s">
        <v>244</v>
      </c>
      <c r="C867" t="s">
        <v>70</v>
      </c>
      <c r="D867" t="s">
        <v>44</v>
      </c>
      <c r="E867" t="s">
        <v>51</v>
      </c>
      <c r="F867">
        <v>4</v>
      </c>
      <c r="G867">
        <v>4984</v>
      </c>
      <c r="H867">
        <v>5</v>
      </c>
      <c r="I867">
        <v>28</v>
      </c>
      <c r="J867">
        <v>24242.18</v>
      </c>
      <c r="K867" t="s">
        <v>15</v>
      </c>
      <c r="L867" t="s">
        <v>33</v>
      </c>
      <c r="M867" s="7">
        <v>45695</v>
      </c>
      <c r="N867" s="7">
        <v>45703</v>
      </c>
      <c r="O867" s="8">
        <v>8</v>
      </c>
      <c r="P867" t="str">
        <f t="shared" si="13"/>
        <v>Delayed</v>
      </c>
    </row>
    <row r="868" spans="1:16" x14ac:dyDescent="0.3">
      <c r="A868" t="s">
        <v>132</v>
      </c>
      <c r="B868" s="6" t="s">
        <v>241</v>
      </c>
      <c r="C868" t="s">
        <v>42</v>
      </c>
      <c r="D868" t="s">
        <v>44</v>
      </c>
      <c r="E868" t="s">
        <v>51</v>
      </c>
      <c r="F868">
        <v>22</v>
      </c>
      <c r="G868">
        <v>30433</v>
      </c>
      <c r="H868">
        <v>12</v>
      </c>
      <c r="I868">
        <v>18</v>
      </c>
      <c r="J868">
        <v>695235.8</v>
      </c>
      <c r="K868" t="s">
        <v>21</v>
      </c>
      <c r="L868" t="s">
        <v>26</v>
      </c>
      <c r="M868" s="7">
        <v>45677</v>
      </c>
      <c r="N868" s="7">
        <v>45689</v>
      </c>
      <c r="O868" s="8">
        <v>12</v>
      </c>
      <c r="P868" t="str">
        <f t="shared" si="13"/>
        <v>Delayed</v>
      </c>
    </row>
    <row r="869" spans="1:16" x14ac:dyDescent="0.3">
      <c r="A869" t="s">
        <v>175</v>
      </c>
      <c r="B869" s="6" t="s">
        <v>242</v>
      </c>
      <c r="C869" t="s">
        <v>12</v>
      </c>
      <c r="D869" t="s">
        <v>24</v>
      </c>
      <c r="E869" t="s">
        <v>40</v>
      </c>
      <c r="F869">
        <v>36</v>
      </c>
      <c r="G869">
        <v>56381</v>
      </c>
      <c r="H869">
        <v>10</v>
      </c>
      <c r="I869">
        <v>28</v>
      </c>
      <c r="J869">
        <v>2338232.83</v>
      </c>
      <c r="K869" t="s">
        <v>37</v>
      </c>
      <c r="L869" t="s">
        <v>16</v>
      </c>
      <c r="M869" s="7">
        <v>45684</v>
      </c>
      <c r="N869" s="7">
        <v>45690</v>
      </c>
      <c r="O869" s="8">
        <v>6</v>
      </c>
      <c r="P869" t="str">
        <f t="shared" si="13"/>
        <v>Delayed</v>
      </c>
    </row>
    <row r="870" spans="1:16" x14ac:dyDescent="0.3">
      <c r="A870" t="s">
        <v>168</v>
      </c>
      <c r="B870" s="6" t="s">
        <v>238</v>
      </c>
      <c r="C870" t="s">
        <v>58</v>
      </c>
      <c r="D870" t="s">
        <v>19</v>
      </c>
      <c r="E870" t="s">
        <v>20</v>
      </c>
      <c r="F870">
        <v>10</v>
      </c>
      <c r="G870">
        <v>65411</v>
      </c>
      <c r="H870">
        <v>5</v>
      </c>
      <c r="I870">
        <v>12</v>
      </c>
      <c r="J870">
        <v>695973.04</v>
      </c>
      <c r="K870" t="s">
        <v>46</v>
      </c>
      <c r="L870" t="s">
        <v>16</v>
      </c>
      <c r="M870" s="7">
        <v>45765</v>
      </c>
      <c r="N870" s="7">
        <v>45771</v>
      </c>
      <c r="O870" s="8">
        <v>6</v>
      </c>
      <c r="P870" t="str">
        <f t="shared" si="13"/>
        <v>Delayed</v>
      </c>
    </row>
    <row r="871" spans="1:16" x14ac:dyDescent="0.3">
      <c r="A871" t="s">
        <v>216</v>
      </c>
      <c r="B871" s="6" t="s">
        <v>244</v>
      </c>
      <c r="C871" t="s">
        <v>70</v>
      </c>
      <c r="D871" t="s">
        <v>62</v>
      </c>
      <c r="E871" t="s">
        <v>63</v>
      </c>
      <c r="F871">
        <v>2</v>
      </c>
      <c r="G871">
        <v>55574</v>
      </c>
      <c r="H871">
        <v>5</v>
      </c>
      <c r="I871">
        <v>18</v>
      </c>
      <c r="J871">
        <v>124596.91</v>
      </c>
      <c r="K871" t="s">
        <v>15</v>
      </c>
      <c r="L871" t="s">
        <v>38</v>
      </c>
      <c r="M871" s="7">
        <v>45825</v>
      </c>
      <c r="N871" s="7">
        <v>45838</v>
      </c>
      <c r="O871" s="8">
        <v>13</v>
      </c>
      <c r="P871" t="str">
        <f t="shared" si="13"/>
        <v>Delayed</v>
      </c>
    </row>
    <row r="872" spans="1:16" x14ac:dyDescent="0.3">
      <c r="A872" t="s">
        <v>217</v>
      </c>
      <c r="B872" s="6" t="s">
        <v>239</v>
      </c>
      <c r="C872" t="s">
        <v>23</v>
      </c>
      <c r="D872" t="s">
        <v>19</v>
      </c>
      <c r="E872" t="s">
        <v>20</v>
      </c>
      <c r="F872">
        <v>5</v>
      </c>
      <c r="G872">
        <v>54738</v>
      </c>
      <c r="H872">
        <v>10</v>
      </c>
      <c r="I872">
        <v>28</v>
      </c>
      <c r="J872">
        <v>315290.88</v>
      </c>
      <c r="K872" t="s">
        <v>37</v>
      </c>
      <c r="L872" t="s">
        <v>38</v>
      </c>
      <c r="M872" s="7">
        <v>45817</v>
      </c>
      <c r="N872" s="7">
        <v>45831</v>
      </c>
      <c r="O872" s="8">
        <v>14</v>
      </c>
      <c r="P872" t="str">
        <f t="shared" si="13"/>
        <v>Delayed</v>
      </c>
    </row>
    <row r="873" spans="1:16" x14ac:dyDescent="0.3">
      <c r="A873" t="s">
        <v>88</v>
      </c>
      <c r="B873" s="6" t="s">
        <v>239</v>
      </c>
      <c r="C873" t="s">
        <v>23</v>
      </c>
      <c r="D873" t="s">
        <v>24</v>
      </c>
      <c r="E873" t="s">
        <v>40</v>
      </c>
      <c r="F873">
        <v>33</v>
      </c>
      <c r="G873">
        <v>32274</v>
      </c>
      <c r="H873">
        <v>5</v>
      </c>
      <c r="I873">
        <v>12</v>
      </c>
      <c r="J873">
        <v>1133204.69</v>
      </c>
      <c r="K873" t="s">
        <v>37</v>
      </c>
      <c r="L873" t="s">
        <v>16</v>
      </c>
      <c r="M873" s="7">
        <v>45836</v>
      </c>
      <c r="N873" s="7">
        <v>45841</v>
      </c>
      <c r="O873" s="8">
        <v>5</v>
      </c>
      <c r="P873" t="str">
        <f t="shared" si="13"/>
        <v>Delayed</v>
      </c>
    </row>
    <row r="874" spans="1:16" x14ac:dyDescent="0.3">
      <c r="A874" t="s">
        <v>140</v>
      </c>
      <c r="B874" s="6" t="s">
        <v>244</v>
      </c>
      <c r="C874" t="s">
        <v>70</v>
      </c>
      <c r="D874" t="s">
        <v>13</v>
      </c>
      <c r="E874" t="s">
        <v>14</v>
      </c>
      <c r="F874">
        <v>32</v>
      </c>
      <c r="G874">
        <v>77398</v>
      </c>
      <c r="H874">
        <v>12</v>
      </c>
      <c r="I874">
        <v>12</v>
      </c>
      <c r="J874">
        <v>2441071</v>
      </c>
      <c r="K874" t="s">
        <v>21</v>
      </c>
      <c r="L874" t="s">
        <v>26</v>
      </c>
      <c r="M874" s="7">
        <v>45779</v>
      </c>
      <c r="N874" s="7">
        <v>45788</v>
      </c>
      <c r="O874" s="8">
        <v>9</v>
      </c>
      <c r="P874" t="str">
        <f t="shared" si="13"/>
        <v>Delayed</v>
      </c>
    </row>
    <row r="875" spans="1:16" x14ac:dyDescent="0.3">
      <c r="A875" t="s">
        <v>159</v>
      </c>
      <c r="B875" s="6" t="s">
        <v>245</v>
      </c>
      <c r="C875" t="s">
        <v>18</v>
      </c>
      <c r="D875" t="s">
        <v>48</v>
      </c>
      <c r="E875" t="s">
        <v>49</v>
      </c>
      <c r="F875">
        <v>19</v>
      </c>
      <c r="G875">
        <v>64106</v>
      </c>
      <c r="H875">
        <v>10</v>
      </c>
      <c r="I875">
        <v>28</v>
      </c>
      <c r="J875">
        <v>1403152.13</v>
      </c>
      <c r="K875" t="s">
        <v>21</v>
      </c>
      <c r="L875" t="s">
        <v>33</v>
      </c>
      <c r="M875" s="7">
        <v>45840</v>
      </c>
      <c r="N875" s="7">
        <v>45851</v>
      </c>
      <c r="O875" s="8">
        <v>11</v>
      </c>
      <c r="P875" t="str">
        <f t="shared" si="13"/>
        <v>Delayed</v>
      </c>
    </row>
    <row r="876" spans="1:16" x14ac:dyDescent="0.3">
      <c r="A876" t="s">
        <v>181</v>
      </c>
      <c r="B876" s="6" t="s">
        <v>242</v>
      </c>
      <c r="C876" t="s">
        <v>12</v>
      </c>
      <c r="D876" t="s">
        <v>35</v>
      </c>
      <c r="E876" t="s">
        <v>77</v>
      </c>
      <c r="F876">
        <v>26</v>
      </c>
      <c r="G876">
        <v>57340</v>
      </c>
      <c r="H876">
        <v>5</v>
      </c>
      <c r="I876">
        <v>18</v>
      </c>
      <c r="J876">
        <v>1671231.64</v>
      </c>
      <c r="K876" t="s">
        <v>15</v>
      </c>
      <c r="L876" t="s">
        <v>16</v>
      </c>
      <c r="M876" s="7">
        <v>45668</v>
      </c>
      <c r="N876" s="7">
        <v>45677</v>
      </c>
      <c r="O876" s="8">
        <v>9</v>
      </c>
      <c r="P876" t="str">
        <f t="shared" si="13"/>
        <v>Delayed</v>
      </c>
    </row>
    <row r="877" spans="1:16" x14ac:dyDescent="0.3">
      <c r="A877" t="s">
        <v>231</v>
      </c>
      <c r="B877" s="6" t="s">
        <v>241</v>
      </c>
      <c r="C877" t="s">
        <v>42</v>
      </c>
      <c r="D877" t="s">
        <v>19</v>
      </c>
      <c r="E877" t="s">
        <v>20</v>
      </c>
      <c r="F877">
        <v>39</v>
      </c>
      <c r="G877">
        <v>4677</v>
      </c>
      <c r="H877">
        <v>10</v>
      </c>
      <c r="I877">
        <v>28</v>
      </c>
      <c r="J877">
        <v>210128.26</v>
      </c>
      <c r="K877" t="s">
        <v>15</v>
      </c>
      <c r="L877" t="s">
        <v>33</v>
      </c>
      <c r="M877" s="7">
        <v>45718</v>
      </c>
      <c r="N877" s="7">
        <v>45732</v>
      </c>
      <c r="O877" s="8">
        <v>14</v>
      </c>
      <c r="P877" t="str">
        <f t="shared" si="13"/>
        <v>Delayed</v>
      </c>
    </row>
    <row r="878" spans="1:16" x14ac:dyDescent="0.3">
      <c r="A878" t="s">
        <v>141</v>
      </c>
      <c r="B878" s="6" t="s">
        <v>243</v>
      </c>
      <c r="C878" t="s">
        <v>53</v>
      </c>
      <c r="D878" t="s">
        <v>13</v>
      </c>
      <c r="E878" t="s">
        <v>32</v>
      </c>
      <c r="F878">
        <v>4</v>
      </c>
      <c r="G878">
        <v>34542</v>
      </c>
      <c r="H878">
        <v>0</v>
      </c>
      <c r="I878">
        <v>28</v>
      </c>
      <c r="J878">
        <v>176855.04000000001</v>
      </c>
      <c r="K878" t="s">
        <v>15</v>
      </c>
      <c r="L878" t="s">
        <v>38</v>
      </c>
      <c r="M878" s="7">
        <v>45799</v>
      </c>
      <c r="N878" s="7">
        <v>45813</v>
      </c>
      <c r="O878" s="8">
        <v>14</v>
      </c>
      <c r="P878" t="str">
        <f t="shared" si="13"/>
        <v>Delayed</v>
      </c>
    </row>
    <row r="879" spans="1:16" x14ac:dyDescent="0.3">
      <c r="A879" t="s">
        <v>178</v>
      </c>
      <c r="B879" s="6" t="s">
        <v>244</v>
      </c>
      <c r="C879" t="s">
        <v>70</v>
      </c>
      <c r="D879" t="s">
        <v>48</v>
      </c>
      <c r="E879" t="s">
        <v>49</v>
      </c>
      <c r="F879">
        <v>31</v>
      </c>
      <c r="G879">
        <v>62595</v>
      </c>
      <c r="H879">
        <v>12</v>
      </c>
      <c r="I879">
        <v>28</v>
      </c>
      <c r="J879">
        <v>2185717.25</v>
      </c>
      <c r="K879" t="s">
        <v>15</v>
      </c>
      <c r="L879" t="s">
        <v>26</v>
      </c>
      <c r="M879" s="7">
        <v>45749</v>
      </c>
      <c r="N879" s="7">
        <v>45760</v>
      </c>
      <c r="O879" s="8">
        <v>11</v>
      </c>
      <c r="P879" t="str">
        <f t="shared" si="13"/>
        <v>Delayed</v>
      </c>
    </row>
    <row r="880" spans="1:16" x14ac:dyDescent="0.3">
      <c r="A880" t="s">
        <v>163</v>
      </c>
      <c r="B880" s="6" t="s">
        <v>245</v>
      </c>
      <c r="C880" t="s">
        <v>18</v>
      </c>
      <c r="D880" t="s">
        <v>35</v>
      </c>
      <c r="E880" t="s">
        <v>36</v>
      </c>
      <c r="F880">
        <v>20</v>
      </c>
      <c r="G880">
        <v>8037</v>
      </c>
      <c r="H880">
        <v>12</v>
      </c>
      <c r="I880">
        <v>18</v>
      </c>
      <c r="J880">
        <v>166912.42000000001</v>
      </c>
      <c r="K880" t="s">
        <v>37</v>
      </c>
      <c r="L880" t="s">
        <v>38</v>
      </c>
      <c r="M880" s="7">
        <v>45707</v>
      </c>
      <c r="N880" s="7">
        <v>45709</v>
      </c>
      <c r="O880" s="8">
        <v>2</v>
      </c>
      <c r="P880" t="str">
        <f t="shared" si="13"/>
        <v>On Delivery</v>
      </c>
    </row>
    <row r="881" spans="1:16" x14ac:dyDescent="0.3">
      <c r="A881" t="s">
        <v>148</v>
      </c>
      <c r="B881" s="6" t="s">
        <v>242</v>
      </c>
      <c r="C881" t="s">
        <v>12</v>
      </c>
      <c r="D881" t="s">
        <v>44</v>
      </c>
      <c r="E881" t="s">
        <v>51</v>
      </c>
      <c r="F881">
        <v>19</v>
      </c>
      <c r="G881">
        <v>75132</v>
      </c>
      <c r="H881">
        <v>10</v>
      </c>
      <c r="I881">
        <v>12</v>
      </c>
      <c r="J881">
        <v>1438928.06</v>
      </c>
      <c r="K881" t="s">
        <v>21</v>
      </c>
      <c r="L881" t="s">
        <v>33</v>
      </c>
      <c r="M881" s="7">
        <v>45712</v>
      </c>
      <c r="N881" s="7">
        <v>45718</v>
      </c>
      <c r="O881" s="8">
        <v>6</v>
      </c>
      <c r="P881" t="str">
        <f t="shared" si="13"/>
        <v>Delayed</v>
      </c>
    </row>
    <row r="882" spans="1:16" x14ac:dyDescent="0.3">
      <c r="A882" t="s">
        <v>88</v>
      </c>
      <c r="B882" s="6" t="s">
        <v>238</v>
      </c>
      <c r="C882" t="s">
        <v>58</v>
      </c>
      <c r="D882" t="s">
        <v>35</v>
      </c>
      <c r="E882" t="s">
        <v>77</v>
      </c>
      <c r="F882">
        <v>7</v>
      </c>
      <c r="G882">
        <v>40922</v>
      </c>
      <c r="H882">
        <v>0</v>
      </c>
      <c r="I882">
        <v>12</v>
      </c>
      <c r="J882">
        <v>320828.48</v>
      </c>
      <c r="K882" t="s">
        <v>46</v>
      </c>
      <c r="L882" t="s">
        <v>38</v>
      </c>
      <c r="M882" s="7">
        <v>45832</v>
      </c>
      <c r="N882" s="7">
        <v>45837</v>
      </c>
      <c r="O882" s="8">
        <v>5</v>
      </c>
      <c r="P882" t="str">
        <f t="shared" si="13"/>
        <v>Delayed</v>
      </c>
    </row>
    <row r="883" spans="1:16" x14ac:dyDescent="0.3">
      <c r="A883" t="s">
        <v>150</v>
      </c>
      <c r="B883" s="6" t="s">
        <v>245</v>
      </c>
      <c r="C883" t="s">
        <v>18</v>
      </c>
      <c r="D883" t="s">
        <v>48</v>
      </c>
      <c r="E883" t="s">
        <v>59</v>
      </c>
      <c r="F883">
        <v>17</v>
      </c>
      <c r="G883">
        <v>30383</v>
      </c>
      <c r="H883">
        <v>5</v>
      </c>
      <c r="I883">
        <v>18</v>
      </c>
      <c r="J883">
        <v>579008.82999999996</v>
      </c>
      <c r="K883" t="s">
        <v>21</v>
      </c>
      <c r="L883" t="s">
        <v>16</v>
      </c>
      <c r="M883" s="7">
        <v>45737</v>
      </c>
      <c r="N883" s="7">
        <v>45741</v>
      </c>
      <c r="O883" s="8">
        <v>4</v>
      </c>
      <c r="P883" t="str">
        <f t="shared" si="13"/>
        <v>Delayed</v>
      </c>
    </row>
    <row r="884" spans="1:16" x14ac:dyDescent="0.3">
      <c r="A884" t="s">
        <v>47</v>
      </c>
      <c r="B884" s="6" t="s">
        <v>240</v>
      </c>
      <c r="C884" t="s">
        <v>28</v>
      </c>
      <c r="D884" t="s">
        <v>35</v>
      </c>
      <c r="E884" t="s">
        <v>56</v>
      </c>
      <c r="F884">
        <v>26</v>
      </c>
      <c r="G884">
        <v>55507</v>
      </c>
      <c r="H884">
        <v>10</v>
      </c>
      <c r="I884">
        <v>18</v>
      </c>
      <c r="J884">
        <v>1532659.28</v>
      </c>
      <c r="K884" t="s">
        <v>15</v>
      </c>
      <c r="L884" t="s">
        <v>38</v>
      </c>
      <c r="M884" s="7">
        <v>45796</v>
      </c>
      <c r="N884" s="7">
        <v>45808</v>
      </c>
      <c r="O884" s="8">
        <v>12</v>
      </c>
      <c r="P884" t="str">
        <f t="shared" si="13"/>
        <v>Delayed</v>
      </c>
    </row>
    <row r="885" spans="1:16" x14ac:dyDescent="0.3">
      <c r="A885" t="s">
        <v>199</v>
      </c>
      <c r="B885" s="6" t="s">
        <v>238</v>
      </c>
      <c r="C885" t="s">
        <v>58</v>
      </c>
      <c r="D885" t="s">
        <v>13</v>
      </c>
      <c r="E885" t="s">
        <v>32</v>
      </c>
      <c r="F885">
        <v>34</v>
      </c>
      <c r="G885">
        <v>14339</v>
      </c>
      <c r="H885">
        <v>0</v>
      </c>
      <c r="I885">
        <v>12</v>
      </c>
      <c r="J885">
        <v>546029.12</v>
      </c>
      <c r="K885" t="s">
        <v>37</v>
      </c>
      <c r="L885" t="s">
        <v>16</v>
      </c>
      <c r="M885" s="7">
        <v>45834</v>
      </c>
      <c r="N885" s="7">
        <v>45839</v>
      </c>
      <c r="O885" s="8">
        <v>5</v>
      </c>
      <c r="P885" t="str">
        <f t="shared" si="13"/>
        <v>Delayed</v>
      </c>
    </row>
    <row r="886" spans="1:16" x14ac:dyDescent="0.3">
      <c r="A886" t="s">
        <v>102</v>
      </c>
      <c r="B886" s="6" t="s">
        <v>246</v>
      </c>
      <c r="C886" t="s">
        <v>80</v>
      </c>
      <c r="D886" t="s">
        <v>44</v>
      </c>
      <c r="E886" t="s">
        <v>45</v>
      </c>
      <c r="F886">
        <v>18</v>
      </c>
      <c r="G886">
        <v>78425</v>
      </c>
      <c r="H886">
        <v>12</v>
      </c>
      <c r="I886">
        <v>28</v>
      </c>
      <c r="J886">
        <v>1590082.5600000001</v>
      </c>
      <c r="K886" t="s">
        <v>46</v>
      </c>
      <c r="L886" t="s">
        <v>33</v>
      </c>
      <c r="M886" s="7">
        <v>45742</v>
      </c>
      <c r="N886" s="7">
        <v>45756</v>
      </c>
      <c r="O886" s="8">
        <v>14</v>
      </c>
      <c r="P886" t="str">
        <f t="shared" si="13"/>
        <v>Delayed</v>
      </c>
    </row>
    <row r="887" spans="1:16" x14ac:dyDescent="0.3">
      <c r="A887" t="s">
        <v>215</v>
      </c>
      <c r="B887" s="6" t="s">
        <v>242</v>
      </c>
      <c r="C887" t="s">
        <v>12</v>
      </c>
      <c r="D887" t="s">
        <v>24</v>
      </c>
      <c r="E887" t="s">
        <v>76</v>
      </c>
      <c r="F887">
        <v>17</v>
      </c>
      <c r="G887">
        <v>64159</v>
      </c>
      <c r="H887">
        <v>12</v>
      </c>
      <c r="I887">
        <v>28</v>
      </c>
      <c r="J887">
        <v>1228567.8600000001</v>
      </c>
      <c r="K887" t="s">
        <v>15</v>
      </c>
      <c r="L887" t="s">
        <v>26</v>
      </c>
      <c r="M887" s="7">
        <v>45803</v>
      </c>
      <c r="N887" s="7">
        <v>45810</v>
      </c>
      <c r="O887" s="8">
        <v>7</v>
      </c>
      <c r="P887" t="str">
        <f t="shared" si="13"/>
        <v>Delayed</v>
      </c>
    </row>
    <row r="888" spans="1:16" x14ac:dyDescent="0.3">
      <c r="A888" t="s">
        <v>210</v>
      </c>
      <c r="B888" s="6" t="s">
        <v>243</v>
      </c>
      <c r="C888" t="s">
        <v>53</v>
      </c>
      <c r="D888" t="s">
        <v>48</v>
      </c>
      <c r="E888" t="s">
        <v>59</v>
      </c>
      <c r="F888">
        <v>29</v>
      </c>
      <c r="G888">
        <v>10880</v>
      </c>
      <c r="H888">
        <v>5</v>
      </c>
      <c r="I888">
        <v>28</v>
      </c>
      <c r="J888">
        <v>383672.32000000001</v>
      </c>
      <c r="K888" t="s">
        <v>21</v>
      </c>
      <c r="L888" t="s">
        <v>26</v>
      </c>
      <c r="M888" s="7">
        <v>45824</v>
      </c>
      <c r="N888" s="7">
        <v>45827</v>
      </c>
      <c r="O888" s="8">
        <v>3</v>
      </c>
      <c r="P888" t="str">
        <f t="shared" si="13"/>
        <v>On Delivery</v>
      </c>
    </row>
    <row r="889" spans="1:16" x14ac:dyDescent="0.3">
      <c r="A889" t="s">
        <v>86</v>
      </c>
      <c r="B889" s="6" t="s">
        <v>244</v>
      </c>
      <c r="C889" t="s">
        <v>70</v>
      </c>
      <c r="D889" t="s">
        <v>62</v>
      </c>
      <c r="E889" t="s">
        <v>92</v>
      </c>
      <c r="F889">
        <v>34</v>
      </c>
      <c r="G889">
        <v>54027</v>
      </c>
      <c r="H889">
        <v>12</v>
      </c>
      <c r="I889">
        <v>18</v>
      </c>
      <c r="J889">
        <v>1907455.65</v>
      </c>
      <c r="K889" t="s">
        <v>15</v>
      </c>
      <c r="L889" t="s">
        <v>33</v>
      </c>
      <c r="M889" s="7">
        <v>45802</v>
      </c>
      <c r="N889" s="7">
        <v>45810</v>
      </c>
      <c r="O889" s="8">
        <v>8</v>
      </c>
      <c r="P889" t="str">
        <f t="shared" si="13"/>
        <v>Delayed</v>
      </c>
    </row>
    <row r="890" spans="1:16" x14ac:dyDescent="0.3">
      <c r="A890" t="s">
        <v>88</v>
      </c>
      <c r="B890" s="6" t="s">
        <v>238</v>
      </c>
      <c r="C890" t="s">
        <v>58</v>
      </c>
      <c r="D890" t="s">
        <v>24</v>
      </c>
      <c r="E890" t="s">
        <v>40</v>
      </c>
      <c r="F890">
        <v>10</v>
      </c>
      <c r="G890">
        <v>24899</v>
      </c>
      <c r="H890">
        <v>10</v>
      </c>
      <c r="I890">
        <v>18</v>
      </c>
      <c r="J890">
        <v>264427.38</v>
      </c>
      <c r="K890" t="s">
        <v>21</v>
      </c>
      <c r="L890" t="s">
        <v>38</v>
      </c>
      <c r="M890" s="7">
        <v>45836</v>
      </c>
      <c r="N890" s="7">
        <v>45838</v>
      </c>
      <c r="O890" s="8">
        <v>2</v>
      </c>
      <c r="P890" t="str">
        <f t="shared" si="13"/>
        <v>On Delivery</v>
      </c>
    </row>
    <row r="891" spans="1:16" x14ac:dyDescent="0.3">
      <c r="A891" t="s">
        <v>169</v>
      </c>
      <c r="B891" s="6" t="s">
        <v>246</v>
      </c>
      <c r="C891" t="s">
        <v>80</v>
      </c>
      <c r="D891" t="s">
        <v>19</v>
      </c>
      <c r="E891" t="s">
        <v>20</v>
      </c>
      <c r="F891">
        <v>21</v>
      </c>
      <c r="G891">
        <v>48073</v>
      </c>
      <c r="H891">
        <v>12</v>
      </c>
      <c r="I891">
        <v>28</v>
      </c>
      <c r="J891">
        <v>1137137.97</v>
      </c>
      <c r="K891" t="s">
        <v>46</v>
      </c>
      <c r="L891" t="s">
        <v>26</v>
      </c>
      <c r="M891" s="7">
        <v>45689</v>
      </c>
      <c r="N891" s="7">
        <v>45689</v>
      </c>
      <c r="O891" s="8">
        <v>0</v>
      </c>
      <c r="P891" t="str">
        <f t="shared" si="13"/>
        <v>Delivered</v>
      </c>
    </row>
    <row r="892" spans="1:16" x14ac:dyDescent="0.3">
      <c r="A892" t="s">
        <v>136</v>
      </c>
      <c r="B892" s="6" t="s">
        <v>243</v>
      </c>
      <c r="C892" t="s">
        <v>53</v>
      </c>
      <c r="D892" t="s">
        <v>48</v>
      </c>
      <c r="E892" t="s">
        <v>49</v>
      </c>
      <c r="F892">
        <v>8</v>
      </c>
      <c r="G892">
        <v>67872</v>
      </c>
      <c r="H892">
        <v>0</v>
      </c>
      <c r="I892">
        <v>18</v>
      </c>
      <c r="J892">
        <v>640711.68000000005</v>
      </c>
      <c r="K892" t="s">
        <v>15</v>
      </c>
      <c r="L892" t="s">
        <v>38</v>
      </c>
      <c r="M892" s="7">
        <v>45703</v>
      </c>
      <c r="N892" s="7">
        <v>45714</v>
      </c>
      <c r="O892" s="8">
        <v>11</v>
      </c>
      <c r="P892" t="str">
        <f t="shared" si="13"/>
        <v>Delayed</v>
      </c>
    </row>
    <row r="893" spans="1:16" x14ac:dyDescent="0.3">
      <c r="A893" t="s">
        <v>115</v>
      </c>
      <c r="B893" s="6" t="s">
        <v>239</v>
      </c>
      <c r="C893" t="s">
        <v>23</v>
      </c>
      <c r="D893" t="s">
        <v>35</v>
      </c>
      <c r="E893" t="s">
        <v>77</v>
      </c>
      <c r="F893">
        <v>12</v>
      </c>
      <c r="G893">
        <v>58510</v>
      </c>
      <c r="H893">
        <v>10</v>
      </c>
      <c r="I893">
        <v>12</v>
      </c>
      <c r="J893">
        <v>707736.96</v>
      </c>
      <c r="K893" t="s">
        <v>46</v>
      </c>
      <c r="L893" t="s">
        <v>33</v>
      </c>
      <c r="M893" s="7">
        <v>45790</v>
      </c>
      <c r="N893" s="7">
        <v>45795</v>
      </c>
      <c r="O893" s="8">
        <v>5</v>
      </c>
      <c r="P893" t="str">
        <f t="shared" si="13"/>
        <v>Delayed</v>
      </c>
    </row>
    <row r="894" spans="1:16" x14ac:dyDescent="0.3">
      <c r="A894" t="s">
        <v>206</v>
      </c>
      <c r="B894" s="6" t="s">
        <v>243</v>
      </c>
      <c r="C894" t="s">
        <v>53</v>
      </c>
      <c r="D894" t="s">
        <v>19</v>
      </c>
      <c r="E894" t="s">
        <v>20</v>
      </c>
      <c r="F894">
        <v>23</v>
      </c>
      <c r="G894">
        <v>17284</v>
      </c>
      <c r="H894">
        <v>12</v>
      </c>
      <c r="I894">
        <v>12</v>
      </c>
      <c r="J894">
        <v>391807.54</v>
      </c>
      <c r="K894" t="s">
        <v>46</v>
      </c>
      <c r="L894" t="s">
        <v>33</v>
      </c>
      <c r="M894" s="7">
        <v>45777</v>
      </c>
      <c r="N894" s="7">
        <v>45792</v>
      </c>
      <c r="O894" s="8">
        <v>15</v>
      </c>
      <c r="P894" t="str">
        <f t="shared" si="13"/>
        <v>Delayed</v>
      </c>
    </row>
    <row r="895" spans="1:16" x14ac:dyDescent="0.3">
      <c r="A895" t="s">
        <v>182</v>
      </c>
      <c r="B895" s="6" t="s">
        <v>244</v>
      </c>
      <c r="C895" t="s">
        <v>70</v>
      </c>
      <c r="D895" t="s">
        <v>62</v>
      </c>
      <c r="E895" t="s">
        <v>63</v>
      </c>
      <c r="F895">
        <v>11</v>
      </c>
      <c r="G895">
        <v>75122</v>
      </c>
      <c r="H895">
        <v>0</v>
      </c>
      <c r="I895">
        <v>18</v>
      </c>
      <c r="J895">
        <v>975083.56</v>
      </c>
      <c r="K895" t="s">
        <v>37</v>
      </c>
      <c r="L895" t="s">
        <v>26</v>
      </c>
      <c r="M895" s="7">
        <v>45845</v>
      </c>
      <c r="N895" s="7">
        <v>45850</v>
      </c>
      <c r="O895" s="8">
        <v>5</v>
      </c>
      <c r="P895" t="str">
        <f t="shared" si="13"/>
        <v>Delayed</v>
      </c>
    </row>
    <row r="896" spans="1:16" x14ac:dyDescent="0.3">
      <c r="A896" t="s">
        <v>121</v>
      </c>
      <c r="B896" s="6" t="s">
        <v>245</v>
      </c>
      <c r="C896" t="s">
        <v>18</v>
      </c>
      <c r="D896" t="s">
        <v>44</v>
      </c>
      <c r="E896" t="s">
        <v>51</v>
      </c>
      <c r="F896">
        <v>24</v>
      </c>
      <c r="G896">
        <v>33874</v>
      </c>
      <c r="H896">
        <v>12</v>
      </c>
      <c r="I896">
        <v>12</v>
      </c>
      <c r="J896">
        <v>801269.15</v>
      </c>
      <c r="K896" t="s">
        <v>46</v>
      </c>
      <c r="L896" t="s">
        <v>16</v>
      </c>
      <c r="M896" s="7">
        <v>45787</v>
      </c>
      <c r="N896" s="7">
        <v>45799</v>
      </c>
      <c r="O896" s="8">
        <v>12</v>
      </c>
      <c r="P896" t="str">
        <f t="shared" si="13"/>
        <v>Delayed</v>
      </c>
    </row>
    <row r="897" spans="1:16" x14ac:dyDescent="0.3">
      <c r="A897" t="s">
        <v>156</v>
      </c>
      <c r="B897" s="6" t="s">
        <v>245</v>
      </c>
      <c r="C897" t="s">
        <v>18</v>
      </c>
      <c r="D897" t="s">
        <v>35</v>
      </c>
      <c r="E897" t="s">
        <v>56</v>
      </c>
      <c r="F897">
        <v>34</v>
      </c>
      <c r="G897">
        <v>65400</v>
      </c>
      <c r="H897">
        <v>5</v>
      </c>
      <c r="I897">
        <v>12</v>
      </c>
      <c r="J897">
        <v>2365910.4</v>
      </c>
      <c r="K897" t="s">
        <v>37</v>
      </c>
      <c r="L897" t="s">
        <v>33</v>
      </c>
      <c r="M897" s="7">
        <v>45824</v>
      </c>
      <c r="N897" s="7">
        <v>45839</v>
      </c>
      <c r="O897" s="8">
        <v>15</v>
      </c>
      <c r="P897" t="str">
        <f t="shared" si="13"/>
        <v>Delayed</v>
      </c>
    </row>
    <row r="898" spans="1:16" x14ac:dyDescent="0.3">
      <c r="A898" t="s">
        <v>108</v>
      </c>
      <c r="B898" s="6" t="s">
        <v>245</v>
      </c>
      <c r="C898" t="s">
        <v>18</v>
      </c>
      <c r="D898" t="s">
        <v>44</v>
      </c>
      <c r="E898" t="s">
        <v>51</v>
      </c>
      <c r="F898">
        <v>35</v>
      </c>
      <c r="G898">
        <v>74755</v>
      </c>
      <c r="H898">
        <v>0</v>
      </c>
      <c r="I898">
        <v>12</v>
      </c>
      <c r="J898">
        <v>2930396</v>
      </c>
      <c r="K898" t="s">
        <v>15</v>
      </c>
      <c r="L898" t="s">
        <v>33</v>
      </c>
      <c r="M898" s="7">
        <v>45748</v>
      </c>
      <c r="N898" s="7">
        <v>45763</v>
      </c>
      <c r="O898" s="8">
        <v>15</v>
      </c>
      <c r="P898" t="str">
        <f t="shared" ref="P898:P961" si="14">IF(O898="","Pending",IF(O898=0,"Delivered",IF(O898&lt;=3,"On Delivery","Delayed")))</f>
        <v>Delayed</v>
      </c>
    </row>
    <row r="899" spans="1:16" x14ac:dyDescent="0.3">
      <c r="A899" t="s">
        <v>126</v>
      </c>
      <c r="B899" s="6" t="s">
        <v>241</v>
      </c>
      <c r="C899" t="s">
        <v>42</v>
      </c>
      <c r="D899" t="s">
        <v>62</v>
      </c>
      <c r="E899" t="s">
        <v>63</v>
      </c>
      <c r="F899">
        <v>16</v>
      </c>
      <c r="G899">
        <v>16085</v>
      </c>
      <c r="H899">
        <v>0</v>
      </c>
      <c r="I899">
        <v>18</v>
      </c>
      <c r="J899">
        <v>303684.8</v>
      </c>
      <c r="K899" t="s">
        <v>46</v>
      </c>
      <c r="L899" t="s">
        <v>33</v>
      </c>
      <c r="M899" s="7">
        <v>45703</v>
      </c>
      <c r="N899" s="7">
        <v>45718</v>
      </c>
      <c r="O899" s="8">
        <v>15</v>
      </c>
      <c r="P899" t="str">
        <f t="shared" si="14"/>
        <v>Delayed</v>
      </c>
    </row>
    <row r="900" spans="1:16" x14ac:dyDescent="0.3">
      <c r="A900" t="s">
        <v>177</v>
      </c>
      <c r="B900" s="6" t="s">
        <v>238</v>
      </c>
      <c r="C900" t="s">
        <v>58</v>
      </c>
      <c r="D900" t="s">
        <v>35</v>
      </c>
      <c r="E900" t="s">
        <v>77</v>
      </c>
      <c r="F900">
        <v>30</v>
      </c>
      <c r="G900">
        <v>61206</v>
      </c>
      <c r="H900">
        <v>12</v>
      </c>
      <c r="I900">
        <v>18</v>
      </c>
      <c r="J900">
        <v>1906689.31</v>
      </c>
      <c r="K900" t="s">
        <v>15</v>
      </c>
      <c r="L900" t="s">
        <v>26</v>
      </c>
      <c r="M900" s="7">
        <v>45824</v>
      </c>
      <c r="N900" s="7">
        <v>45830</v>
      </c>
      <c r="O900" s="8">
        <v>6</v>
      </c>
      <c r="P900" t="str">
        <f t="shared" si="14"/>
        <v>Delayed</v>
      </c>
    </row>
    <row r="901" spans="1:16" x14ac:dyDescent="0.3">
      <c r="A901" t="s">
        <v>230</v>
      </c>
      <c r="B901" s="6" t="s">
        <v>243</v>
      </c>
      <c r="C901" t="s">
        <v>53</v>
      </c>
      <c r="D901" t="s">
        <v>29</v>
      </c>
      <c r="E901" t="s">
        <v>30</v>
      </c>
      <c r="F901">
        <v>11</v>
      </c>
      <c r="G901">
        <v>55839</v>
      </c>
      <c r="H901">
        <v>10</v>
      </c>
      <c r="I901">
        <v>18</v>
      </c>
      <c r="J901">
        <v>652311.19999999995</v>
      </c>
      <c r="K901" t="s">
        <v>37</v>
      </c>
      <c r="L901" t="s">
        <v>26</v>
      </c>
      <c r="M901" s="7">
        <v>45700</v>
      </c>
      <c r="N901" s="7">
        <v>45710</v>
      </c>
      <c r="O901" s="8">
        <v>10</v>
      </c>
      <c r="P901" t="str">
        <f t="shared" si="14"/>
        <v>Delayed</v>
      </c>
    </row>
    <row r="902" spans="1:16" x14ac:dyDescent="0.3">
      <c r="A902" t="s">
        <v>61</v>
      </c>
      <c r="B902" s="6" t="s">
        <v>238</v>
      </c>
      <c r="C902" t="s">
        <v>58</v>
      </c>
      <c r="D902" t="s">
        <v>62</v>
      </c>
      <c r="E902" t="s">
        <v>92</v>
      </c>
      <c r="F902">
        <v>30</v>
      </c>
      <c r="G902">
        <v>61388</v>
      </c>
      <c r="H902">
        <v>12</v>
      </c>
      <c r="I902">
        <v>12</v>
      </c>
      <c r="J902">
        <v>1815120.38</v>
      </c>
      <c r="K902" t="s">
        <v>15</v>
      </c>
      <c r="L902" t="s">
        <v>16</v>
      </c>
      <c r="M902" s="7">
        <v>45771</v>
      </c>
      <c r="N902" s="7">
        <v>45784</v>
      </c>
      <c r="O902" s="8">
        <v>13</v>
      </c>
      <c r="P902" t="str">
        <f t="shared" si="14"/>
        <v>Delayed</v>
      </c>
    </row>
    <row r="903" spans="1:16" x14ac:dyDescent="0.3">
      <c r="A903" t="s">
        <v>182</v>
      </c>
      <c r="B903" s="6" t="s">
        <v>245</v>
      </c>
      <c r="C903" t="s">
        <v>18</v>
      </c>
      <c r="D903" t="s">
        <v>13</v>
      </c>
      <c r="E903" t="s">
        <v>32</v>
      </c>
      <c r="F903">
        <v>23</v>
      </c>
      <c r="G903">
        <v>20912</v>
      </c>
      <c r="H903">
        <v>5</v>
      </c>
      <c r="I903">
        <v>18</v>
      </c>
      <c r="J903">
        <v>539174.1</v>
      </c>
      <c r="K903" t="s">
        <v>46</v>
      </c>
      <c r="L903" t="s">
        <v>16</v>
      </c>
      <c r="M903" s="7">
        <v>45841</v>
      </c>
      <c r="N903" s="7">
        <v>45854</v>
      </c>
      <c r="O903" s="8">
        <v>13</v>
      </c>
      <c r="P903" t="str">
        <f t="shared" si="14"/>
        <v>Delayed</v>
      </c>
    </row>
    <row r="904" spans="1:16" x14ac:dyDescent="0.3">
      <c r="A904" t="s">
        <v>167</v>
      </c>
      <c r="B904" s="6" t="s">
        <v>245</v>
      </c>
      <c r="C904" t="s">
        <v>18</v>
      </c>
      <c r="D904" t="s">
        <v>62</v>
      </c>
      <c r="E904" t="s">
        <v>63</v>
      </c>
      <c r="F904">
        <v>38</v>
      </c>
      <c r="G904">
        <v>36314</v>
      </c>
      <c r="H904">
        <v>0</v>
      </c>
      <c r="I904">
        <v>28</v>
      </c>
      <c r="J904">
        <v>1766312.96</v>
      </c>
      <c r="K904" t="s">
        <v>15</v>
      </c>
      <c r="L904" t="s">
        <v>38</v>
      </c>
      <c r="M904" s="7">
        <v>45830</v>
      </c>
      <c r="N904" s="7">
        <v>45840</v>
      </c>
      <c r="O904" s="8">
        <v>10</v>
      </c>
      <c r="P904" t="str">
        <f t="shared" si="14"/>
        <v>Delayed</v>
      </c>
    </row>
    <row r="905" spans="1:16" x14ac:dyDescent="0.3">
      <c r="A905" t="s">
        <v>50</v>
      </c>
      <c r="B905" s="6" t="s">
        <v>241</v>
      </c>
      <c r="C905" t="s">
        <v>42</v>
      </c>
      <c r="D905" t="s">
        <v>62</v>
      </c>
      <c r="E905" t="s">
        <v>92</v>
      </c>
      <c r="F905">
        <v>17</v>
      </c>
      <c r="G905">
        <v>44798</v>
      </c>
      <c r="H905">
        <v>12</v>
      </c>
      <c r="I905">
        <v>28</v>
      </c>
      <c r="J905">
        <v>857827.94</v>
      </c>
      <c r="K905" t="s">
        <v>37</v>
      </c>
      <c r="L905" t="s">
        <v>38</v>
      </c>
      <c r="M905" s="7">
        <v>45823</v>
      </c>
      <c r="N905" s="7">
        <v>45825</v>
      </c>
      <c r="O905" s="8">
        <v>2</v>
      </c>
      <c r="P905" t="str">
        <f t="shared" si="14"/>
        <v>On Delivery</v>
      </c>
    </row>
    <row r="906" spans="1:16" x14ac:dyDescent="0.3">
      <c r="A906" t="s">
        <v>107</v>
      </c>
      <c r="B906" s="6" t="s">
        <v>242</v>
      </c>
      <c r="C906" t="s">
        <v>12</v>
      </c>
      <c r="D906" t="s">
        <v>48</v>
      </c>
      <c r="E906" t="s">
        <v>59</v>
      </c>
      <c r="F906">
        <v>17</v>
      </c>
      <c r="G906">
        <v>26367</v>
      </c>
      <c r="H906">
        <v>12</v>
      </c>
      <c r="I906">
        <v>18</v>
      </c>
      <c r="J906">
        <v>465451.38</v>
      </c>
      <c r="K906" t="s">
        <v>37</v>
      </c>
      <c r="L906" t="s">
        <v>16</v>
      </c>
      <c r="M906" s="7">
        <v>45754</v>
      </c>
      <c r="N906" s="7">
        <v>45763</v>
      </c>
      <c r="O906" s="8">
        <v>9</v>
      </c>
      <c r="P906" t="str">
        <f t="shared" si="14"/>
        <v>Delayed</v>
      </c>
    </row>
    <row r="907" spans="1:16" x14ac:dyDescent="0.3">
      <c r="A907" t="s">
        <v>197</v>
      </c>
      <c r="B907" s="6" t="s">
        <v>243</v>
      </c>
      <c r="C907" t="s">
        <v>53</v>
      </c>
      <c r="D907" t="s">
        <v>13</v>
      </c>
      <c r="E907" t="s">
        <v>32</v>
      </c>
      <c r="F907">
        <v>27</v>
      </c>
      <c r="G907">
        <v>34131</v>
      </c>
      <c r="H907">
        <v>5</v>
      </c>
      <c r="I907">
        <v>18</v>
      </c>
      <c r="J907">
        <v>1033042.98</v>
      </c>
      <c r="K907" t="s">
        <v>15</v>
      </c>
      <c r="L907" t="s">
        <v>16</v>
      </c>
      <c r="M907" s="7">
        <v>45836</v>
      </c>
      <c r="N907" s="7">
        <v>45845</v>
      </c>
      <c r="O907" s="8">
        <v>9</v>
      </c>
      <c r="P907" t="str">
        <f t="shared" si="14"/>
        <v>Delayed</v>
      </c>
    </row>
    <row r="908" spans="1:16" x14ac:dyDescent="0.3">
      <c r="A908" t="s">
        <v>153</v>
      </c>
      <c r="B908" s="6" t="s">
        <v>246</v>
      </c>
      <c r="C908" t="s">
        <v>80</v>
      </c>
      <c r="D908" t="s">
        <v>44</v>
      </c>
      <c r="E908" t="s">
        <v>45</v>
      </c>
      <c r="F908">
        <v>15</v>
      </c>
      <c r="G908">
        <v>8867</v>
      </c>
      <c r="H908">
        <v>0</v>
      </c>
      <c r="I908">
        <v>18</v>
      </c>
      <c r="J908">
        <v>156945.9</v>
      </c>
      <c r="K908" t="s">
        <v>46</v>
      </c>
      <c r="L908" t="s">
        <v>16</v>
      </c>
      <c r="M908" s="7">
        <v>45833</v>
      </c>
      <c r="N908" s="7">
        <v>45834</v>
      </c>
      <c r="O908" s="8">
        <v>1</v>
      </c>
      <c r="P908" t="str">
        <f t="shared" si="14"/>
        <v>On Delivery</v>
      </c>
    </row>
    <row r="909" spans="1:16" x14ac:dyDescent="0.3">
      <c r="A909" t="s">
        <v>153</v>
      </c>
      <c r="B909" s="6" t="s">
        <v>239</v>
      </c>
      <c r="C909" t="s">
        <v>23</v>
      </c>
      <c r="D909" t="s">
        <v>35</v>
      </c>
      <c r="E909" t="s">
        <v>36</v>
      </c>
      <c r="F909">
        <v>20</v>
      </c>
      <c r="G909">
        <v>3436</v>
      </c>
      <c r="H909">
        <v>0</v>
      </c>
      <c r="I909">
        <v>28</v>
      </c>
      <c r="J909">
        <v>87961.600000000006</v>
      </c>
      <c r="K909" t="s">
        <v>46</v>
      </c>
      <c r="L909" t="s">
        <v>38</v>
      </c>
      <c r="M909" s="7">
        <v>45833</v>
      </c>
      <c r="N909" s="7">
        <v>45844</v>
      </c>
      <c r="O909" s="8">
        <v>11</v>
      </c>
      <c r="P909" t="str">
        <f t="shared" si="14"/>
        <v>Delayed</v>
      </c>
    </row>
    <row r="910" spans="1:16" x14ac:dyDescent="0.3">
      <c r="A910" t="s">
        <v>207</v>
      </c>
      <c r="B910" s="6" t="s">
        <v>241</v>
      </c>
      <c r="C910" t="s">
        <v>42</v>
      </c>
      <c r="D910" t="s">
        <v>48</v>
      </c>
      <c r="E910" t="s">
        <v>49</v>
      </c>
      <c r="F910">
        <v>8</v>
      </c>
      <c r="G910">
        <v>66049</v>
      </c>
      <c r="H910">
        <v>0</v>
      </c>
      <c r="I910">
        <v>12</v>
      </c>
      <c r="J910">
        <v>591799.04000000004</v>
      </c>
      <c r="K910" t="s">
        <v>37</v>
      </c>
      <c r="L910" t="s">
        <v>26</v>
      </c>
      <c r="M910" s="7">
        <v>45813</v>
      </c>
      <c r="N910" s="7">
        <v>45823</v>
      </c>
      <c r="O910" s="8">
        <v>10</v>
      </c>
      <c r="P910" t="str">
        <f t="shared" si="14"/>
        <v>Delayed</v>
      </c>
    </row>
    <row r="911" spans="1:16" x14ac:dyDescent="0.3">
      <c r="A911" t="s">
        <v>195</v>
      </c>
      <c r="B911" s="6" t="s">
        <v>241</v>
      </c>
      <c r="C911" t="s">
        <v>42</v>
      </c>
      <c r="D911" t="s">
        <v>24</v>
      </c>
      <c r="E911" t="s">
        <v>40</v>
      </c>
      <c r="F911">
        <v>21</v>
      </c>
      <c r="G911">
        <v>78520</v>
      </c>
      <c r="H911">
        <v>12</v>
      </c>
      <c r="I911">
        <v>12</v>
      </c>
      <c r="J911">
        <v>1625175.55</v>
      </c>
      <c r="K911" t="s">
        <v>46</v>
      </c>
      <c r="L911" t="s">
        <v>38</v>
      </c>
      <c r="M911" s="7">
        <v>45785</v>
      </c>
      <c r="N911" s="7">
        <v>45785</v>
      </c>
      <c r="O911" s="8">
        <v>0</v>
      </c>
      <c r="P911" t="str">
        <f t="shared" si="14"/>
        <v>Delivered</v>
      </c>
    </row>
    <row r="912" spans="1:16" x14ac:dyDescent="0.3">
      <c r="A912" t="s">
        <v>145</v>
      </c>
      <c r="B912" s="6" t="s">
        <v>239</v>
      </c>
      <c r="C912" t="s">
        <v>23</v>
      </c>
      <c r="D912" t="s">
        <v>29</v>
      </c>
      <c r="E912" t="s">
        <v>30</v>
      </c>
      <c r="F912">
        <v>6</v>
      </c>
      <c r="G912">
        <v>25215</v>
      </c>
      <c r="H912">
        <v>12</v>
      </c>
      <c r="I912">
        <v>18</v>
      </c>
      <c r="J912">
        <v>157099.54</v>
      </c>
      <c r="K912" t="s">
        <v>21</v>
      </c>
      <c r="L912" t="s">
        <v>26</v>
      </c>
      <c r="M912" s="7">
        <v>45723</v>
      </c>
      <c r="N912" s="7">
        <v>45731</v>
      </c>
      <c r="O912" s="8">
        <v>8</v>
      </c>
      <c r="P912" t="str">
        <f t="shared" si="14"/>
        <v>Delayed</v>
      </c>
    </row>
    <row r="913" spans="1:16" x14ac:dyDescent="0.3">
      <c r="A913" t="s">
        <v>68</v>
      </c>
      <c r="B913" s="6" t="s">
        <v>240</v>
      </c>
      <c r="C913" t="s">
        <v>28</v>
      </c>
      <c r="D913" t="s">
        <v>44</v>
      </c>
      <c r="E913" t="s">
        <v>45</v>
      </c>
      <c r="F913">
        <v>33</v>
      </c>
      <c r="G913">
        <v>27833</v>
      </c>
      <c r="H913">
        <v>10</v>
      </c>
      <c r="I913">
        <v>28</v>
      </c>
      <c r="J913">
        <v>1058099.33</v>
      </c>
      <c r="K913" t="s">
        <v>21</v>
      </c>
      <c r="L913" t="s">
        <v>33</v>
      </c>
      <c r="M913" s="7">
        <v>45677</v>
      </c>
      <c r="N913" s="7">
        <v>45680</v>
      </c>
      <c r="O913" s="8">
        <v>3</v>
      </c>
      <c r="P913" t="str">
        <f t="shared" si="14"/>
        <v>On Delivery</v>
      </c>
    </row>
    <row r="914" spans="1:16" x14ac:dyDescent="0.3">
      <c r="A914" t="s">
        <v>103</v>
      </c>
      <c r="B914" s="6" t="s">
        <v>242</v>
      </c>
      <c r="C914" t="s">
        <v>12</v>
      </c>
      <c r="D914" t="s">
        <v>24</v>
      </c>
      <c r="E914" t="s">
        <v>40</v>
      </c>
      <c r="F914">
        <v>10</v>
      </c>
      <c r="G914">
        <v>27003</v>
      </c>
      <c r="H914">
        <v>0</v>
      </c>
      <c r="I914">
        <v>12</v>
      </c>
      <c r="J914">
        <v>302433.59999999998</v>
      </c>
      <c r="K914" t="s">
        <v>21</v>
      </c>
      <c r="L914" t="s">
        <v>26</v>
      </c>
      <c r="M914" s="7">
        <v>45674</v>
      </c>
      <c r="N914" s="7">
        <v>45677</v>
      </c>
      <c r="O914" s="8">
        <v>3</v>
      </c>
      <c r="P914" t="str">
        <f t="shared" si="14"/>
        <v>On Delivery</v>
      </c>
    </row>
    <row r="915" spans="1:16" x14ac:dyDescent="0.3">
      <c r="A915" t="s">
        <v>118</v>
      </c>
      <c r="B915" s="6" t="s">
        <v>244</v>
      </c>
      <c r="C915" t="s">
        <v>70</v>
      </c>
      <c r="D915" t="s">
        <v>29</v>
      </c>
      <c r="E915" t="s">
        <v>30</v>
      </c>
      <c r="F915">
        <v>24</v>
      </c>
      <c r="G915">
        <v>20833</v>
      </c>
      <c r="H915">
        <v>10</v>
      </c>
      <c r="I915">
        <v>12</v>
      </c>
      <c r="J915">
        <v>503991.94</v>
      </c>
      <c r="K915" t="s">
        <v>37</v>
      </c>
      <c r="L915" t="s">
        <v>16</v>
      </c>
      <c r="M915" s="7">
        <v>45703</v>
      </c>
      <c r="N915" s="7">
        <v>45706</v>
      </c>
      <c r="O915" s="8">
        <v>3</v>
      </c>
      <c r="P915" t="str">
        <f t="shared" si="14"/>
        <v>On Delivery</v>
      </c>
    </row>
    <row r="916" spans="1:16" x14ac:dyDescent="0.3">
      <c r="A916" t="s">
        <v>67</v>
      </c>
      <c r="B916" s="6" t="s">
        <v>238</v>
      </c>
      <c r="C916" t="s">
        <v>58</v>
      </c>
      <c r="D916" t="s">
        <v>48</v>
      </c>
      <c r="E916" t="s">
        <v>49</v>
      </c>
      <c r="F916">
        <v>35</v>
      </c>
      <c r="G916">
        <v>22812</v>
      </c>
      <c r="H916">
        <v>5</v>
      </c>
      <c r="I916">
        <v>18</v>
      </c>
      <c r="J916">
        <v>895028.82</v>
      </c>
      <c r="K916" t="s">
        <v>37</v>
      </c>
      <c r="L916" t="s">
        <v>38</v>
      </c>
      <c r="M916" s="7">
        <v>45809</v>
      </c>
      <c r="N916" s="7">
        <v>45816</v>
      </c>
      <c r="O916" s="8">
        <v>7</v>
      </c>
      <c r="P916" t="str">
        <f t="shared" si="14"/>
        <v>Delayed</v>
      </c>
    </row>
    <row r="917" spans="1:16" x14ac:dyDescent="0.3">
      <c r="A917" t="s">
        <v>224</v>
      </c>
      <c r="B917" s="6" t="s">
        <v>246</v>
      </c>
      <c r="C917" t="s">
        <v>80</v>
      </c>
      <c r="D917" t="s">
        <v>13</v>
      </c>
      <c r="E917" t="s">
        <v>32</v>
      </c>
      <c r="F917">
        <v>29</v>
      </c>
      <c r="G917">
        <v>49084</v>
      </c>
      <c r="H917">
        <v>10</v>
      </c>
      <c r="I917">
        <v>18</v>
      </c>
      <c r="J917">
        <v>1511689.03</v>
      </c>
      <c r="K917" t="s">
        <v>21</v>
      </c>
      <c r="L917" t="s">
        <v>38</v>
      </c>
      <c r="M917" s="7">
        <v>45663</v>
      </c>
      <c r="N917" s="7">
        <v>45674</v>
      </c>
      <c r="O917" s="8">
        <v>11</v>
      </c>
      <c r="P917" t="str">
        <f t="shared" si="14"/>
        <v>Delayed</v>
      </c>
    </row>
    <row r="918" spans="1:16" x14ac:dyDescent="0.3">
      <c r="A918" t="s">
        <v>155</v>
      </c>
      <c r="B918" s="6" t="s">
        <v>245</v>
      </c>
      <c r="C918" t="s">
        <v>18</v>
      </c>
      <c r="D918" t="s">
        <v>35</v>
      </c>
      <c r="E918" t="s">
        <v>56</v>
      </c>
      <c r="F918">
        <v>16</v>
      </c>
      <c r="G918">
        <v>8903</v>
      </c>
      <c r="H918">
        <v>5</v>
      </c>
      <c r="I918">
        <v>12</v>
      </c>
      <c r="J918">
        <v>151564.67000000001</v>
      </c>
      <c r="K918" t="s">
        <v>46</v>
      </c>
      <c r="L918" t="s">
        <v>38</v>
      </c>
      <c r="M918" s="7">
        <v>45762</v>
      </c>
      <c r="N918" s="7">
        <v>45763</v>
      </c>
      <c r="O918" s="8">
        <v>1</v>
      </c>
      <c r="P918" t="str">
        <f t="shared" si="14"/>
        <v>On Delivery</v>
      </c>
    </row>
    <row r="919" spans="1:16" x14ac:dyDescent="0.3">
      <c r="A919" t="s">
        <v>131</v>
      </c>
      <c r="B919" s="6" t="s">
        <v>238</v>
      </c>
      <c r="C919" t="s">
        <v>58</v>
      </c>
      <c r="D919" t="s">
        <v>24</v>
      </c>
      <c r="E919" t="s">
        <v>40</v>
      </c>
      <c r="F919">
        <v>35</v>
      </c>
      <c r="G919">
        <v>55960</v>
      </c>
      <c r="H919">
        <v>12</v>
      </c>
      <c r="I919">
        <v>12</v>
      </c>
      <c r="J919">
        <v>1930396.16</v>
      </c>
      <c r="K919" t="s">
        <v>37</v>
      </c>
      <c r="L919" t="s">
        <v>16</v>
      </c>
      <c r="M919" s="7">
        <v>45686</v>
      </c>
      <c r="N919" s="7">
        <v>45686</v>
      </c>
      <c r="O919" s="8">
        <v>0</v>
      </c>
      <c r="P919" t="str">
        <f t="shared" si="14"/>
        <v>Delivered</v>
      </c>
    </row>
    <row r="920" spans="1:16" x14ac:dyDescent="0.3">
      <c r="A920" t="s">
        <v>69</v>
      </c>
      <c r="B920" s="6" t="s">
        <v>242</v>
      </c>
      <c r="C920" t="s">
        <v>12</v>
      </c>
      <c r="D920" t="s">
        <v>35</v>
      </c>
      <c r="E920" t="s">
        <v>36</v>
      </c>
      <c r="F920">
        <v>14</v>
      </c>
      <c r="G920">
        <v>72163</v>
      </c>
      <c r="H920">
        <v>0</v>
      </c>
      <c r="I920">
        <v>12</v>
      </c>
      <c r="J920">
        <v>1131515.8400000001</v>
      </c>
      <c r="K920" t="s">
        <v>15</v>
      </c>
      <c r="L920" t="s">
        <v>33</v>
      </c>
      <c r="M920" s="7">
        <v>45806</v>
      </c>
      <c r="N920" s="7">
        <v>45820</v>
      </c>
      <c r="O920" s="8">
        <v>14</v>
      </c>
      <c r="P920" t="str">
        <f t="shared" si="14"/>
        <v>Delayed</v>
      </c>
    </row>
    <row r="921" spans="1:16" x14ac:dyDescent="0.3">
      <c r="A921" t="s">
        <v>183</v>
      </c>
      <c r="B921" s="6" t="s">
        <v>244</v>
      </c>
      <c r="C921" t="s">
        <v>70</v>
      </c>
      <c r="D921" t="s">
        <v>48</v>
      </c>
      <c r="E921" t="s">
        <v>49</v>
      </c>
      <c r="F921">
        <v>10</v>
      </c>
      <c r="G921">
        <v>12997</v>
      </c>
      <c r="H921">
        <v>0</v>
      </c>
      <c r="I921">
        <v>18</v>
      </c>
      <c r="J921">
        <v>153364.6</v>
      </c>
      <c r="K921" t="s">
        <v>21</v>
      </c>
      <c r="L921" t="s">
        <v>33</v>
      </c>
      <c r="M921" s="7">
        <v>45735</v>
      </c>
      <c r="N921" s="7">
        <v>45745</v>
      </c>
      <c r="O921" s="8">
        <v>10</v>
      </c>
      <c r="P921" t="str">
        <f t="shared" si="14"/>
        <v>Delayed</v>
      </c>
    </row>
    <row r="922" spans="1:16" x14ac:dyDescent="0.3">
      <c r="A922" t="s">
        <v>189</v>
      </c>
      <c r="B922" s="6" t="s">
        <v>243</v>
      </c>
      <c r="C922" t="s">
        <v>53</v>
      </c>
      <c r="D922" t="s">
        <v>35</v>
      </c>
      <c r="E922" t="s">
        <v>36</v>
      </c>
      <c r="F922">
        <v>33</v>
      </c>
      <c r="G922">
        <v>24019</v>
      </c>
      <c r="H922">
        <v>10</v>
      </c>
      <c r="I922">
        <v>28</v>
      </c>
      <c r="J922">
        <v>913106.3</v>
      </c>
      <c r="K922" t="s">
        <v>15</v>
      </c>
      <c r="L922" t="s">
        <v>26</v>
      </c>
      <c r="M922" s="7">
        <v>45750</v>
      </c>
      <c r="N922" s="7">
        <v>45752</v>
      </c>
      <c r="O922" s="8">
        <v>2</v>
      </c>
      <c r="P922" t="str">
        <f t="shared" si="14"/>
        <v>On Delivery</v>
      </c>
    </row>
    <row r="923" spans="1:16" x14ac:dyDescent="0.3">
      <c r="A923" t="s">
        <v>184</v>
      </c>
      <c r="B923" s="6" t="s">
        <v>245</v>
      </c>
      <c r="C923" t="s">
        <v>18</v>
      </c>
      <c r="D923" t="s">
        <v>44</v>
      </c>
      <c r="E923" t="s">
        <v>51</v>
      </c>
      <c r="F923">
        <v>13</v>
      </c>
      <c r="G923">
        <v>22812</v>
      </c>
      <c r="H923">
        <v>12</v>
      </c>
      <c r="I923">
        <v>28</v>
      </c>
      <c r="J923">
        <v>334040.68</v>
      </c>
      <c r="K923" t="s">
        <v>21</v>
      </c>
      <c r="L923" t="s">
        <v>33</v>
      </c>
      <c r="M923" s="7">
        <v>45762</v>
      </c>
      <c r="N923" s="7">
        <v>45764</v>
      </c>
      <c r="O923" s="8">
        <v>2</v>
      </c>
      <c r="P923" t="str">
        <f t="shared" si="14"/>
        <v>On Delivery</v>
      </c>
    </row>
    <row r="924" spans="1:16" x14ac:dyDescent="0.3">
      <c r="A924" t="s">
        <v>149</v>
      </c>
      <c r="B924" s="6" t="s">
        <v>239</v>
      </c>
      <c r="C924" t="s">
        <v>23</v>
      </c>
      <c r="D924" t="s">
        <v>13</v>
      </c>
      <c r="E924" t="s">
        <v>14</v>
      </c>
      <c r="F924">
        <v>23</v>
      </c>
      <c r="G924">
        <v>5981</v>
      </c>
      <c r="H924">
        <v>12</v>
      </c>
      <c r="I924">
        <v>28</v>
      </c>
      <c r="J924">
        <v>154950.96</v>
      </c>
      <c r="K924" t="s">
        <v>21</v>
      </c>
      <c r="L924" t="s">
        <v>38</v>
      </c>
      <c r="M924" s="7">
        <v>45784</v>
      </c>
      <c r="N924" s="7">
        <v>45787</v>
      </c>
      <c r="O924" s="8">
        <v>3</v>
      </c>
      <c r="P924" t="str">
        <f t="shared" si="14"/>
        <v>On Delivery</v>
      </c>
    </row>
    <row r="925" spans="1:16" x14ac:dyDescent="0.3">
      <c r="A925" t="s">
        <v>183</v>
      </c>
      <c r="B925" s="6" t="s">
        <v>240</v>
      </c>
      <c r="C925" t="s">
        <v>28</v>
      </c>
      <c r="D925" t="s">
        <v>13</v>
      </c>
      <c r="E925" t="s">
        <v>32</v>
      </c>
      <c r="F925">
        <v>32</v>
      </c>
      <c r="G925">
        <v>45267</v>
      </c>
      <c r="H925">
        <v>0</v>
      </c>
      <c r="I925">
        <v>18</v>
      </c>
      <c r="J925">
        <v>1709281.92</v>
      </c>
      <c r="K925" t="s">
        <v>37</v>
      </c>
      <c r="L925" t="s">
        <v>26</v>
      </c>
      <c r="M925" s="7">
        <v>45739</v>
      </c>
      <c r="N925" s="7">
        <v>45748</v>
      </c>
      <c r="O925" s="8">
        <v>9</v>
      </c>
      <c r="P925" t="str">
        <f t="shared" si="14"/>
        <v>Delayed</v>
      </c>
    </row>
    <row r="926" spans="1:16" x14ac:dyDescent="0.3">
      <c r="A926" t="s">
        <v>181</v>
      </c>
      <c r="B926" s="6" t="s">
        <v>240</v>
      </c>
      <c r="C926" t="s">
        <v>28</v>
      </c>
      <c r="D926" t="s">
        <v>44</v>
      </c>
      <c r="E926" t="s">
        <v>45</v>
      </c>
      <c r="F926">
        <v>3</v>
      </c>
      <c r="G926">
        <v>41256</v>
      </c>
      <c r="H926">
        <v>5</v>
      </c>
      <c r="I926">
        <v>28</v>
      </c>
      <c r="J926">
        <v>150501.89000000001</v>
      </c>
      <c r="K926" t="s">
        <v>46</v>
      </c>
      <c r="L926" t="s">
        <v>33</v>
      </c>
      <c r="M926" s="7">
        <v>45669</v>
      </c>
      <c r="N926" s="7">
        <v>45678</v>
      </c>
      <c r="O926" s="8">
        <v>9</v>
      </c>
      <c r="P926" t="str">
        <f t="shared" si="14"/>
        <v>Delayed</v>
      </c>
    </row>
    <row r="927" spans="1:16" x14ac:dyDescent="0.3">
      <c r="A927" t="s">
        <v>122</v>
      </c>
      <c r="B927" s="6" t="s">
        <v>244</v>
      </c>
      <c r="C927" t="s">
        <v>70</v>
      </c>
      <c r="D927" t="s">
        <v>19</v>
      </c>
      <c r="E927" t="s">
        <v>20</v>
      </c>
      <c r="F927">
        <v>32</v>
      </c>
      <c r="G927">
        <v>28764</v>
      </c>
      <c r="H927">
        <v>10</v>
      </c>
      <c r="I927">
        <v>12</v>
      </c>
      <c r="J927">
        <v>927811.58</v>
      </c>
      <c r="K927" t="s">
        <v>37</v>
      </c>
      <c r="L927" t="s">
        <v>26</v>
      </c>
      <c r="M927" s="7">
        <v>45729</v>
      </c>
      <c r="N927" s="7">
        <v>45731</v>
      </c>
      <c r="O927" s="8">
        <v>2</v>
      </c>
      <c r="P927" t="str">
        <f t="shared" si="14"/>
        <v>On Delivery</v>
      </c>
    </row>
    <row r="928" spans="1:16" x14ac:dyDescent="0.3">
      <c r="A928" t="s">
        <v>142</v>
      </c>
      <c r="B928" s="6" t="s">
        <v>242</v>
      </c>
      <c r="C928" t="s">
        <v>12</v>
      </c>
      <c r="D928" t="s">
        <v>13</v>
      </c>
      <c r="E928" t="s">
        <v>32</v>
      </c>
      <c r="F928">
        <v>19</v>
      </c>
      <c r="G928">
        <v>73119</v>
      </c>
      <c r="H928">
        <v>10</v>
      </c>
      <c r="I928">
        <v>28</v>
      </c>
      <c r="J928">
        <v>1600428.67</v>
      </c>
      <c r="K928" t="s">
        <v>21</v>
      </c>
      <c r="L928" t="s">
        <v>16</v>
      </c>
      <c r="M928" s="7">
        <v>45759</v>
      </c>
      <c r="N928" s="7">
        <v>45762</v>
      </c>
      <c r="O928" s="8">
        <v>3</v>
      </c>
      <c r="P928" t="str">
        <f t="shared" si="14"/>
        <v>On Delivery</v>
      </c>
    </row>
    <row r="929" spans="1:16" x14ac:dyDescent="0.3">
      <c r="A929" t="s">
        <v>78</v>
      </c>
      <c r="B929" s="6" t="s">
        <v>242</v>
      </c>
      <c r="C929" t="s">
        <v>12</v>
      </c>
      <c r="D929" t="s">
        <v>24</v>
      </c>
      <c r="E929" t="s">
        <v>40</v>
      </c>
      <c r="F929">
        <v>38</v>
      </c>
      <c r="G929">
        <v>53431</v>
      </c>
      <c r="H929">
        <v>5</v>
      </c>
      <c r="I929">
        <v>12</v>
      </c>
      <c r="J929">
        <v>2160322.19</v>
      </c>
      <c r="K929" t="s">
        <v>21</v>
      </c>
      <c r="L929" t="s">
        <v>33</v>
      </c>
      <c r="M929" s="7">
        <v>45838</v>
      </c>
      <c r="N929" s="7">
        <v>45853</v>
      </c>
      <c r="O929" s="8">
        <v>15</v>
      </c>
      <c r="P929" t="str">
        <f t="shared" si="14"/>
        <v>Delayed</v>
      </c>
    </row>
    <row r="930" spans="1:16" x14ac:dyDescent="0.3">
      <c r="A930" t="s">
        <v>189</v>
      </c>
      <c r="B930" s="6" t="s">
        <v>242</v>
      </c>
      <c r="C930" t="s">
        <v>12</v>
      </c>
      <c r="D930" t="s">
        <v>48</v>
      </c>
      <c r="E930" t="s">
        <v>59</v>
      </c>
      <c r="F930">
        <v>34</v>
      </c>
      <c r="G930">
        <v>50540</v>
      </c>
      <c r="H930">
        <v>5</v>
      </c>
      <c r="I930">
        <v>12</v>
      </c>
      <c r="J930">
        <v>1828335.04</v>
      </c>
      <c r="K930" t="s">
        <v>37</v>
      </c>
      <c r="L930" t="s">
        <v>26</v>
      </c>
      <c r="M930" s="7">
        <v>45749</v>
      </c>
      <c r="N930" s="7">
        <v>45756</v>
      </c>
      <c r="O930" s="8">
        <v>7</v>
      </c>
      <c r="P930" t="str">
        <f t="shared" si="14"/>
        <v>Delayed</v>
      </c>
    </row>
    <row r="931" spans="1:16" x14ac:dyDescent="0.3">
      <c r="A931" t="s">
        <v>166</v>
      </c>
      <c r="B931" s="6" t="s">
        <v>239</v>
      </c>
      <c r="C931" t="s">
        <v>23</v>
      </c>
      <c r="D931" t="s">
        <v>48</v>
      </c>
      <c r="E931" t="s">
        <v>59</v>
      </c>
      <c r="F931">
        <v>29</v>
      </c>
      <c r="G931">
        <v>27182</v>
      </c>
      <c r="H931">
        <v>0</v>
      </c>
      <c r="I931">
        <v>28</v>
      </c>
      <c r="J931">
        <v>1008995.84</v>
      </c>
      <c r="K931" t="s">
        <v>21</v>
      </c>
      <c r="L931" t="s">
        <v>38</v>
      </c>
      <c r="M931" s="7">
        <v>45754</v>
      </c>
      <c r="N931" s="7">
        <v>45756</v>
      </c>
      <c r="O931" s="8">
        <v>2</v>
      </c>
      <c r="P931" t="str">
        <f t="shared" si="14"/>
        <v>On Delivery</v>
      </c>
    </row>
    <row r="932" spans="1:16" x14ac:dyDescent="0.3">
      <c r="A932" t="s">
        <v>85</v>
      </c>
      <c r="B932" s="6" t="s">
        <v>243</v>
      </c>
      <c r="C932" t="s">
        <v>53</v>
      </c>
      <c r="D932" t="s">
        <v>35</v>
      </c>
      <c r="E932" t="s">
        <v>77</v>
      </c>
      <c r="F932">
        <v>22</v>
      </c>
      <c r="G932">
        <v>60027</v>
      </c>
      <c r="H932">
        <v>12</v>
      </c>
      <c r="I932">
        <v>28</v>
      </c>
      <c r="J932">
        <v>1487517.08</v>
      </c>
      <c r="K932" t="s">
        <v>46</v>
      </c>
      <c r="L932" t="s">
        <v>16</v>
      </c>
      <c r="M932" s="7">
        <v>45761</v>
      </c>
      <c r="N932" s="7">
        <v>45766</v>
      </c>
      <c r="O932" s="8">
        <v>5</v>
      </c>
      <c r="P932" t="str">
        <f t="shared" si="14"/>
        <v>Delayed</v>
      </c>
    </row>
    <row r="933" spans="1:16" x14ac:dyDescent="0.3">
      <c r="A933" t="s">
        <v>215</v>
      </c>
      <c r="B933" s="6" t="s">
        <v>244</v>
      </c>
      <c r="C933" t="s">
        <v>70</v>
      </c>
      <c r="D933" t="s">
        <v>62</v>
      </c>
      <c r="E933" t="s">
        <v>92</v>
      </c>
      <c r="F933">
        <v>29</v>
      </c>
      <c r="G933">
        <v>49005</v>
      </c>
      <c r="H933">
        <v>10</v>
      </c>
      <c r="I933">
        <v>12</v>
      </c>
      <c r="J933">
        <v>1432514.16</v>
      </c>
      <c r="K933" t="s">
        <v>37</v>
      </c>
      <c r="L933" t="s">
        <v>16</v>
      </c>
      <c r="M933" s="7">
        <v>45807</v>
      </c>
      <c r="N933" s="7">
        <v>45816</v>
      </c>
      <c r="O933" s="8">
        <v>9</v>
      </c>
      <c r="P933" t="str">
        <f t="shared" si="14"/>
        <v>Delayed</v>
      </c>
    </row>
    <row r="934" spans="1:16" x14ac:dyDescent="0.3">
      <c r="A934" t="s">
        <v>64</v>
      </c>
      <c r="B934" s="6" t="s">
        <v>241</v>
      </c>
      <c r="C934" t="s">
        <v>42</v>
      </c>
      <c r="D934" t="s">
        <v>24</v>
      </c>
      <c r="E934" t="s">
        <v>76</v>
      </c>
      <c r="F934">
        <v>32</v>
      </c>
      <c r="G934">
        <v>43770</v>
      </c>
      <c r="H934">
        <v>12</v>
      </c>
      <c r="I934">
        <v>12</v>
      </c>
      <c r="J934">
        <v>1380470.78</v>
      </c>
      <c r="K934" t="s">
        <v>21</v>
      </c>
      <c r="L934" t="s">
        <v>33</v>
      </c>
      <c r="M934" s="7">
        <v>45715</v>
      </c>
      <c r="N934" s="7">
        <v>45720</v>
      </c>
      <c r="O934" s="8">
        <v>5</v>
      </c>
      <c r="P934" t="str">
        <f t="shared" si="14"/>
        <v>Delayed</v>
      </c>
    </row>
    <row r="935" spans="1:16" x14ac:dyDescent="0.3">
      <c r="A935" t="s">
        <v>100</v>
      </c>
      <c r="B935" s="6" t="s">
        <v>241</v>
      </c>
      <c r="C935" t="s">
        <v>42</v>
      </c>
      <c r="D935" t="s">
        <v>62</v>
      </c>
      <c r="E935" t="s">
        <v>63</v>
      </c>
      <c r="F935">
        <v>7</v>
      </c>
      <c r="G935">
        <v>17170</v>
      </c>
      <c r="H935">
        <v>0</v>
      </c>
      <c r="I935">
        <v>18</v>
      </c>
      <c r="J935">
        <v>141824.20000000001</v>
      </c>
      <c r="K935" t="s">
        <v>21</v>
      </c>
      <c r="L935" t="s">
        <v>33</v>
      </c>
      <c r="M935" s="7">
        <v>45758</v>
      </c>
      <c r="N935" s="7">
        <v>45759</v>
      </c>
      <c r="O935" s="8">
        <v>1</v>
      </c>
      <c r="P935" t="str">
        <f t="shared" si="14"/>
        <v>On Delivery</v>
      </c>
    </row>
    <row r="936" spans="1:16" x14ac:dyDescent="0.3">
      <c r="A936" t="s">
        <v>207</v>
      </c>
      <c r="B936" s="6" t="s">
        <v>239</v>
      </c>
      <c r="C936" t="s">
        <v>23</v>
      </c>
      <c r="D936" t="s">
        <v>24</v>
      </c>
      <c r="E936" t="s">
        <v>76</v>
      </c>
      <c r="F936">
        <v>26</v>
      </c>
      <c r="G936">
        <v>75196</v>
      </c>
      <c r="H936">
        <v>10</v>
      </c>
      <c r="I936">
        <v>28</v>
      </c>
      <c r="J936">
        <v>2252270.59</v>
      </c>
      <c r="K936" t="s">
        <v>15</v>
      </c>
      <c r="L936" t="s">
        <v>26</v>
      </c>
      <c r="M936" s="7">
        <v>45813</v>
      </c>
      <c r="N936" s="7">
        <v>45823</v>
      </c>
      <c r="O936" s="8">
        <v>10</v>
      </c>
      <c r="P936" t="str">
        <f t="shared" si="14"/>
        <v>Delayed</v>
      </c>
    </row>
    <row r="937" spans="1:16" x14ac:dyDescent="0.3">
      <c r="A937" t="s">
        <v>129</v>
      </c>
      <c r="B937" s="6" t="s">
        <v>243</v>
      </c>
      <c r="C937" t="s">
        <v>53</v>
      </c>
      <c r="D937" t="s">
        <v>48</v>
      </c>
      <c r="E937" t="s">
        <v>59</v>
      </c>
      <c r="F937">
        <v>2</v>
      </c>
      <c r="G937">
        <v>8147</v>
      </c>
      <c r="H937">
        <v>0</v>
      </c>
      <c r="I937">
        <v>12</v>
      </c>
      <c r="J937">
        <v>18249.28</v>
      </c>
      <c r="K937" t="s">
        <v>21</v>
      </c>
      <c r="L937" t="s">
        <v>33</v>
      </c>
      <c r="M937" s="7">
        <v>45734</v>
      </c>
      <c r="N937" s="7">
        <v>45736</v>
      </c>
      <c r="O937" s="8">
        <v>2</v>
      </c>
      <c r="P937" t="str">
        <f t="shared" si="14"/>
        <v>On Delivery</v>
      </c>
    </row>
    <row r="938" spans="1:16" x14ac:dyDescent="0.3">
      <c r="A938" t="s">
        <v>134</v>
      </c>
      <c r="B938" s="6" t="s">
        <v>242</v>
      </c>
      <c r="C938" t="s">
        <v>12</v>
      </c>
      <c r="D938" t="s">
        <v>48</v>
      </c>
      <c r="E938" t="s">
        <v>59</v>
      </c>
      <c r="F938">
        <v>26</v>
      </c>
      <c r="G938">
        <v>39733</v>
      </c>
      <c r="H938">
        <v>5</v>
      </c>
      <c r="I938">
        <v>12</v>
      </c>
      <c r="J938">
        <v>1099173.71</v>
      </c>
      <c r="K938" t="s">
        <v>21</v>
      </c>
      <c r="L938" t="s">
        <v>33</v>
      </c>
      <c r="M938" s="7">
        <v>45771</v>
      </c>
      <c r="N938" s="7">
        <v>45776</v>
      </c>
      <c r="O938" s="8">
        <v>5</v>
      </c>
      <c r="P938" t="str">
        <f t="shared" si="14"/>
        <v>Delayed</v>
      </c>
    </row>
    <row r="939" spans="1:16" x14ac:dyDescent="0.3">
      <c r="A939" t="s">
        <v>182</v>
      </c>
      <c r="B939" s="6" t="s">
        <v>245</v>
      </c>
      <c r="C939" t="s">
        <v>18</v>
      </c>
      <c r="D939" t="s">
        <v>35</v>
      </c>
      <c r="E939" t="s">
        <v>77</v>
      </c>
      <c r="F939">
        <v>15</v>
      </c>
      <c r="G939">
        <v>20600</v>
      </c>
      <c r="H939">
        <v>5</v>
      </c>
      <c r="I939">
        <v>28</v>
      </c>
      <c r="J939">
        <v>375744</v>
      </c>
      <c r="K939" t="s">
        <v>15</v>
      </c>
      <c r="L939" t="s">
        <v>26</v>
      </c>
      <c r="M939" s="7">
        <v>45844</v>
      </c>
      <c r="N939" s="7">
        <v>45859</v>
      </c>
      <c r="O939" s="8">
        <v>15</v>
      </c>
      <c r="P939" t="str">
        <f t="shared" si="14"/>
        <v>Delayed</v>
      </c>
    </row>
    <row r="940" spans="1:16" x14ac:dyDescent="0.3">
      <c r="A940" t="s">
        <v>69</v>
      </c>
      <c r="B940" s="6" t="s">
        <v>245</v>
      </c>
      <c r="C940" t="s">
        <v>18</v>
      </c>
      <c r="D940" t="s">
        <v>24</v>
      </c>
      <c r="E940" t="s">
        <v>40</v>
      </c>
      <c r="F940">
        <v>27</v>
      </c>
      <c r="G940">
        <v>56480</v>
      </c>
      <c r="H940">
        <v>10</v>
      </c>
      <c r="I940">
        <v>18</v>
      </c>
      <c r="J940">
        <v>1619507.52</v>
      </c>
      <c r="K940" t="s">
        <v>21</v>
      </c>
      <c r="L940" t="s">
        <v>33</v>
      </c>
      <c r="M940" s="7">
        <v>45806</v>
      </c>
      <c r="N940" s="7">
        <v>45812</v>
      </c>
      <c r="O940" s="8">
        <v>6</v>
      </c>
      <c r="P940" t="str">
        <f t="shared" si="14"/>
        <v>Delayed</v>
      </c>
    </row>
    <row r="941" spans="1:16" x14ac:dyDescent="0.3">
      <c r="A941" t="s">
        <v>164</v>
      </c>
      <c r="B941" s="6" t="s">
        <v>241</v>
      </c>
      <c r="C941" t="s">
        <v>42</v>
      </c>
      <c r="D941" t="s">
        <v>13</v>
      </c>
      <c r="E941" t="s">
        <v>32</v>
      </c>
      <c r="F941">
        <v>12</v>
      </c>
      <c r="G941">
        <v>30165</v>
      </c>
      <c r="H941">
        <v>5</v>
      </c>
      <c r="I941">
        <v>18</v>
      </c>
      <c r="J941">
        <v>405779.58</v>
      </c>
      <c r="K941" t="s">
        <v>46</v>
      </c>
      <c r="L941" t="s">
        <v>16</v>
      </c>
      <c r="M941" s="7">
        <v>45693</v>
      </c>
      <c r="N941" s="7">
        <v>45707</v>
      </c>
      <c r="O941" s="8">
        <v>14</v>
      </c>
      <c r="P941" t="str">
        <f t="shared" si="14"/>
        <v>Delayed</v>
      </c>
    </row>
    <row r="942" spans="1:16" x14ac:dyDescent="0.3">
      <c r="A942" t="s">
        <v>161</v>
      </c>
      <c r="B942" s="6" t="s">
        <v>244</v>
      </c>
      <c r="C942" t="s">
        <v>70</v>
      </c>
      <c r="D942" t="s">
        <v>62</v>
      </c>
      <c r="E942" t="s">
        <v>63</v>
      </c>
      <c r="F942">
        <v>20</v>
      </c>
      <c r="G942">
        <v>68478</v>
      </c>
      <c r="H942">
        <v>0</v>
      </c>
      <c r="I942">
        <v>28</v>
      </c>
      <c r="J942">
        <v>1753036.8</v>
      </c>
      <c r="K942" t="s">
        <v>15</v>
      </c>
      <c r="L942" t="s">
        <v>26</v>
      </c>
      <c r="M942" s="7">
        <v>45723</v>
      </c>
      <c r="N942" s="7">
        <v>45726</v>
      </c>
      <c r="O942" s="8">
        <v>3</v>
      </c>
      <c r="P942" t="str">
        <f t="shared" si="14"/>
        <v>On Delivery</v>
      </c>
    </row>
    <row r="943" spans="1:16" x14ac:dyDescent="0.3">
      <c r="A943" t="s">
        <v>50</v>
      </c>
      <c r="B943" s="6" t="s">
        <v>245</v>
      </c>
      <c r="C943" t="s">
        <v>18</v>
      </c>
      <c r="D943" t="s">
        <v>44</v>
      </c>
      <c r="E943" t="s">
        <v>45</v>
      </c>
      <c r="F943">
        <v>12</v>
      </c>
      <c r="G943">
        <v>48149</v>
      </c>
      <c r="H943">
        <v>5</v>
      </c>
      <c r="I943">
        <v>28</v>
      </c>
      <c r="J943">
        <v>702590.21</v>
      </c>
      <c r="K943" t="s">
        <v>21</v>
      </c>
      <c r="L943" t="s">
        <v>33</v>
      </c>
      <c r="M943" s="7">
        <v>45829</v>
      </c>
      <c r="N943" s="7">
        <v>45839</v>
      </c>
      <c r="O943" s="8">
        <v>10</v>
      </c>
      <c r="P943" t="str">
        <f t="shared" si="14"/>
        <v>Delayed</v>
      </c>
    </row>
    <row r="944" spans="1:16" x14ac:dyDescent="0.3">
      <c r="A944" t="s">
        <v>182</v>
      </c>
      <c r="B944" s="6" t="s">
        <v>244</v>
      </c>
      <c r="C944" t="s">
        <v>70</v>
      </c>
      <c r="D944" t="s">
        <v>19</v>
      </c>
      <c r="E944" t="s">
        <v>20</v>
      </c>
      <c r="F944">
        <v>15</v>
      </c>
      <c r="G944">
        <v>8920</v>
      </c>
      <c r="H944">
        <v>0</v>
      </c>
      <c r="I944">
        <v>12</v>
      </c>
      <c r="J944">
        <v>149856</v>
      </c>
      <c r="K944" t="s">
        <v>37</v>
      </c>
      <c r="L944" t="s">
        <v>33</v>
      </c>
      <c r="M944" s="7">
        <v>45845</v>
      </c>
      <c r="N944" s="7">
        <v>45849</v>
      </c>
      <c r="O944" s="8">
        <v>4</v>
      </c>
      <c r="P944" t="str">
        <f t="shared" si="14"/>
        <v>Delayed</v>
      </c>
    </row>
    <row r="945" spans="1:16" x14ac:dyDescent="0.3">
      <c r="A945" t="s">
        <v>102</v>
      </c>
      <c r="B945" s="6" t="s">
        <v>239</v>
      </c>
      <c r="C945" t="s">
        <v>23</v>
      </c>
      <c r="D945" t="s">
        <v>29</v>
      </c>
      <c r="E945" t="s">
        <v>30</v>
      </c>
      <c r="F945">
        <v>30</v>
      </c>
      <c r="G945">
        <v>23429</v>
      </c>
      <c r="H945">
        <v>10</v>
      </c>
      <c r="I945">
        <v>18</v>
      </c>
      <c r="J945">
        <v>746447.94</v>
      </c>
      <c r="K945" t="s">
        <v>37</v>
      </c>
      <c r="L945" t="s">
        <v>33</v>
      </c>
      <c r="M945" s="7">
        <v>45744</v>
      </c>
      <c r="N945" s="7">
        <v>45758</v>
      </c>
      <c r="O945" s="8">
        <v>14</v>
      </c>
      <c r="P945" t="str">
        <f t="shared" si="14"/>
        <v>Delayed</v>
      </c>
    </row>
    <row r="946" spans="1:16" x14ac:dyDescent="0.3">
      <c r="A946" t="s">
        <v>88</v>
      </c>
      <c r="B946" s="6" t="s">
        <v>242</v>
      </c>
      <c r="C946" t="s">
        <v>12</v>
      </c>
      <c r="D946" t="s">
        <v>35</v>
      </c>
      <c r="E946" t="s">
        <v>36</v>
      </c>
      <c r="F946">
        <v>33</v>
      </c>
      <c r="G946">
        <v>25019</v>
      </c>
      <c r="H946">
        <v>0</v>
      </c>
      <c r="I946">
        <v>28</v>
      </c>
      <c r="J946">
        <v>1056802.56</v>
      </c>
      <c r="K946" t="s">
        <v>15</v>
      </c>
      <c r="L946" t="s">
        <v>16</v>
      </c>
      <c r="M946" s="7">
        <v>45833</v>
      </c>
      <c r="N946" s="7">
        <v>45841</v>
      </c>
      <c r="O946" s="8">
        <v>8</v>
      </c>
      <c r="P946" t="str">
        <f t="shared" si="14"/>
        <v>Delayed</v>
      </c>
    </row>
    <row r="947" spans="1:16" x14ac:dyDescent="0.3">
      <c r="A947" t="s">
        <v>103</v>
      </c>
      <c r="B947" s="6" t="s">
        <v>241</v>
      </c>
      <c r="C947" t="s">
        <v>42</v>
      </c>
      <c r="D947" t="s">
        <v>29</v>
      </c>
      <c r="E947" t="s">
        <v>30</v>
      </c>
      <c r="F947">
        <v>3</v>
      </c>
      <c r="G947">
        <v>50381</v>
      </c>
      <c r="H947">
        <v>5</v>
      </c>
      <c r="I947">
        <v>18</v>
      </c>
      <c r="J947">
        <v>169431.3</v>
      </c>
      <c r="K947" t="s">
        <v>15</v>
      </c>
      <c r="L947" t="s">
        <v>33</v>
      </c>
      <c r="M947" s="7">
        <v>45670</v>
      </c>
      <c r="N947" s="7">
        <v>45680</v>
      </c>
      <c r="O947" s="8">
        <v>10</v>
      </c>
      <c r="P947" t="str">
        <f t="shared" si="14"/>
        <v>Delayed</v>
      </c>
    </row>
    <row r="948" spans="1:16" x14ac:dyDescent="0.3">
      <c r="A948" t="s">
        <v>67</v>
      </c>
      <c r="B948" s="6" t="s">
        <v>239</v>
      </c>
      <c r="C948" t="s">
        <v>23</v>
      </c>
      <c r="D948" t="s">
        <v>62</v>
      </c>
      <c r="E948" t="s">
        <v>63</v>
      </c>
      <c r="F948">
        <v>4</v>
      </c>
      <c r="G948">
        <v>84043</v>
      </c>
      <c r="H948">
        <v>12</v>
      </c>
      <c r="I948">
        <v>12</v>
      </c>
      <c r="J948">
        <v>331331.12</v>
      </c>
      <c r="K948" t="s">
        <v>46</v>
      </c>
      <c r="L948" t="s">
        <v>16</v>
      </c>
      <c r="M948" s="7">
        <v>45810</v>
      </c>
      <c r="N948" s="7">
        <v>45811</v>
      </c>
      <c r="O948" s="8">
        <v>1</v>
      </c>
      <c r="P948" t="str">
        <f t="shared" si="14"/>
        <v>On Delivery</v>
      </c>
    </row>
    <row r="949" spans="1:16" x14ac:dyDescent="0.3">
      <c r="A949" t="s">
        <v>84</v>
      </c>
      <c r="B949" s="6" t="s">
        <v>244</v>
      </c>
      <c r="C949" t="s">
        <v>70</v>
      </c>
      <c r="D949" t="s">
        <v>44</v>
      </c>
      <c r="E949" t="s">
        <v>45</v>
      </c>
      <c r="F949">
        <v>12</v>
      </c>
      <c r="G949">
        <v>47933</v>
      </c>
      <c r="H949">
        <v>0</v>
      </c>
      <c r="I949">
        <v>12</v>
      </c>
      <c r="J949">
        <v>644219.52</v>
      </c>
      <c r="K949" t="s">
        <v>46</v>
      </c>
      <c r="L949" t="s">
        <v>26</v>
      </c>
      <c r="M949" s="7">
        <v>45778</v>
      </c>
      <c r="N949" s="7">
        <v>45789</v>
      </c>
      <c r="O949" s="8">
        <v>11</v>
      </c>
      <c r="P949" t="str">
        <f t="shared" si="14"/>
        <v>Delayed</v>
      </c>
    </row>
    <row r="950" spans="1:16" x14ac:dyDescent="0.3">
      <c r="A950" t="s">
        <v>163</v>
      </c>
      <c r="B950" s="6" t="s">
        <v>246</v>
      </c>
      <c r="C950" t="s">
        <v>80</v>
      </c>
      <c r="D950" t="s">
        <v>24</v>
      </c>
      <c r="E950" t="s">
        <v>25</v>
      </c>
      <c r="F950">
        <v>17</v>
      </c>
      <c r="G950">
        <v>64551</v>
      </c>
      <c r="H950">
        <v>10</v>
      </c>
      <c r="I950">
        <v>18</v>
      </c>
      <c r="J950">
        <v>1165403.75</v>
      </c>
      <c r="K950" t="s">
        <v>37</v>
      </c>
      <c r="L950" t="s">
        <v>38</v>
      </c>
      <c r="M950" s="7">
        <v>45710</v>
      </c>
      <c r="N950" s="7">
        <v>45721</v>
      </c>
      <c r="O950" s="8">
        <v>11</v>
      </c>
      <c r="P950" t="str">
        <f t="shared" si="14"/>
        <v>Delayed</v>
      </c>
    </row>
    <row r="951" spans="1:16" x14ac:dyDescent="0.3">
      <c r="A951" t="s">
        <v>168</v>
      </c>
      <c r="B951" s="6" t="s">
        <v>246</v>
      </c>
      <c r="C951" t="s">
        <v>80</v>
      </c>
      <c r="D951" t="s">
        <v>48</v>
      </c>
      <c r="E951" t="s">
        <v>49</v>
      </c>
      <c r="F951">
        <v>21</v>
      </c>
      <c r="G951">
        <v>58622</v>
      </c>
      <c r="H951">
        <v>5</v>
      </c>
      <c r="I951">
        <v>18</v>
      </c>
      <c r="J951">
        <v>1380020.5</v>
      </c>
      <c r="K951" t="s">
        <v>21</v>
      </c>
      <c r="L951" t="s">
        <v>26</v>
      </c>
      <c r="M951" s="7">
        <v>45769</v>
      </c>
      <c r="N951" s="7">
        <v>45773</v>
      </c>
      <c r="O951" s="8">
        <v>4</v>
      </c>
      <c r="P951" t="str">
        <f t="shared" si="14"/>
        <v>Delayed</v>
      </c>
    </row>
    <row r="952" spans="1:16" x14ac:dyDescent="0.3">
      <c r="A952" t="s">
        <v>188</v>
      </c>
      <c r="B952" s="6" t="s">
        <v>242</v>
      </c>
      <c r="C952" t="s">
        <v>12</v>
      </c>
      <c r="D952" t="s">
        <v>35</v>
      </c>
      <c r="E952" t="s">
        <v>36</v>
      </c>
      <c r="F952">
        <v>9</v>
      </c>
      <c r="G952">
        <v>56097</v>
      </c>
      <c r="H952">
        <v>0</v>
      </c>
      <c r="I952">
        <v>12</v>
      </c>
      <c r="J952">
        <v>565457.76</v>
      </c>
      <c r="K952" t="s">
        <v>46</v>
      </c>
      <c r="L952" t="s">
        <v>38</v>
      </c>
      <c r="M952" s="7">
        <v>45825</v>
      </c>
      <c r="N952" s="7">
        <v>45830</v>
      </c>
      <c r="O952" s="8">
        <v>5</v>
      </c>
      <c r="P952" t="str">
        <f t="shared" si="14"/>
        <v>Delayed</v>
      </c>
    </row>
    <row r="953" spans="1:16" x14ac:dyDescent="0.3">
      <c r="A953" t="s">
        <v>158</v>
      </c>
      <c r="B953" s="6" t="s">
        <v>239</v>
      </c>
      <c r="C953" t="s">
        <v>23</v>
      </c>
      <c r="D953" t="s">
        <v>35</v>
      </c>
      <c r="E953" t="s">
        <v>77</v>
      </c>
      <c r="F953">
        <v>30</v>
      </c>
      <c r="G953">
        <v>44103</v>
      </c>
      <c r="H953">
        <v>10</v>
      </c>
      <c r="I953">
        <v>18</v>
      </c>
      <c r="J953">
        <v>1405121.58</v>
      </c>
      <c r="K953" t="s">
        <v>37</v>
      </c>
      <c r="L953" t="s">
        <v>33</v>
      </c>
      <c r="M953" s="7">
        <v>45689</v>
      </c>
      <c r="N953" s="7">
        <v>45699</v>
      </c>
      <c r="O953" s="8">
        <v>10</v>
      </c>
      <c r="P953" t="str">
        <f t="shared" si="14"/>
        <v>Delayed</v>
      </c>
    </row>
    <row r="954" spans="1:16" x14ac:dyDescent="0.3">
      <c r="A954" t="s">
        <v>22</v>
      </c>
      <c r="B954" s="6" t="s">
        <v>240</v>
      </c>
      <c r="C954" t="s">
        <v>28</v>
      </c>
      <c r="D954" t="s">
        <v>13</v>
      </c>
      <c r="E954" t="s">
        <v>14</v>
      </c>
      <c r="F954">
        <v>3</v>
      </c>
      <c r="G954">
        <v>47232</v>
      </c>
      <c r="H954">
        <v>12</v>
      </c>
      <c r="I954">
        <v>28</v>
      </c>
      <c r="J954">
        <v>159606.37</v>
      </c>
      <c r="K954" t="s">
        <v>46</v>
      </c>
      <c r="L954" t="s">
        <v>38</v>
      </c>
      <c r="M954" s="7">
        <v>45766</v>
      </c>
      <c r="N954" s="7">
        <v>45768</v>
      </c>
      <c r="O954" s="8">
        <v>2</v>
      </c>
      <c r="P954" t="str">
        <f t="shared" si="14"/>
        <v>On Delivery</v>
      </c>
    </row>
    <row r="955" spans="1:16" x14ac:dyDescent="0.3">
      <c r="A955" t="s">
        <v>52</v>
      </c>
      <c r="B955" s="6" t="s">
        <v>244</v>
      </c>
      <c r="C955" t="s">
        <v>70</v>
      </c>
      <c r="D955" t="s">
        <v>19</v>
      </c>
      <c r="E955" t="s">
        <v>20</v>
      </c>
      <c r="F955">
        <v>21</v>
      </c>
      <c r="G955">
        <v>17455</v>
      </c>
      <c r="H955">
        <v>10</v>
      </c>
      <c r="I955">
        <v>18</v>
      </c>
      <c r="J955">
        <v>389281.41</v>
      </c>
      <c r="K955" t="s">
        <v>15</v>
      </c>
      <c r="L955" t="s">
        <v>26</v>
      </c>
      <c r="M955" s="7">
        <v>45771</v>
      </c>
      <c r="N955" s="7">
        <v>45777</v>
      </c>
      <c r="O955" s="8">
        <v>6</v>
      </c>
      <c r="P955" t="str">
        <f t="shared" si="14"/>
        <v>Delayed</v>
      </c>
    </row>
    <row r="956" spans="1:16" x14ac:dyDescent="0.3">
      <c r="A956" t="s">
        <v>159</v>
      </c>
      <c r="B956" s="6" t="s">
        <v>242</v>
      </c>
      <c r="C956" t="s">
        <v>12</v>
      </c>
      <c r="D956" t="s">
        <v>13</v>
      </c>
      <c r="E956" t="s">
        <v>14</v>
      </c>
      <c r="F956">
        <v>14</v>
      </c>
      <c r="G956">
        <v>31545</v>
      </c>
      <c r="H956">
        <v>10</v>
      </c>
      <c r="I956">
        <v>18</v>
      </c>
      <c r="J956">
        <v>469011.06</v>
      </c>
      <c r="K956" t="s">
        <v>15</v>
      </c>
      <c r="L956" t="s">
        <v>16</v>
      </c>
      <c r="M956" s="7">
        <v>45843</v>
      </c>
      <c r="N956" s="7">
        <v>45843</v>
      </c>
      <c r="O956" s="8">
        <v>0</v>
      </c>
      <c r="P956" t="str">
        <f t="shared" si="14"/>
        <v>Delivered</v>
      </c>
    </row>
    <row r="957" spans="1:16" x14ac:dyDescent="0.3">
      <c r="A957" t="s">
        <v>221</v>
      </c>
      <c r="B957" s="6" t="s">
        <v>238</v>
      </c>
      <c r="C957" t="s">
        <v>58</v>
      </c>
      <c r="D957" t="s">
        <v>13</v>
      </c>
      <c r="E957" t="s">
        <v>32</v>
      </c>
      <c r="F957">
        <v>36</v>
      </c>
      <c r="G957">
        <v>4438</v>
      </c>
      <c r="H957">
        <v>12</v>
      </c>
      <c r="I957">
        <v>28</v>
      </c>
      <c r="J957">
        <v>179962.68</v>
      </c>
      <c r="K957" t="s">
        <v>15</v>
      </c>
      <c r="L957" t="s">
        <v>33</v>
      </c>
      <c r="M957" s="7">
        <v>45794</v>
      </c>
      <c r="N957" s="7">
        <v>45806</v>
      </c>
      <c r="O957" s="8">
        <v>12</v>
      </c>
      <c r="P957" t="str">
        <f t="shared" si="14"/>
        <v>Delayed</v>
      </c>
    </row>
    <row r="958" spans="1:16" x14ac:dyDescent="0.3">
      <c r="A958" t="s">
        <v>61</v>
      </c>
      <c r="B958" s="6" t="s">
        <v>238</v>
      </c>
      <c r="C958" t="s">
        <v>58</v>
      </c>
      <c r="D958" t="s">
        <v>35</v>
      </c>
      <c r="E958" t="s">
        <v>56</v>
      </c>
      <c r="F958">
        <v>21</v>
      </c>
      <c r="G958">
        <v>22477</v>
      </c>
      <c r="H958">
        <v>12</v>
      </c>
      <c r="I958">
        <v>18</v>
      </c>
      <c r="J958">
        <v>490142.45</v>
      </c>
      <c r="K958" t="s">
        <v>46</v>
      </c>
      <c r="L958" t="s">
        <v>16</v>
      </c>
      <c r="M958" s="7">
        <v>45770</v>
      </c>
      <c r="N958" s="7">
        <v>45776</v>
      </c>
      <c r="O958" s="8">
        <v>6</v>
      </c>
      <c r="P958" t="str">
        <f t="shared" si="14"/>
        <v>Delayed</v>
      </c>
    </row>
    <row r="959" spans="1:16" x14ac:dyDescent="0.3">
      <c r="A959" t="s">
        <v>179</v>
      </c>
      <c r="B959" s="6" t="s">
        <v>243</v>
      </c>
      <c r="C959" t="s">
        <v>53</v>
      </c>
      <c r="D959" t="s">
        <v>13</v>
      </c>
      <c r="E959" t="s">
        <v>32</v>
      </c>
      <c r="F959">
        <v>36</v>
      </c>
      <c r="G959">
        <v>25254</v>
      </c>
      <c r="H959">
        <v>5</v>
      </c>
      <c r="I959">
        <v>12</v>
      </c>
      <c r="J959">
        <v>967329.22</v>
      </c>
      <c r="K959" t="s">
        <v>15</v>
      </c>
      <c r="L959" t="s">
        <v>26</v>
      </c>
      <c r="M959" s="7">
        <v>45840</v>
      </c>
      <c r="N959" s="7">
        <v>45855</v>
      </c>
      <c r="O959" s="8">
        <v>15</v>
      </c>
      <c r="P959" t="str">
        <f t="shared" si="14"/>
        <v>Delayed</v>
      </c>
    </row>
    <row r="960" spans="1:16" x14ac:dyDescent="0.3">
      <c r="A960" t="s">
        <v>87</v>
      </c>
      <c r="B960" s="6" t="s">
        <v>242</v>
      </c>
      <c r="C960" t="s">
        <v>12</v>
      </c>
      <c r="D960" t="s">
        <v>35</v>
      </c>
      <c r="E960" t="s">
        <v>36</v>
      </c>
      <c r="F960">
        <v>5</v>
      </c>
      <c r="G960">
        <v>39760</v>
      </c>
      <c r="H960">
        <v>12</v>
      </c>
      <c r="I960">
        <v>28</v>
      </c>
      <c r="J960">
        <v>223928.32000000001</v>
      </c>
      <c r="K960" t="s">
        <v>21</v>
      </c>
      <c r="L960" t="s">
        <v>38</v>
      </c>
      <c r="M960" s="7">
        <v>45810</v>
      </c>
      <c r="N960" s="7">
        <v>45810</v>
      </c>
      <c r="O960" s="8">
        <v>0</v>
      </c>
      <c r="P960" t="str">
        <f t="shared" si="14"/>
        <v>Delivered</v>
      </c>
    </row>
    <row r="961" spans="1:16" x14ac:dyDescent="0.3">
      <c r="A961" t="s">
        <v>55</v>
      </c>
      <c r="B961" s="6" t="s">
        <v>244</v>
      </c>
      <c r="C961" t="s">
        <v>70</v>
      </c>
      <c r="D961" t="s">
        <v>24</v>
      </c>
      <c r="E961" t="s">
        <v>40</v>
      </c>
      <c r="F961">
        <v>32</v>
      </c>
      <c r="G961">
        <v>70333</v>
      </c>
      <c r="H961">
        <v>5</v>
      </c>
      <c r="I961">
        <v>18</v>
      </c>
      <c r="J961">
        <v>2522985.38</v>
      </c>
      <c r="K961" t="s">
        <v>46</v>
      </c>
      <c r="L961" t="s">
        <v>33</v>
      </c>
      <c r="M961" s="7">
        <v>45764</v>
      </c>
      <c r="N961" s="7">
        <v>45773</v>
      </c>
      <c r="O961" s="8">
        <v>9</v>
      </c>
      <c r="P961" t="str">
        <f t="shared" si="14"/>
        <v>Delayed</v>
      </c>
    </row>
    <row r="962" spans="1:16" x14ac:dyDescent="0.3">
      <c r="A962" t="s">
        <v>208</v>
      </c>
      <c r="B962" s="6" t="s">
        <v>241</v>
      </c>
      <c r="C962" t="s">
        <v>42</v>
      </c>
      <c r="D962" t="s">
        <v>24</v>
      </c>
      <c r="E962" t="s">
        <v>25</v>
      </c>
      <c r="F962">
        <v>40</v>
      </c>
      <c r="G962">
        <v>16291</v>
      </c>
      <c r="H962">
        <v>12</v>
      </c>
      <c r="I962">
        <v>18</v>
      </c>
      <c r="J962">
        <v>676662.98</v>
      </c>
      <c r="K962" t="s">
        <v>37</v>
      </c>
      <c r="L962" t="s">
        <v>16</v>
      </c>
      <c r="M962" s="7">
        <v>45800</v>
      </c>
      <c r="N962" s="7">
        <v>45813</v>
      </c>
      <c r="O962" s="8">
        <v>13</v>
      </c>
      <c r="P962" t="str">
        <f t="shared" ref="P962:P1001" si="15">IF(O962="","Pending",IF(O962=0,"Delivered",IF(O962&lt;=3,"On Delivery","Delayed")))</f>
        <v>Delayed</v>
      </c>
    </row>
    <row r="963" spans="1:16" x14ac:dyDescent="0.3">
      <c r="A963" t="s">
        <v>115</v>
      </c>
      <c r="B963" s="6" t="s">
        <v>240</v>
      </c>
      <c r="C963" t="s">
        <v>28</v>
      </c>
      <c r="D963" t="s">
        <v>35</v>
      </c>
      <c r="E963" t="s">
        <v>56</v>
      </c>
      <c r="F963">
        <v>31</v>
      </c>
      <c r="G963">
        <v>13642</v>
      </c>
      <c r="H963">
        <v>12</v>
      </c>
      <c r="I963">
        <v>28</v>
      </c>
      <c r="J963">
        <v>476356.81</v>
      </c>
      <c r="K963" t="s">
        <v>21</v>
      </c>
      <c r="L963" t="s">
        <v>38</v>
      </c>
      <c r="M963" s="7">
        <v>45794</v>
      </c>
      <c r="N963" s="7">
        <v>45797</v>
      </c>
      <c r="O963" s="8">
        <v>3</v>
      </c>
      <c r="P963" t="str">
        <f t="shared" si="15"/>
        <v>On Delivery</v>
      </c>
    </row>
    <row r="964" spans="1:16" x14ac:dyDescent="0.3">
      <c r="A964" t="s">
        <v>207</v>
      </c>
      <c r="B964" s="6" t="s">
        <v>245</v>
      </c>
      <c r="C964" t="s">
        <v>18</v>
      </c>
      <c r="D964" t="s">
        <v>44</v>
      </c>
      <c r="E964" t="s">
        <v>51</v>
      </c>
      <c r="F964">
        <v>28</v>
      </c>
      <c r="G964">
        <v>44833</v>
      </c>
      <c r="H964">
        <v>12</v>
      </c>
      <c r="I964">
        <v>28</v>
      </c>
      <c r="J964">
        <v>1413996.95</v>
      </c>
      <c r="K964" t="s">
        <v>21</v>
      </c>
      <c r="L964" t="s">
        <v>26</v>
      </c>
      <c r="M964" s="7">
        <v>45813</v>
      </c>
      <c r="N964" s="7">
        <v>45819</v>
      </c>
      <c r="O964" s="8">
        <v>6</v>
      </c>
      <c r="P964" t="str">
        <f t="shared" si="15"/>
        <v>Delayed</v>
      </c>
    </row>
    <row r="965" spans="1:16" x14ac:dyDescent="0.3">
      <c r="A965" t="s">
        <v>160</v>
      </c>
      <c r="B965" s="6" t="s">
        <v>240</v>
      </c>
      <c r="C965" t="s">
        <v>28</v>
      </c>
      <c r="D965" t="s">
        <v>13</v>
      </c>
      <c r="E965" t="s">
        <v>14</v>
      </c>
      <c r="F965">
        <v>35</v>
      </c>
      <c r="G965">
        <v>76378</v>
      </c>
      <c r="H965">
        <v>5</v>
      </c>
      <c r="I965">
        <v>28</v>
      </c>
      <c r="J965">
        <v>3250647.68</v>
      </c>
      <c r="K965" t="s">
        <v>21</v>
      </c>
      <c r="L965" t="s">
        <v>26</v>
      </c>
      <c r="M965" s="7">
        <v>45731</v>
      </c>
      <c r="N965" s="7">
        <v>45733</v>
      </c>
      <c r="O965" s="8">
        <v>2</v>
      </c>
      <c r="P965" t="str">
        <f t="shared" si="15"/>
        <v>On Delivery</v>
      </c>
    </row>
    <row r="966" spans="1:16" x14ac:dyDescent="0.3">
      <c r="A966" t="s">
        <v>97</v>
      </c>
      <c r="B966" s="6" t="s">
        <v>243</v>
      </c>
      <c r="C966" t="s">
        <v>53</v>
      </c>
      <c r="D966" t="s">
        <v>35</v>
      </c>
      <c r="E966" t="s">
        <v>56</v>
      </c>
      <c r="F966">
        <v>22</v>
      </c>
      <c r="G966">
        <v>11362</v>
      </c>
      <c r="H966">
        <v>5</v>
      </c>
      <c r="I966">
        <v>12</v>
      </c>
      <c r="J966">
        <v>265961.7</v>
      </c>
      <c r="K966" t="s">
        <v>21</v>
      </c>
      <c r="L966" t="s">
        <v>26</v>
      </c>
      <c r="M966" s="7">
        <v>45799</v>
      </c>
      <c r="N966" s="7">
        <v>45801</v>
      </c>
      <c r="O966" s="8">
        <v>2</v>
      </c>
      <c r="P966" t="str">
        <f t="shared" si="15"/>
        <v>On Delivery</v>
      </c>
    </row>
    <row r="967" spans="1:16" x14ac:dyDescent="0.3">
      <c r="A967" t="s">
        <v>142</v>
      </c>
      <c r="B967" s="6" t="s">
        <v>243</v>
      </c>
      <c r="C967" t="s">
        <v>53</v>
      </c>
      <c r="D967" t="s">
        <v>35</v>
      </c>
      <c r="E967" t="s">
        <v>77</v>
      </c>
      <c r="F967">
        <v>20</v>
      </c>
      <c r="G967">
        <v>9549</v>
      </c>
      <c r="H967">
        <v>5</v>
      </c>
      <c r="I967">
        <v>28</v>
      </c>
      <c r="J967">
        <v>232231.67999999999</v>
      </c>
      <c r="K967" t="s">
        <v>21</v>
      </c>
      <c r="L967" t="s">
        <v>26</v>
      </c>
      <c r="M967" s="7">
        <v>45758</v>
      </c>
      <c r="N967" s="7">
        <v>45765</v>
      </c>
      <c r="O967" s="8">
        <v>7</v>
      </c>
      <c r="P967" t="str">
        <f t="shared" si="15"/>
        <v>Delayed</v>
      </c>
    </row>
    <row r="968" spans="1:16" x14ac:dyDescent="0.3">
      <c r="A968" t="s">
        <v>67</v>
      </c>
      <c r="B968" s="6" t="s">
        <v>242</v>
      </c>
      <c r="C968" t="s">
        <v>12</v>
      </c>
      <c r="D968" t="s">
        <v>24</v>
      </c>
      <c r="E968" t="s">
        <v>25</v>
      </c>
      <c r="F968">
        <v>33</v>
      </c>
      <c r="G968">
        <v>43818</v>
      </c>
      <c r="H968">
        <v>10</v>
      </c>
      <c r="I968">
        <v>28</v>
      </c>
      <c r="J968">
        <v>1665785.09</v>
      </c>
      <c r="K968" t="s">
        <v>15</v>
      </c>
      <c r="L968" t="s">
        <v>33</v>
      </c>
      <c r="M968" s="7">
        <v>45806</v>
      </c>
      <c r="N968" s="7">
        <v>45821</v>
      </c>
      <c r="O968" s="8">
        <v>15</v>
      </c>
      <c r="P968" t="str">
        <f t="shared" si="15"/>
        <v>Delayed</v>
      </c>
    </row>
    <row r="969" spans="1:16" x14ac:dyDescent="0.3">
      <c r="A969" t="s">
        <v>73</v>
      </c>
      <c r="B969" s="6" t="s">
        <v>238</v>
      </c>
      <c r="C969" t="s">
        <v>58</v>
      </c>
      <c r="D969" t="s">
        <v>29</v>
      </c>
      <c r="E969" t="s">
        <v>30</v>
      </c>
      <c r="F969">
        <v>40</v>
      </c>
      <c r="G969">
        <v>24728</v>
      </c>
      <c r="H969">
        <v>10</v>
      </c>
      <c r="I969">
        <v>12</v>
      </c>
      <c r="J969">
        <v>997032.95999999996</v>
      </c>
      <c r="K969" t="s">
        <v>37</v>
      </c>
      <c r="L969" t="s">
        <v>33</v>
      </c>
      <c r="M969" s="7">
        <v>45713</v>
      </c>
      <c r="N969" s="7">
        <v>45727</v>
      </c>
      <c r="O969" s="8">
        <v>14</v>
      </c>
      <c r="P969" t="str">
        <f t="shared" si="15"/>
        <v>Delayed</v>
      </c>
    </row>
    <row r="970" spans="1:16" x14ac:dyDescent="0.3">
      <c r="A970" t="s">
        <v>187</v>
      </c>
      <c r="B970" s="6" t="s">
        <v>246</v>
      </c>
      <c r="C970" t="s">
        <v>80</v>
      </c>
      <c r="D970" t="s">
        <v>29</v>
      </c>
      <c r="E970" t="s">
        <v>30</v>
      </c>
      <c r="F970">
        <v>18</v>
      </c>
      <c r="G970">
        <v>68846</v>
      </c>
      <c r="H970">
        <v>5</v>
      </c>
      <c r="I970">
        <v>28</v>
      </c>
      <c r="J970">
        <v>1506901.25</v>
      </c>
      <c r="K970" t="s">
        <v>37</v>
      </c>
      <c r="L970" t="s">
        <v>33</v>
      </c>
      <c r="M970" s="7">
        <v>45673</v>
      </c>
      <c r="N970" s="7">
        <v>45687</v>
      </c>
      <c r="O970" s="8">
        <v>14</v>
      </c>
      <c r="P970" t="str">
        <f t="shared" si="15"/>
        <v>Delayed</v>
      </c>
    </row>
    <row r="971" spans="1:16" x14ac:dyDescent="0.3">
      <c r="A971" t="s">
        <v>125</v>
      </c>
      <c r="B971" s="6" t="s">
        <v>239</v>
      </c>
      <c r="C971" t="s">
        <v>23</v>
      </c>
      <c r="D971" t="s">
        <v>13</v>
      </c>
      <c r="E971" t="s">
        <v>32</v>
      </c>
      <c r="F971">
        <v>26</v>
      </c>
      <c r="G971">
        <v>81172</v>
      </c>
      <c r="H971">
        <v>10</v>
      </c>
      <c r="I971">
        <v>28</v>
      </c>
      <c r="J971">
        <v>2431263.7400000002</v>
      </c>
      <c r="K971" t="s">
        <v>46</v>
      </c>
      <c r="L971" t="s">
        <v>26</v>
      </c>
      <c r="M971" s="7">
        <v>45770</v>
      </c>
      <c r="N971" s="7">
        <v>45776</v>
      </c>
      <c r="O971" s="8">
        <v>6</v>
      </c>
      <c r="P971" t="str">
        <f t="shared" si="15"/>
        <v>Delayed</v>
      </c>
    </row>
    <row r="972" spans="1:16" x14ac:dyDescent="0.3">
      <c r="A972" t="s">
        <v>143</v>
      </c>
      <c r="B972" s="6" t="s">
        <v>244</v>
      </c>
      <c r="C972" t="s">
        <v>70</v>
      </c>
      <c r="D972" t="s">
        <v>35</v>
      </c>
      <c r="E972" t="s">
        <v>77</v>
      </c>
      <c r="F972">
        <v>24</v>
      </c>
      <c r="G972">
        <v>50699</v>
      </c>
      <c r="H972">
        <v>5</v>
      </c>
      <c r="I972">
        <v>28</v>
      </c>
      <c r="J972">
        <v>1479599.62</v>
      </c>
      <c r="K972" t="s">
        <v>46</v>
      </c>
      <c r="L972" t="s">
        <v>38</v>
      </c>
      <c r="M972" s="7">
        <v>45679</v>
      </c>
      <c r="N972" s="7">
        <v>45681</v>
      </c>
      <c r="O972" s="8">
        <v>2</v>
      </c>
      <c r="P972" t="str">
        <f t="shared" si="15"/>
        <v>On Delivery</v>
      </c>
    </row>
    <row r="973" spans="1:16" x14ac:dyDescent="0.3">
      <c r="A973" t="s">
        <v>140</v>
      </c>
      <c r="B973" s="6" t="s">
        <v>242</v>
      </c>
      <c r="C973" t="s">
        <v>12</v>
      </c>
      <c r="D973" t="s">
        <v>48</v>
      </c>
      <c r="E973" t="s">
        <v>59</v>
      </c>
      <c r="F973">
        <v>27</v>
      </c>
      <c r="G973">
        <v>12386</v>
      </c>
      <c r="H973">
        <v>0</v>
      </c>
      <c r="I973">
        <v>18</v>
      </c>
      <c r="J973">
        <v>394617.96</v>
      </c>
      <c r="K973" t="s">
        <v>37</v>
      </c>
      <c r="L973" t="s">
        <v>38</v>
      </c>
      <c r="M973" s="7">
        <v>45778</v>
      </c>
      <c r="N973" s="7">
        <v>45787</v>
      </c>
      <c r="O973" s="8">
        <v>9</v>
      </c>
      <c r="P973" t="str">
        <f t="shared" si="15"/>
        <v>Delayed</v>
      </c>
    </row>
    <row r="974" spans="1:16" x14ac:dyDescent="0.3">
      <c r="A974" t="s">
        <v>139</v>
      </c>
      <c r="B974" s="6" t="s">
        <v>245</v>
      </c>
      <c r="C974" t="s">
        <v>18</v>
      </c>
      <c r="D974" t="s">
        <v>35</v>
      </c>
      <c r="E974" t="s">
        <v>56</v>
      </c>
      <c r="F974">
        <v>12</v>
      </c>
      <c r="G974">
        <v>23694</v>
      </c>
      <c r="H974">
        <v>10</v>
      </c>
      <c r="I974">
        <v>12</v>
      </c>
      <c r="J974">
        <v>286602.62</v>
      </c>
      <c r="K974" t="s">
        <v>46</v>
      </c>
      <c r="L974" t="s">
        <v>33</v>
      </c>
      <c r="M974" s="7">
        <v>45791</v>
      </c>
      <c r="N974" s="7">
        <v>45793</v>
      </c>
      <c r="O974" s="8">
        <v>2</v>
      </c>
      <c r="P974" t="str">
        <f t="shared" si="15"/>
        <v>On Delivery</v>
      </c>
    </row>
    <row r="975" spans="1:16" x14ac:dyDescent="0.3">
      <c r="A975" t="s">
        <v>78</v>
      </c>
      <c r="B975" s="6" t="s">
        <v>241</v>
      </c>
      <c r="C975" t="s">
        <v>42</v>
      </c>
      <c r="D975" t="s">
        <v>35</v>
      </c>
      <c r="E975" t="s">
        <v>56</v>
      </c>
      <c r="F975">
        <v>15</v>
      </c>
      <c r="G975">
        <v>57417</v>
      </c>
      <c r="H975">
        <v>12</v>
      </c>
      <c r="I975">
        <v>18</v>
      </c>
      <c r="J975">
        <v>894327.19</v>
      </c>
      <c r="K975" t="s">
        <v>21</v>
      </c>
      <c r="L975" t="s">
        <v>16</v>
      </c>
      <c r="M975" s="7">
        <v>45839</v>
      </c>
      <c r="N975" s="7">
        <v>45841</v>
      </c>
      <c r="O975" s="8">
        <v>2</v>
      </c>
      <c r="P975" t="str">
        <f t="shared" si="15"/>
        <v>On Delivery</v>
      </c>
    </row>
    <row r="976" spans="1:16" x14ac:dyDescent="0.3">
      <c r="A976" t="s">
        <v>182</v>
      </c>
      <c r="B976" s="6" t="s">
        <v>241</v>
      </c>
      <c r="C976" t="s">
        <v>42</v>
      </c>
      <c r="D976" t="s">
        <v>35</v>
      </c>
      <c r="E976" t="s">
        <v>77</v>
      </c>
      <c r="F976">
        <v>17</v>
      </c>
      <c r="G976">
        <v>9524</v>
      </c>
      <c r="H976">
        <v>5</v>
      </c>
      <c r="I976">
        <v>18</v>
      </c>
      <c r="J976">
        <v>181498.87</v>
      </c>
      <c r="K976" t="s">
        <v>46</v>
      </c>
      <c r="L976" t="s">
        <v>26</v>
      </c>
      <c r="M976" s="7">
        <v>45844</v>
      </c>
      <c r="N976" s="7">
        <v>45852</v>
      </c>
      <c r="O976" s="8">
        <v>8</v>
      </c>
      <c r="P976" t="str">
        <f t="shared" si="15"/>
        <v>Delayed</v>
      </c>
    </row>
    <row r="977" spans="1:16" x14ac:dyDescent="0.3">
      <c r="A977" t="s">
        <v>61</v>
      </c>
      <c r="B977" s="6" t="s">
        <v>238</v>
      </c>
      <c r="C977" t="s">
        <v>58</v>
      </c>
      <c r="D977" t="s">
        <v>19</v>
      </c>
      <c r="E977" t="s">
        <v>20</v>
      </c>
      <c r="F977">
        <v>6</v>
      </c>
      <c r="G977">
        <v>3186</v>
      </c>
      <c r="H977">
        <v>0</v>
      </c>
      <c r="I977">
        <v>12</v>
      </c>
      <c r="J977">
        <v>21409.919999999998</v>
      </c>
      <c r="K977" t="s">
        <v>15</v>
      </c>
      <c r="L977" t="s">
        <v>16</v>
      </c>
      <c r="M977" s="7">
        <v>45769</v>
      </c>
      <c r="N977" s="7">
        <v>45782</v>
      </c>
      <c r="O977" s="8">
        <v>13</v>
      </c>
      <c r="P977" t="str">
        <f t="shared" si="15"/>
        <v>Delayed</v>
      </c>
    </row>
    <row r="978" spans="1:16" x14ac:dyDescent="0.3">
      <c r="A978" t="s">
        <v>196</v>
      </c>
      <c r="B978" s="6" t="s">
        <v>240</v>
      </c>
      <c r="C978" t="s">
        <v>28</v>
      </c>
      <c r="D978" t="s">
        <v>48</v>
      </c>
      <c r="E978" t="s">
        <v>59</v>
      </c>
      <c r="F978">
        <v>3</v>
      </c>
      <c r="G978">
        <v>62242</v>
      </c>
      <c r="H978">
        <v>5</v>
      </c>
      <c r="I978">
        <v>12</v>
      </c>
      <c r="J978">
        <v>198676.46</v>
      </c>
      <c r="K978" t="s">
        <v>21</v>
      </c>
      <c r="L978" t="s">
        <v>26</v>
      </c>
      <c r="M978" s="7">
        <v>45813</v>
      </c>
      <c r="N978" s="7">
        <v>45826</v>
      </c>
      <c r="O978" s="8">
        <v>13</v>
      </c>
      <c r="P978" t="str">
        <f t="shared" si="15"/>
        <v>Delayed</v>
      </c>
    </row>
    <row r="979" spans="1:16" x14ac:dyDescent="0.3">
      <c r="A979" t="s">
        <v>93</v>
      </c>
      <c r="B979" s="6" t="s">
        <v>238</v>
      </c>
      <c r="C979" t="s">
        <v>58</v>
      </c>
      <c r="D979" t="s">
        <v>13</v>
      </c>
      <c r="E979" t="s">
        <v>14</v>
      </c>
      <c r="F979">
        <v>31</v>
      </c>
      <c r="G979">
        <v>3265</v>
      </c>
      <c r="H979">
        <v>10</v>
      </c>
      <c r="I979">
        <v>18</v>
      </c>
      <c r="J979">
        <v>107490.33</v>
      </c>
      <c r="K979" t="s">
        <v>21</v>
      </c>
      <c r="L979" t="s">
        <v>38</v>
      </c>
      <c r="M979" s="7">
        <v>45794</v>
      </c>
      <c r="N979" s="7">
        <v>45797</v>
      </c>
      <c r="O979" s="8">
        <v>3</v>
      </c>
      <c r="P979" t="str">
        <f t="shared" si="15"/>
        <v>On Delivery</v>
      </c>
    </row>
    <row r="980" spans="1:16" x14ac:dyDescent="0.3">
      <c r="A980" t="s">
        <v>27</v>
      </c>
      <c r="B980" s="6" t="s">
        <v>245</v>
      </c>
      <c r="C980" t="s">
        <v>18</v>
      </c>
      <c r="D980" t="s">
        <v>48</v>
      </c>
      <c r="E980" t="s">
        <v>59</v>
      </c>
      <c r="F980">
        <v>19</v>
      </c>
      <c r="G980">
        <v>6165</v>
      </c>
      <c r="H980">
        <v>10</v>
      </c>
      <c r="I980">
        <v>12</v>
      </c>
      <c r="J980">
        <v>118072.08</v>
      </c>
      <c r="K980" t="s">
        <v>15</v>
      </c>
      <c r="L980" t="s">
        <v>26</v>
      </c>
      <c r="M980" s="7">
        <v>45803</v>
      </c>
      <c r="N980" s="7">
        <v>45809</v>
      </c>
      <c r="O980" s="8">
        <v>6</v>
      </c>
      <c r="P980" t="str">
        <f t="shared" si="15"/>
        <v>Delayed</v>
      </c>
    </row>
    <row r="981" spans="1:16" x14ac:dyDescent="0.3">
      <c r="A981" t="s">
        <v>193</v>
      </c>
      <c r="B981" s="6" t="s">
        <v>240</v>
      </c>
      <c r="C981" t="s">
        <v>28</v>
      </c>
      <c r="D981" t="s">
        <v>13</v>
      </c>
      <c r="E981" t="s">
        <v>14</v>
      </c>
      <c r="F981">
        <v>28</v>
      </c>
      <c r="G981">
        <v>77817</v>
      </c>
      <c r="H981">
        <v>5</v>
      </c>
      <c r="I981">
        <v>12</v>
      </c>
      <c r="J981">
        <v>2318324.06</v>
      </c>
      <c r="K981" t="s">
        <v>46</v>
      </c>
      <c r="L981" t="s">
        <v>26</v>
      </c>
      <c r="M981" s="7">
        <v>45682</v>
      </c>
      <c r="N981" s="7">
        <v>45690</v>
      </c>
      <c r="O981" s="8">
        <v>8</v>
      </c>
      <c r="P981" t="str">
        <f t="shared" si="15"/>
        <v>Delayed</v>
      </c>
    </row>
    <row r="982" spans="1:16" x14ac:dyDescent="0.3">
      <c r="A982" t="s">
        <v>121</v>
      </c>
      <c r="B982" s="6" t="s">
        <v>240</v>
      </c>
      <c r="C982" t="s">
        <v>28</v>
      </c>
      <c r="D982" t="s">
        <v>48</v>
      </c>
      <c r="E982" t="s">
        <v>49</v>
      </c>
      <c r="F982">
        <v>34</v>
      </c>
      <c r="G982">
        <v>47074</v>
      </c>
      <c r="H982">
        <v>5</v>
      </c>
      <c r="I982">
        <v>12</v>
      </c>
      <c r="J982">
        <v>1702949.02</v>
      </c>
      <c r="K982" t="s">
        <v>15</v>
      </c>
      <c r="L982" t="s">
        <v>26</v>
      </c>
      <c r="M982" s="7">
        <v>45788</v>
      </c>
      <c r="N982" s="7">
        <v>45791</v>
      </c>
      <c r="O982" s="8">
        <v>3</v>
      </c>
      <c r="P982" t="str">
        <f t="shared" si="15"/>
        <v>On Delivery</v>
      </c>
    </row>
    <row r="983" spans="1:16" x14ac:dyDescent="0.3">
      <c r="A983" t="s">
        <v>216</v>
      </c>
      <c r="B983" s="6" t="s">
        <v>243</v>
      </c>
      <c r="C983" t="s">
        <v>53</v>
      </c>
      <c r="D983" t="s">
        <v>48</v>
      </c>
      <c r="E983" t="s">
        <v>59</v>
      </c>
      <c r="F983">
        <v>16</v>
      </c>
      <c r="G983">
        <v>22704</v>
      </c>
      <c r="H983">
        <v>12</v>
      </c>
      <c r="I983">
        <v>28</v>
      </c>
      <c r="J983">
        <v>409180.57</v>
      </c>
      <c r="K983" t="s">
        <v>46</v>
      </c>
      <c r="L983" t="s">
        <v>16</v>
      </c>
      <c r="M983" s="7">
        <v>45824</v>
      </c>
      <c r="N983" s="7">
        <v>45838</v>
      </c>
      <c r="O983" s="8">
        <v>14</v>
      </c>
      <c r="P983" t="str">
        <f t="shared" si="15"/>
        <v>Delayed</v>
      </c>
    </row>
    <row r="984" spans="1:16" x14ac:dyDescent="0.3">
      <c r="A984" t="s">
        <v>73</v>
      </c>
      <c r="B984" s="6" t="s">
        <v>246</v>
      </c>
      <c r="C984" t="s">
        <v>80</v>
      </c>
      <c r="D984" t="s">
        <v>13</v>
      </c>
      <c r="E984" t="s">
        <v>32</v>
      </c>
      <c r="F984">
        <v>5</v>
      </c>
      <c r="G984">
        <v>19880</v>
      </c>
      <c r="H984">
        <v>10</v>
      </c>
      <c r="I984">
        <v>12</v>
      </c>
      <c r="J984">
        <v>100195.2</v>
      </c>
      <c r="K984" t="s">
        <v>37</v>
      </c>
      <c r="L984" t="s">
        <v>16</v>
      </c>
      <c r="M984" s="7">
        <v>45714</v>
      </c>
      <c r="N984" s="7">
        <v>45726</v>
      </c>
      <c r="O984" s="8">
        <v>12</v>
      </c>
      <c r="P984" t="str">
        <f t="shared" si="15"/>
        <v>Delayed</v>
      </c>
    </row>
    <row r="985" spans="1:16" x14ac:dyDescent="0.3">
      <c r="A985" t="s">
        <v>73</v>
      </c>
      <c r="B985" s="6" t="s">
        <v>245</v>
      </c>
      <c r="C985" t="s">
        <v>18</v>
      </c>
      <c r="D985" t="s">
        <v>13</v>
      </c>
      <c r="E985" t="s">
        <v>14</v>
      </c>
      <c r="F985">
        <v>12</v>
      </c>
      <c r="G985">
        <v>14408</v>
      </c>
      <c r="H985">
        <v>0</v>
      </c>
      <c r="I985">
        <v>28</v>
      </c>
      <c r="J985">
        <v>221306.88</v>
      </c>
      <c r="K985" t="s">
        <v>46</v>
      </c>
      <c r="L985" t="s">
        <v>16</v>
      </c>
      <c r="M985" s="7">
        <v>45716</v>
      </c>
      <c r="N985" s="7">
        <v>45719</v>
      </c>
      <c r="O985" s="8">
        <v>3</v>
      </c>
      <c r="P985" t="str">
        <f t="shared" si="15"/>
        <v>On Delivery</v>
      </c>
    </row>
    <row r="986" spans="1:16" x14ac:dyDescent="0.3">
      <c r="A986" t="s">
        <v>182</v>
      </c>
      <c r="B986" s="6" t="s">
        <v>246</v>
      </c>
      <c r="C986" t="s">
        <v>80</v>
      </c>
      <c r="D986" t="s">
        <v>35</v>
      </c>
      <c r="E986" t="s">
        <v>77</v>
      </c>
      <c r="F986">
        <v>1</v>
      </c>
      <c r="G986">
        <v>23607</v>
      </c>
      <c r="H986">
        <v>12</v>
      </c>
      <c r="I986">
        <v>28</v>
      </c>
      <c r="J986">
        <v>26590.92</v>
      </c>
      <c r="K986" t="s">
        <v>15</v>
      </c>
      <c r="L986" t="s">
        <v>38</v>
      </c>
      <c r="M986" s="7">
        <v>45848</v>
      </c>
      <c r="N986" s="7">
        <v>45852</v>
      </c>
      <c r="O986" s="8">
        <v>4</v>
      </c>
      <c r="P986" t="str">
        <f t="shared" si="15"/>
        <v>Delayed</v>
      </c>
    </row>
    <row r="987" spans="1:16" x14ac:dyDescent="0.3">
      <c r="A987" t="s">
        <v>192</v>
      </c>
      <c r="B987" s="6" t="s">
        <v>246</v>
      </c>
      <c r="C987" t="s">
        <v>80</v>
      </c>
      <c r="D987" t="s">
        <v>24</v>
      </c>
      <c r="E987" t="s">
        <v>25</v>
      </c>
      <c r="F987">
        <v>27</v>
      </c>
      <c r="G987">
        <v>78198</v>
      </c>
      <c r="H987">
        <v>5</v>
      </c>
      <c r="I987">
        <v>18</v>
      </c>
      <c r="J987">
        <v>2366818.87</v>
      </c>
      <c r="K987" t="s">
        <v>46</v>
      </c>
      <c r="L987" t="s">
        <v>33</v>
      </c>
      <c r="M987" s="7">
        <v>45811</v>
      </c>
      <c r="N987" s="7">
        <v>45823</v>
      </c>
      <c r="O987" s="8">
        <v>12</v>
      </c>
      <c r="P987" t="str">
        <f t="shared" si="15"/>
        <v>Delayed</v>
      </c>
    </row>
    <row r="988" spans="1:16" x14ac:dyDescent="0.3">
      <c r="A988" t="s">
        <v>206</v>
      </c>
      <c r="B988" s="6" t="s">
        <v>240</v>
      </c>
      <c r="C988" t="s">
        <v>28</v>
      </c>
      <c r="D988" t="s">
        <v>24</v>
      </c>
      <c r="E988" t="s">
        <v>25</v>
      </c>
      <c r="F988">
        <v>5</v>
      </c>
      <c r="G988">
        <v>11542</v>
      </c>
      <c r="H988">
        <v>10</v>
      </c>
      <c r="I988">
        <v>18</v>
      </c>
      <c r="J988">
        <v>61288.02</v>
      </c>
      <c r="K988" t="s">
        <v>21</v>
      </c>
      <c r="L988" t="s">
        <v>38</v>
      </c>
      <c r="M988" s="7">
        <v>45783</v>
      </c>
      <c r="N988" s="7">
        <v>45792</v>
      </c>
      <c r="O988" s="8">
        <v>9</v>
      </c>
      <c r="P988" t="str">
        <f t="shared" si="15"/>
        <v>Delayed</v>
      </c>
    </row>
    <row r="989" spans="1:16" x14ac:dyDescent="0.3">
      <c r="A989" t="s">
        <v>50</v>
      </c>
      <c r="B989" s="6" t="s">
        <v>244</v>
      </c>
      <c r="C989" t="s">
        <v>70</v>
      </c>
      <c r="D989" t="s">
        <v>13</v>
      </c>
      <c r="E989" t="s">
        <v>32</v>
      </c>
      <c r="F989">
        <v>16</v>
      </c>
      <c r="G989">
        <v>84537</v>
      </c>
      <c r="H989">
        <v>5</v>
      </c>
      <c r="I989">
        <v>28</v>
      </c>
      <c r="J989">
        <v>1644751.87</v>
      </c>
      <c r="K989" t="s">
        <v>46</v>
      </c>
      <c r="L989" t="s">
        <v>26</v>
      </c>
      <c r="M989" s="7">
        <v>45824</v>
      </c>
      <c r="N989" s="7">
        <v>45829</v>
      </c>
      <c r="O989" s="8">
        <v>5</v>
      </c>
      <c r="P989" t="str">
        <f t="shared" si="15"/>
        <v>Delayed</v>
      </c>
    </row>
    <row r="990" spans="1:16" x14ac:dyDescent="0.3">
      <c r="A990" t="s">
        <v>54</v>
      </c>
      <c r="B990" s="6" t="s">
        <v>239</v>
      </c>
      <c r="C990" t="s">
        <v>23</v>
      </c>
      <c r="D990" t="s">
        <v>29</v>
      </c>
      <c r="E990" t="s">
        <v>30</v>
      </c>
      <c r="F990">
        <v>32</v>
      </c>
      <c r="G990">
        <v>19780</v>
      </c>
      <c r="H990">
        <v>10</v>
      </c>
      <c r="I990">
        <v>18</v>
      </c>
      <c r="J990">
        <v>672203.52</v>
      </c>
      <c r="K990" t="s">
        <v>46</v>
      </c>
      <c r="L990" t="s">
        <v>16</v>
      </c>
      <c r="M990" s="7">
        <v>45743</v>
      </c>
      <c r="N990" s="7">
        <v>45743</v>
      </c>
      <c r="O990" s="8">
        <v>0</v>
      </c>
      <c r="P990" t="str">
        <f t="shared" si="15"/>
        <v>Delivered</v>
      </c>
    </row>
    <row r="991" spans="1:16" x14ac:dyDescent="0.3">
      <c r="A991" t="s">
        <v>93</v>
      </c>
      <c r="B991" s="6" t="s">
        <v>241</v>
      </c>
      <c r="C991" t="s">
        <v>42</v>
      </c>
      <c r="D991" t="s">
        <v>35</v>
      </c>
      <c r="E991" t="s">
        <v>56</v>
      </c>
      <c r="F991">
        <v>7</v>
      </c>
      <c r="G991">
        <v>7418</v>
      </c>
      <c r="H991">
        <v>12</v>
      </c>
      <c r="I991">
        <v>12</v>
      </c>
      <c r="J991">
        <v>51178.27</v>
      </c>
      <c r="K991" t="s">
        <v>37</v>
      </c>
      <c r="L991" t="s">
        <v>38</v>
      </c>
      <c r="M991" s="7">
        <v>45793</v>
      </c>
      <c r="N991" s="7">
        <v>45801</v>
      </c>
      <c r="O991" s="8">
        <v>8</v>
      </c>
      <c r="P991" t="str">
        <f t="shared" si="15"/>
        <v>Delayed</v>
      </c>
    </row>
    <row r="992" spans="1:16" x14ac:dyDescent="0.3">
      <c r="A992" t="s">
        <v>68</v>
      </c>
      <c r="B992" s="6" t="s">
        <v>242</v>
      </c>
      <c r="C992" t="s">
        <v>12</v>
      </c>
      <c r="D992" t="s">
        <v>48</v>
      </c>
      <c r="E992" t="s">
        <v>59</v>
      </c>
      <c r="F992">
        <v>5</v>
      </c>
      <c r="G992">
        <v>37092</v>
      </c>
      <c r="H992">
        <v>5</v>
      </c>
      <c r="I992">
        <v>28</v>
      </c>
      <c r="J992">
        <v>225519.35999999999</v>
      </c>
      <c r="K992" t="s">
        <v>21</v>
      </c>
      <c r="L992" t="s">
        <v>38</v>
      </c>
      <c r="M992" s="7">
        <v>45677</v>
      </c>
      <c r="N992" s="7">
        <v>45681</v>
      </c>
      <c r="O992" s="8">
        <v>4</v>
      </c>
      <c r="P992" t="str">
        <f t="shared" si="15"/>
        <v>Delayed</v>
      </c>
    </row>
    <row r="993" spans="1:16" x14ac:dyDescent="0.3">
      <c r="A993" t="s">
        <v>221</v>
      </c>
      <c r="B993" s="6" t="s">
        <v>241</v>
      </c>
      <c r="C993" t="s">
        <v>42</v>
      </c>
      <c r="D993" t="s">
        <v>35</v>
      </c>
      <c r="E993" t="s">
        <v>77</v>
      </c>
      <c r="F993">
        <v>39</v>
      </c>
      <c r="G993">
        <v>9044</v>
      </c>
      <c r="H993">
        <v>5</v>
      </c>
      <c r="I993">
        <v>18</v>
      </c>
      <c r="J993">
        <v>395394.64</v>
      </c>
      <c r="K993" t="s">
        <v>21</v>
      </c>
      <c r="L993" t="s">
        <v>38</v>
      </c>
      <c r="M993" s="7">
        <v>45794</v>
      </c>
      <c r="N993" s="7">
        <v>45794</v>
      </c>
      <c r="O993" s="8">
        <v>0</v>
      </c>
      <c r="P993" t="str">
        <f t="shared" si="15"/>
        <v>Delivered</v>
      </c>
    </row>
    <row r="994" spans="1:16" x14ac:dyDescent="0.3">
      <c r="A994" t="s">
        <v>163</v>
      </c>
      <c r="B994" s="6" t="s">
        <v>246</v>
      </c>
      <c r="C994" t="s">
        <v>80</v>
      </c>
      <c r="D994" t="s">
        <v>62</v>
      </c>
      <c r="E994" t="s">
        <v>63</v>
      </c>
      <c r="F994">
        <v>30</v>
      </c>
      <c r="G994">
        <v>55678</v>
      </c>
      <c r="H994">
        <v>5</v>
      </c>
      <c r="I994">
        <v>12</v>
      </c>
      <c r="J994">
        <v>1777241.76</v>
      </c>
      <c r="K994" t="s">
        <v>15</v>
      </c>
      <c r="L994" t="s">
        <v>38</v>
      </c>
      <c r="M994" s="7">
        <v>45707</v>
      </c>
      <c r="N994" s="7">
        <v>45718</v>
      </c>
      <c r="O994" s="8">
        <v>11</v>
      </c>
      <c r="P994" t="str">
        <f t="shared" si="15"/>
        <v>Delayed</v>
      </c>
    </row>
    <row r="995" spans="1:16" x14ac:dyDescent="0.3">
      <c r="A995" t="s">
        <v>210</v>
      </c>
      <c r="B995" s="6" t="s">
        <v>242</v>
      </c>
      <c r="C995" t="s">
        <v>12</v>
      </c>
      <c r="D995" t="s">
        <v>62</v>
      </c>
      <c r="E995" t="s">
        <v>63</v>
      </c>
      <c r="F995">
        <v>23</v>
      </c>
      <c r="G995">
        <v>84694</v>
      </c>
      <c r="H995">
        <v>10</v>
      </c>
      <c r="I995">
        <v>12</v>
      </c>
      <c r="J995">
        <v>1963545.7</v>
      </c>
      <c r="K995" t="s">
        <v>46</v>
      </c>
      <c r="L995" t="s">
        <v>33</v>
      </c>
      <c r="M995" s="7">
        <v>45828</v>
      </c>
      <c r="N995" s="7">
        <v>45842</v>
      </c>
      <c r="O995" s="8">
        <v>14</v>
      </c>
      <c r="P995" t="str">
        <f t="shared" si="15"/>
        <v>Delayed</v>
      </c>
    </row>
    <row r="996" spans="1:16" x14ac:dyDescent="0.3">
      <c r="A996" t="s">
        <v>139</v>
      </c>
      <c r="B996" s="6" t="s">
        <v>245</v>
      </c>
      <c r="C996" t="s">
        <v>18</v>
      </c>
      <c r="D996" t="s">
        <v>62</v>
      </c>
      <c r="E996" t="s">
        <v>63</v>
      </c>
      <c r="F996">
        <v>23</v>
      </c>
      <c r="G996">
        <v>26478</v>
      </c>
      <c r="H996">
        <v>5</v>
      </c>
      <c r="I996">
        <v>18</v>
      </c>
      <c r="J996">
        <v>682682.27</v>
      </c>
      <c r="K996" t="s">
        <v>46</v>
      </c>
      <c r="L996" t="s">
        <v>38</v>
      </c>
      <c r="M996" s="7">
        <v>45788</v>
      </c>
      <c r="N996" s="7">
        <v>45803</v>
      </c>
      <c r="O996" s="8">
        <v>15</v>
      </c>
      <c r="P996" t="str">
        <f t="shared" si="15"/>
        <v>Delayed</v>
      </c>
    </row>
    <row r="997" spans="1:16" x14ac:dyDescent="0.3">
      <c r="A997" t="s">
        <v>152</v>
      </c>
      <c r="B997" s="6" t="s">
        <v>241</v>
      </c>
      <c r="C997" t="s">
        <v>42</v>
      </c>
      <c r="D997" t="s">
        <v>24</v>
      </c>
      <c r="E997" t="s">
        <v>76</v>
      </c>
      <c r="F997">
        <v>34</v>
      </c>
      <c r="G997">
        <v>68010</v>
      </c>
      <c r="H997">
        <v>10</v>
      </c>
      <c r="I997">
        <v>12</v>
      </c>
      <c r="J997">
        <v>2330838.7200000002</v>
      </c>
      <c r="K997" t="s">
        <v>37</v>
      </c>
      <c r="L997" t="s">
        <v>38</v>
      </c>
      <c r="M997" s="7">
        <v>45777</v>
      </c>
      <c r="N997" s="7">
        <v>45792</v>
      </c>
      <c r="O997" s="8">
        <v>15</v>
      </c>
      <c r="P997" t="str">
        <f t="shared" si="15"/>
        <v>Delayed</v>
      </c>
    </row>
    <row r="998" spans="1:16" x14ac:dyDescent="0.3">
      <c r="A998" t="s">
        <v>159</v>
      </c>
      <c r="B998" s="6" t="s">
        <v>243</v>
      </c>
      <c r="C998" t="s">
        <v>53</v>
      </c>
      <c r="D998" t="s">
        <v>13</v>
      </c>
      <c r="E998" t="s">
        <v>32</v>
      </c>
      <c r="F998">
        <v>22</v>
      </c>
      <c r="G998">
        <v>29999</v>
      </c>
      <c r="H998">
        <v>0</v>
      </c>
      <c r="I998">
        <v>18</v>
      </c>
      <c r="J998">
        <v>778774.04</v>
      </c>
      <c r="K998" t="s">
        <v>15</v>
      </c>
      <c r="L998" t="s">
        <v>38</v>
      </c>
      <c r="M998" s="7">
        <v>45843</v>
      </c>
      <c r="N998" s="7">
        <v>45855</v>
      </c>
      <c r="O998" s="8">
        <v>12</v>
      </c>
      <c r="P998" t="str">
        <f t="shared" si="15"/>
        <v>Delayed</v>
      </c>
    </row>
    <row r="999" spans="1:16" x14ac:dyDescent="0.3">
      <c r="A999" t="s">
        <v>177</v>
      </c>
      <c r="B999" s="6" t="s">
        <v>244</v>
      </c>
      <c r="C999" t="s">
        <v>70</v>
      </c>
      <c r="D999" t="s">
        <v>13</v>
      </c>
      <c r="E999" t="s">
        <v>14</v>
      </c>
      <c r="F999">
        <v>37</v>
      </c>
      <c r="G999">
        <v>75622</v>
      </c>
      <c r="H999">
        <v>5</v>
      </c>
      <c r="I999">
        <v>18</v>
      </c>
      <c r="J999">
        <v>3136573.69</v>
      </c>
      <c r="K999" t="s">
        <v>46</v>
      </c>
      <c r="L999" t="s">
        <v>33</v>
      </c>
      <c r="M999" s="7">
        <v>45819</v>
      </c>
      <c r="N999" s="7">
        <v>45834</v>
      </c>
      <c r="O999" s="8">
        <v>15</v>
      </c>
      <c r="P999" t="str">
        <f t="shared" si="15"/>
        <v>Delayed</v>
      </c>
    </row>
    <row r="1000" spans="1:16" x14ac:dyDescent="0.3">
      <c r="A1000" t="s">
        <v>196</v>
      </c>
      <c r="B1000" s="6" t="s">
        <v>241</v>
      </c>
      <c r="C1000" t="s">
        <v>42</v>
      </c>
      <c r="D1000" t="s">
        <v>13</v>
      </c>
      <c r="E1000" t="s">
        <v>32</v>
      </c>
      <c r="F1000">
        <v>32</v>
      </c>
      <c r="G1000">
        <v>44325</v>
      </c>
      <c r="H1000">
        <v>12</v>
      </c>
      <c r="I1000">
        <v>18</v>
      </c>
      <c r="J1000">
        <v>1472866.56</v>
      </c>
      <c r="K1000" t="s">
        <v>37</v>
      </c>
      <c r="L1000" t="s">
        <v>16</v>
      </c>
      <c r="M1000" s="7">
        <v>45815</v>
      </c>
      <c r="N1000" s="7">
        <v>45826</v>
      </c>
      <c r="O1000" s="8">
        <v>11</v>
      </c>
      <c r="P1000" t="str">
        <f t="shared" si="15"/>
        <v>Delayed</v>
      </c>
    </row>
    <row r="1001" spans="1:16" x14ac:dyDescent="0.3">
      <c r="A1001" t="s">
        <v>191</v>
      </c>
      <c r="B1001" s="6" t="s">
        <v>242</v>
      </c>
      <c r="C1001" t="s">
        <v>12</v>
      </c>
      <c r="D1001" t="s">
        <v>13</v>
      </c>
      <c r="E1001" t="s">
        <v>14</v>
      </c>
      <c r="F1001">
        <v>20</v>
      </c>
      <c r="G1001">
        <v>64887</v>
      </c>
      <c r="H1001">
        <v>12</v>
      </c>
      <c r="I1001">
        <v>28</v>
      </c>
      <c r="J1001">
        <v>1461774.34</v>
      </c>
      <c r="K1001" t="s">
        <v>21</v>
      </c>
      <c r="L1001" t="s">
        <v>33</v>
      </c>
      <c r="M1001" s="7">
        <v>45681</v>
      </c>
      <c r="N1001" s="7">
        <v>45696</v>
      </c>
      <c r="O1001" s="8">
        <v>15</v>
      </c>
      <c r="P1001" t="str">
        <f t="shared" si="15"/>
        <v>Delayed</v>
      </c>
    </row>
  </sheetData>
  <pageMargins left="0.75" right="0.75" top="1" bottom="1" header="0.5" footer="0.5"/>
  <pageSetup orientation="portrait" r:id="rId6"/>
  <drawing r:id="rId7"/>
  <tableParts count="1">
    <tablePart r:id="rId8"/>
  </tableParts>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140"/>
  <sheetViews>
    <sheetView workbookViewId="0">
      <selection activeCell="H1" sqref="H1"/>
    </sheetView>
  </sheetViews>
  <sheetFormatPr defaultRowHeight="14.4" x14ac:dyDescent="0.3"/>
  <cols>
    <col min="1" max="1" width="15.88671875" customWidth="1"/>
    <col min="2" max="2" width="28.44140625" customWidth="1"/>
    <col min="3" max="3" width="16" customWidth="1"/>
    <col min="4" max="4" width="14.109375" bestFit="1" customWidth="1"/>
    <col min="5" max="5" width="6.21875" bestFit="1" customWidth="1"/>
    <col min="6" max="6" width="11.88671875" bestFit="1" customWidth="1"/>
    <col min="7" max="7" width="13" bestFit="1" customWidth="1"/>
    <col min="9" max="9" width="15.44140625" bestFit="1" customWidth="1"/>
    <col min="10" max="10" width="12.77734375" customWidth="1"/>
    <col min="11" max="11" width="16.88671875" customWidth="1"/>
  </cols>
  <sheetData>
    <row r="1" spans="1:12" x14ac:dyDescent="0.3">
      <c r="A1" t="s">
        <v>0</v>
      </c>
      <c r="B1" t="s">
        <v>1</v>
      </c>
      <c r="C1" t="s">
        <v>2</v>
      </c>
      <c r="D1" t="s">
        <v>3</v>
      </c>
      <c r="E1" t="s">
        <v>4</v>
      </c>
      <c r="F1" t="s">
        <v>5</v>
      </c>
      <c r="G1" t="s">
        <v>6</v>
      </c>
      <c r="H1" t="s">
        <v>7</v>
      </c>
      <c r="I1" t="s">
        <v>8</v>
      </c>
      <c r="J1" t="s">
        <v>9</v>
      </c>
      <c r="K1" t="s">
        <v>10</v>
      </c>
      <c r="L1" t="s">
        <v>251</v>
      </c>
    </row>
    <row r="2" spans="1:12" x14ac:dyDescent="0.3">
      <c r="A2" t="s">
        <v>147</v>
      </c>
      <c r="B2" t="s">
        <v>80</v>
      </c>
      <c r="C2" t="s">
        <v>35</v>
      </c>
      <c r="D2" t="s">
        <v>77</v>
      </c>
      <c r="E2">
        <v>2</v>
      </c>
      <c r="F2">
        <v>4521</v>
      </c>
      <c r="G2">
        <v>0</v>
      </c>
      <c r="H2">
        <v>28</v>
      </c>
      <c r="I2">
        <v>11573.76</v>
      </c>
      <c r="J2" t="s">
        <v>15</v>
      </c>
      <c r="K2" t="s">
        <v>16</v>
      </c>
      <c r="L2">
        <f>SUMIF(C:C,C2,F:F)</f>
        <v>646381</v>
      </c>
    </row>
    <row r="3" spans="1:12" x14ac:dyDescent="0.3">
      <c r="A3" t="s">
        <v>121</v>
      </c>
      <c r="B3" t="s">
        <v>80</v>
      </c>
      <c r="C3" t="s">
        <v>62</v>
      </c>
      <c r="D3" t="s">
        <v>63</v>
      </c>
      <c r="E3">
        <v>37</v>
      </c>
      <c r="F3">
        <v>44734</v>
      </c>
      <c r="G3">
        <v>12</v>
      </c>
      <c r="H3">
        <v>28</v>
      </c>
      <c r="I3">
        <v>1864369.97</v>
      </c>
      <c r="J3" t="s">
        <v>37</v>
      </c>
      <c r="K3" t="s">
        <v>38</v>
      </c>
      <c r="L3">
        <f t="shared" ref="L3:L33" si="0">SUMIF(C:C,C3,F:F)</f>
        <v>652861</v>
      </c>
    </row>
    <row r="4" spans="1:12" x14ac:dyDescent="0.3">
      <c r="A4" t="s">
        <v>138</v>
      </c>
      <c r="B4" t="s">
        <v>80</v>
      </c>
      <c r="C4" t="s">
        <v>24</v>
      </c>
      <c r="D4" t="s">
        <v>25</v>
      </c>
      <c r="E4">
        <v>3</v>
      </c>
      <c r="F4">
        <v>22743</v>
      </c>
      <c r="G4">
        <v>10</v>
      </c>
      <c r="H4">
        <v>28</v>
      </c>
      <c r="I4">
        <v>78599.81</v>
      </c>
      <c r="J4" t="s">
        <v>21</v>
      </c>
      <c r="K4" t="s">
        <v>16</v>
      </c>
      <c r="L4">
        <f t="shared" si="0"/>
        <v>808969</v>
      </c>
    </row>
    <row r="5" spans="1:12" x14ac:dyDescent="0.3">
      <c r="A5" t="s">
        <v>223</v>
      </c>
      <c r="B5" t="s">
        <v>80</v>
      </c>
      <c r="C5" t="s">
        <v>35</v>
      </c>
      <c r="D5" t="s">
        <v>36</v>
      </c>
      <c r="E5">
        <v>2</v>
      </c>
      <c r="F5">
        <v>6341</v>
      </c>
      <c r="G5">
        <v>10</v>
      </c>
      <c r="H5">
        <v>28</v>
      </c>
      <c r="I5">
        <v>14609.66</v>
      </c>
      <c r="J5" t="s">
        <v>21</v>
      </c>
      <c r="K5" t="s">
        <v>16</v>
      </c>
      <c r="L5">
        <f t="shared" si="0"/>
        <v>646381</v>
      </c>
    </row>
    <row r="6" spans="1:12" x14ac:dyDescent="0.3">
      <c r="A6" t="s">
        <v>168</v>
      </c>
      <c r="B6" t="s">
        <v>80</v>
      </c>
      <c r="C6" t="s">
        <v>24</v>
      </c>
      <c r="D6" t="s">
        <v>76</v>
      </c>
      <c r="E6">
        <v>13</v>
      </c>
      <c r="F6">
        <v>3848</v>
      </c>
      <c r="G6">
        <v>0</v>
      </c>
      <c r="H6">
        <v>18</v>
      </c>
      <c r="I6">
        <v>59028.32</v>
      </c>
      <c r="J6" t="s">
        <v>15</v>
      </c>
      <c r="K6" t="s">
        <v>33</v>
      </c>
      <c r="L6">
        <f t="shared" si="0"/>
        <v>808969</v>
      </c>
    </row>
    <row r="7" spans="1:12" x14ac:dyDescent="0.3">
      <c r="A7" t="s">
        <v>163</v>
      </c>
      <c r="B7" t="s">
        <v>80</v>
      </c>
      <c r="C7" t="s">
        <v>62</v>
      </c>
      <c r="D7" t="s">
        <v>92</v>
      </c>
      <c r="E7">
        <v>28</v>
      </c>
      <c r="F7">
        <v>68746</v>
      </c>
      <c r="G7">
        <v>5</v>
      </c>
      <c r="H7">
        <v>28</v>
      </c>
      <c r="I7">
        <v>2340663.81</v>
      </c>
      <c r="J7" t="s">
        <v>15</v>
      </c>
      <c r="K7" t="s">
        <v>38</v>
      </c>
      <c r="L7">
        <f t="shared" si="0"/>
        <v>652861</v>
      </c>
    </row>
    <row r="8" spans="1:12" x14ac:dyDescent="0.3">
      <c r="A8" t="s">
        <v>205</v>
      </c>
      <c r="B8" t="s">
        <v>80</v>
      </c>
      <c r="C8" t="s">
        <v>48</v>
      </c>
      <c r="D8" t="s">
        <v>59</v>
      </c>
      <c r="E8">
        <v>40</v>
      </c>
      <c r="F8">
        <v>17696</v>
      </c>
      <c r="G8">
        <v>10</v>
      </c>
      <c r="H8">
        <v>12</v>
      </c>
      <c r="I8">
        <v>713502.71999999997</v>
      </c>
      <c r="J8" t="s">
        <v>46</v>
      </c>
      <c r="K8" t="s">
        <v>33</v>
      </c>
      <c r="L8">
        <f t="shared" si="0"/>
        <v>376570</v>
      </c>
    </row>
    <row r="9" spans="1:12" x14ac:dyDescent="0.3">
      <c r="A9" t="s">
        <v>148</v>
      </c>
      <c r="B9" t="s">
        <v>80</v>
      </c>
      <c r="C9" t="s">
        <v>62</v>
      </c>
      <c r="D9" t="s">
        <v>92</v>
      </c>
      <c r="E9">
        <v>39</v>
      </c>
      <c r="F9">
        <v>14326</v>
      </c>
      <c r="G9">
        <v>5</v>
      </c>
      <c r="H9">
        <v>28</v>
      </c>
      <c r="I9">
        <v>679396.22</v>
      </c>
      <c r="J9" t="s">
        <v>15</v>
      </c>
      <c r="K9" t="s">
        <v>38</v>
      </c>
      <c r="L9">
        <f t="shared" si="0"/>
        <v>652861</v>
      </c>
    </row>
    <row r="10" spans="1:12" x14ac:dyDescent="0.3">
      <c r="A10" t="s">
        <v>116</v>
      </c>
      <c r="B10" t="s">
        <v>80</v>
      </c>
      <c r="C10" t="s">
        <v>44</v>
      </c>
      <c r="D10" t="s">
        <v>45</v>
      </c>
      <c r="E10">
        <v>18</v>
      </c>
      <c r="F10">
        <v>65729</v>
      </c>
      <c r="G10">
        <v>5</v>
      </c>
      <c r="H10">
        <v>18</v>
      </c>
      <c r="I10">
        <v>1326279.76</v>
      </c>
      <c r="J10" t="s">
        <v>37</v>
      </c>
      <c r="K10" t="s">
        <v>16</v>
      </c>
      <c r="L10">
        <f t="shared" si="0"/>
        <v>889330</v>
      </c>
    </row>
    <row r="11" spans="1:12" x14ac:dyDescent="0.3">
      <c r="A11" t="s">
        <v>185</v>
      </c>
      <c r="B11" t="s">
        <v>80</v>
      </c>
      <c r="C11" t="s">
        <v>29</v>
      </c>
      <c r="D11" t="s">
        <v>30</v>
      </c>
      <c r="E11">
        <v>10</v>
      </c>
      <c r="F11">
        <v>58859</v>
      </c>
      <c r="G11">
        <v>0</v>
      </c>
      <c r="H11">
        <v>12</v>
      </c>
      <c r="I11">
        <v>659220.80000000005</v>
      </c>
      <c r="J11" t="s">
        <v>37</v>
      </c>
      <c r="K11" t="s">
        <v>16</v>
      </c>
      <c r="L11">
        <f t="shared" si="0"/>
        <v>305746</v>
      </c>
    </row>
    <row r="12" spans="1:12" x14ac:dyDescent="0.3">
      <c r="A12" t="s">
        <v>103</v>
      </c>
      <c r="B12" t="s">
        <v>80</v>
      </c>
      <c r="C12" t="s">
        <v>24</v>
      </c>
      <c r="D12" t="s">
        <v>40</v>
      </c>
      <c r="E12">
        <v>11</v>
      </c>
      <c r="F12">
        <v>52044</v>
      </c>
      <c r="G12">
        <v>5</v>
      </c>
      <c r="H12">
        <v>28</v>
      </c>
      <c r="I12">
        <v>696140.54</v>
      </c>
      <c r="J12" t="s">
        <v>15</v>
      </c>
      <c r="K12" t="s">
        <v>16</v>
      </c>
      <c r="L12">
        <f t="shared" si="0"/>
        <v>808969</v>
      </c>
    </row>
    <row r="13" spans="1:12" x14ac:dyDescent="0.3">
      <c r="A13" t="s">
        <v>218</v>
      </c>
      <c r="B13" t="s">
        <v>80</v>
      </c>
      <c r="C13" t="s">
        <v>62</v>
      </c>
      <c r="D13" t="s">
        <v>63</v>
      </c>
      <c r="E13">
        <v>18</v>
      </c>
      <c r="F13">
        <v>20214</v>
      </c>
      <c r="G13">
        <v>0</v>
      </c>
      <c r="H13">
        <v>18</v>
      </c>
      <c r="I13">
        <v>429345.36</v>
      </c>
      <c r="J13" t="s">
        <v>21</v>
      </c>
      <c r="K13" t="s">
        <v>33</v>
      </c>
      <c r="L13">
        <f t="shared" si="0"/>
        <v>652861</v>
      </c>
    </row>
    <row r="14" spans="1:12" x14ac:dyDescent="0.3">
      <c r="A14" t="s">
        <v>179</v>
      </c>
      <c r="B14" t="s">
        <v>80</v>
      </c>
      <c r="C14" t="s">
        <v>19</v>
      </c>
      <c r="D14" t="s">
        <v>20</v>
      </c>
      <c r="E14">
        <v>33</v>
      </c>
      <c r="F14">
        <v>26961</v>
      </c>
      <c r="G14">
        <v>10</v>
      </c>
      <c r="H14">
        <v>12</v>
      </c>
      <c r="I14">
        <v>896830.7</v>
      </c>
      <c r="J14" t="s">
        <v>15</v>
      </c>
      <c r="K14" t="s">
        <v>38</v>
      </c>
      <c r="L14">
        <f t="shared" si="0"/>
        <v>402999</v>
      </c>
    </row>
    <row r="15" spans="1:12" x14ac:dyDescent="0.3">
      <c r="A15" t="s">
        <v>125</v>
      </c>
      <c r="B15" t="s">
        <v>80</v>
      </c>
      <c r="C15" t="s">
        <v>48</v>
      </c>
      <c r="D15" t="s">
        <v>59</v>
      </c>
      <c r="E15">
        <v>12</v>
      </c>
      <c r="F15">
        <v>76707</v>
      </c>
      <c r="G15">
        <v>10</v>
      </c>
      <c r="H15">
        <v>12</v>
      </c>
      <c r="I15">
        <v>927847.87</v>
      </c>
      <c r="J15" t="s">
        <v>21</v>
      </c>
      <c r="K15" t="s">
        <v>38</v>
      </c>
      <c r="L15">
        <f t="shared" si="0"/>
        <v>376570</v>
      </c>
    </row>
    <row r="16" spans="1:12" x14ac:dyDescent="0.3">
      <c r="A16" t="s">
        <v>43</v>
      </c>
      <c r="B16" t="s">
        <v>80</v>
      </c>
      <c r="C16" t="s">
        <v>62</v>
      </c>
      <c r="D16" t="s">
        <v>63</v>
      </c>
      <c r="E16">
        <v>30</v>
      </c>
      <c r="F16">
        <v>53905</v>
      </c>
      <c r="G16">
        <v>12</v>
      </c>
      <c r="H16">
        <v>12</v>
      </c>
      <c r="I16">
        <v>1593863.04</v>
      </c>
      <c r="J16" t="s">
        <v>37</v>
      </c>
      <c r="K16" t="s">
        <v>33</v>
      </c>
      <c r="L16">
        <f t="shared" si="0"/>
        <v>652861</v>
      </c>
    </row>
    <row r="17" spans="1:12" x14ac:dyDescent="0.3">
      <c r="A17" t="s">
        <v>109</v>
      </c>
      <c r="B17" t="s">
        <v>80</v>
      </c>
      <c r="C17" t="s">
        <v>35</v>
      </c>
      <c r="D17" t="s">
        <v>77</v>
      </c>
      <c r="E17">
        <v>37</v>
      </c>
      <c r="F17">
        <v>41904</v>
      </c>
      <c r="G17">
        <v>10</v>
      </c>
      <c r="H17">
        <v>18</v>
      </c>
      <c r="I17">
        <v>1646575.78</v>
      </c>
      <c r="J17" t="s">
        <v>21</v>
      </c>
      <c r="K17" t="s">
        <v>26</v>
      </c>
      <c r="L17">
        <f t="shared" si="0"/>
        <v>646381</v>
      </c>
    </row>
    <row r="18" spans="1:12" x14ac:dyDescent="0.3">
      <c r="A18" t="s">
        <v>195</v>
      </c>
      <c r="B18" t="s">
        <v>80</v>
      </c>
      <c r="C18" t="s">
        <v>13</v>
      </c>
      <c r="D18" t="s">
        <v>14</v>
      </c>
      <c r="E18">
        <v>15</v>
      </c>
      <c r="F18">
        <v>76226</v>
      </c>
      <c r="G18">
        <v>12</v>
      </c>
      <c r="H18">
        <v>28</v>
      </c>
      <c r="I18">
        <v>1287914.5</v>
      </c>
      <c r="J18" t="s">
        <v>21</v>
      </c>
      <c r="K18" t="s">
        <v>16</v>
      </c>
      <c r="L18">
        <f t="shared" si="0"/>
        <v>724771</v>
      </c>
    </row>
    <row r="19" spans="1:12" x14ac:dyDescent="0.3">
      <c r="A19" t="s">
        <v>219</v>
      </c>
      <c r="B19" t="s">
        <v>80</v>
      </c>
      <c r="C19" t="s">
        <v>44</v>
      </c>
      <c r="D19" t="s">
        <v>51</v>
      </c>
      <c r="E19">
        <v>11</v>
      </c>
      <c r="F19">
        <v>49607</v>
      </c>
      <c r="G19">
        <v>12</v>
      </c>
      <c r="H19">
        <v>12</v>
      </c>
      <c r="I19">
        <v>537819.25</v>
      </c>
      <c r="J19" t="s">
        <v>21</v>
      </c>
      <c r="K19" t="s">
        <v>16</v>
      </c>
      <c r="L19">
        <f t="shared" si="0"/>
        <v>889330</v>
      </c>
    </row>
    <row r="20" spans="1:12" x14ac:dyDescent="0.3">
      <c r="A20" t="s">
        <v>217</v>
      </c>
      <c r="B20" t="s">
        <v>80</v>
      </c>
      <c r="C20" t="s">
        <v>13</v>
      </c>
      <c r="D20" t="s">
        <v>32</v>
      </c>
      <c r="E20">
        <v>36</v>
      </c>
      <c r="F20">
        <v>7522</v>
      </c>
      <c r="G20">
        <v>5</v>
      </c>
      <c r="H20">
        <v>18</v>
      </c>
      <c r="I20">
        <v>303557.83</v>
      </c>
      <c r="J20" t="s">
        <v>21</v>
      </c>
      <c r="K20" t="s">
        <v>16</v>
      </c>
      <c r="L20">
        <f t="shared" si="0"/>
        <v>724771</v>
      </c>
    </row>
    <row r="21" spans="1:12" x14ac:dyDescent="0.3">
      <c r="A21" t="s">
        <v>221</v>
      </c>
      <c r="B21" t="s">
        <v>80</v>
      </c>
      <c r="C21" t="s">
        <v>24</v>
      </c>
      <c r="D21" t="s">
        <v>76</v>
      </c>
      <c r="E21">
        <v>6</v>
      </c>
      <c r="F21">
        <v>17418</v>
      </c>
      <c r="G21">
        <v>5</v>
      </c>
      <c r="H21">
        <v>12</v>
      </c>
      <c r="I21">
        <v>111196.51</v>
      </c>
      <c r="J21" t="s">
        <v>46</v>
      </c>
      <c r="K21" t="s">
        <v>33</v>
      </c>
      <c r="L21">
        <f t="shared" si="0"/>
        <v>808969</v>
      </c>
    </row>
    <row r="22" spans="1:12" x14ac:dyDescent="0.3">
      <c r="A22" t="s">
        <v>163</v>
      </c>
      <c r="B22" t="s">
        <v>80</v>
      </c>
      <c r="C22" t="s">
        <v>44</v>
      </c>
      <c r="D22" t="s">
        <v>45</v>
      </c>
      <c r="E22">
        <v>21</v>
      </c>
      <c r="F22">
        <v>4550</v>
      </c>
      <c r="G22">
        <v>5</v>
      </c>
      <c r="H22">
        <v>18</v>
      </c>
      <c r="I22">
        <v>107111.55</v>
      </c>
      <c r="J22" t="s">
        <v>46</v>
      </c>
      <c r="K22" t="s">
        <v>33</v>
      </c>
      <c r="L22">
        <f t="shared" si="0"/>
        <v>889330</v>
      </c>
    </row>
    <row r="23" spans="1:12" x14ac:dyDescent="0.3">
      <c r="A23" t="s">
        <v>154</v>
      </c>
      <c r="B23" t="s">
        <v>80</v>
      </c>
      <c r="C23" t="s">
        <v>13</v>
      </c>
      <c r="D23" t="s">
        <v>32</v>
      </c>
      <c r="E23">
        <v>35</v>
      </c>
      <c r="F23">
        <v>58424</v>
      </c>
      <c r="G23">
        <v>10</v>
      </c>
      <c r="H23">
        <v>18</v>
      </c>
      <c r="I23">
        <v>2171620.08</v>
      </c>
      <c r="J23" t="s">
        <v>21</v>
      </c>
      <c r="K23" t="s">
        <v>38</v>
      </c>
      <c r="L23">
        <f t="shared" si="0"/>
        <v>724771</v>
      </c>
    </row>
    <row r="24" spans="1:12" x14ac:dyDescent="0.3">
      <c r="A24" t="s">
        <v>86</v>
      </c>
      <c r="B24" t="s">
        <v>80</v>
      </c>
      <c r="C24" t="s">
        <v>62</v>
      </c>
      <c r="D24" t="s">
        <v>63</v>
      </c>
      <c r="E24">
        <v>16</v>
      </c>
      <c r="F24">
        <v>25034</v>
      </c>
      <c r="G24">
        <v>0</v>
      </c>
      <c r="H24">
        <v>18</v>
      </c>
      <c r="I24">
        <v>472641.92</v>
      </c>
      <c r="J24" t="s">
        <v>21</v>
      </c>
      <c r="K24" t="s">
        <v>38</v>
      </c>
      <c r="L24">
        <f t="shared" si="0"/>
        <v>652861</v>
      </c>
    </row>
    <row r="25" spans="1:12" x14ac:dyDescent="0.3">
      <c r="A25" t="s">
        <v>195</v>
      </c>
      <c r="B25" t="s">
        <v>80</v>
      </c>
      <c r="C25" t="s">
        <v>44</v>
      </c>
      <c r="D25" t="s">
        <v>45</v>
      </c>
      <c r="E25">
        <v>24</v>
      </c>
      <c r="F25">
        <v>80668</v>
      </c>
      <c r="G25">
        <v>0</v>
      </c>
      <c r="H25">
        <v>18</v>
      </c>
      <c r="I25">
        <v>2284517.7599999998</v>
      </c>
      <c r="J25" t="s">
        <v>37</v>
      </c>
      <c r="K25" t="s">
        <v>38</v>
      </c>
      <c r="L25">
        <f t="shared" si="0"/>
        <v>889330</v>
      </c>
    </row>
    <row r="26" spans="1:12" x14ac:dyDescent="0.3">
      <c r="A26" t="s">
        <v>52</v>
      </c>
      <c r="B26" t="s">
        <v>80</v>
      </c>
      <c r="C26" t="s">
        <v>48</v>
      </c>
      <c r="D26" t="s">
        <v>49</v>
      </c>
      <c r="E26">
        <v>28</v>
      </c>
      <c r="F26">
        <v>18362</v>
      </c>
      <c r="G26">
        <v>12</v>
      </c>
      <c r="H26">
        <v>12</v>
      </c>
      <c r="I26">
        <v>506732.44</v>
      </c>
      <c r="J26" t="s">
        <v>15</v>
      </c>
      <c r="K26" t="s">
        <v>26</v>
      </c>
      <c r="L26">
        <f t="shared" si="0"/>
        <v>376570</v>
      </c>
    </row>
    <row r="27" spans="1:12" x14ac:dyDescent="0.3">
      <c r="A27" t="s">
        <v>189</v>
      </c>
      <c r="B27" t="s">
        <v>80</v>
      </c>
      <c r="C27" t="s">
        <v>19</v>
      </c>
      <c r="D27" t="s">
        <v>20</v>
      </c>
      <c r="E27">
        <v>12</v>
      </c>
      <c r="F27">
        <v>53241</v>
      </c>
      <c r="G27">
        <v>0</v>
      </c>
      <c r="H27">
        <v>12</v>
      </c>
      <c r="I27">
        <v>715559.04</v>
      </c>
      <c r="J27" t="s">
        <v>21</v>
      </c>
      <c r="K27" t="s">
        <v>16</v>
      </c>
      <c r="L27">
        <f t="shared" si="0"/>
        <v>402999</v>
      </c>
    </row>
    <row r="28" spans="1:12" x14ac:dyDescent="0.3">
      <c r="A28" t="s">
        <v>110</v>
      </c>
      <c r="B28" t="s">
        <v>80</v>
      </c>
      <c r="C28" t="s">
        <v>44</v>
      </c>
      <c r="D28" t="s">
        <v>51</v>
      </c>
      <c r="E28">
        <v>12</v>
      </c>
      <c r="F28">
        <v>50724</v>
      </c>
      <c r="G28">
        <v>0</v>
      </c>
      <c r="H28">
        <v>18</v>
      </c>
      <c r="I28">
        <v>718251.84</v>
      </c>
      <c r="J28" t="s">
        <v>37</v>
      </c>
      <c r="K28" t="s">
        <v>16</v>
      </c>
      <c r="L28">
        <f t="shared" si="0"/>
        <v>889330</v>
      </c>
    </row>
    <row r="29" spans="1:12" x14ac:dyDescent="0.3">
      <c r="A29" t="s">
        <v>166</v>
      </c>
      <c r="B29" t="s">
        <v>80</v>
      </c>
      <c r="C29" t="s">
        <v>19</v>
      </c>
      <c r="D29" t="s">
        <v>20</v>
      </c>
      <c r="E29">
        <v>37</v>
      </c>
      <c r="F29">
        <v>5412</v>
      </c>
      <c r="G29">
        <v>10</v>
      </c>
      <c r="H29">
        <v>28</v>
      </c>
      <c r="I29">
        <v>230681.09</v>
      </c>
      <c r="J29" t="s">
        <v>15</v>
      </c>
      <c r="K29" t="s">
        <v>38</v>
      </c>
      <c r="L29">
        <f t="shared" si="0"/>
        <v>402999</v>
      </c>
    </row>
    <row r="30" spans="1:12" x14ac:dyDescent="0.3">
      <c r="A30" t="s">
        <v>137</v>
      </c>
      <c r="B30" t="s">
        <v>80</v>
      </c>
      <c r="C30" t="s">
        <v>44</v>
      </c>
      <c r="D30" t="s">
        <v>45</v>
      </c>
      <c r="E30">
        <v>5</v>
      </c>
      <c r="F30">
        <v>63673</v>
      </c>
      <c r="G30">
        <v>5</v>
      </c>
      <c r="H30">
        <v>12</v>
      </c>
      <c r="I30">
        <v>338740.36</v>
      </c>
      <c r="J30" t="s">
        <v>21</v>
      </c>
      <c r="K30" t="s">
        <v>26</v>
      </c>
      <c r="L30">
        <f t="shared" si="0"/>
        <v>889330</v>
      </c>
    </row>
    <row r="31" spans="1:12" x14ac:dyDescent="0.3">
      <c r="A31" t="s">
        <v>139</v>
      </c>
      <c r="B31" t="s">
        <v>80</v>
      </c>
      <c r="C31" t="s">
        <v>24</v>
      </c>
      <c r="D31" t="s">
        <v>40</v>
      </c>
      <c r="E31">
        <v>13</v>
      </c>
      <c r="F31">
        <v>40347</v>
      </c>
      <c r="G31">
        <v>10</v>
      </c>
      <c r="H31">
        <v>12</v>
      </c>
      <c r="I31">
        <v>528707.09</v>
      </c>
      <c r="J31" t="s">
        <v>37</v>
      </c>
      <c r="K31" t="s">
        <v>26</v>
      </c>
      <c r="L31">
        <f t="shared" si="0"/>
        <v>808969</v>
      </c>
    </row>
    <row r="32" spans="1:12" x14ac:dyDescent="0.3">
      <c r="A32" t="s">
        <v>167</v>
      </c>
      <c r="B32" t="s">
        <v>80</v>
      </c>
      <c r="C32" t="s">
        <v>13</v>
      </c>
      <c r="D32" t="s">
        <v>32</v>
      </c>
      <c r="E32">
        <v>20</v>
      </c>
      <c r="F32">
        <v>18513</v>
      </c>
      <c r="G32">
        <v>10</v>
      </c>
      <c r="H32">
        <v>12</v>
      </c>
      <c r="I32">
        <v>373222.08</v>
      </c>
      <c r="J32" t="s">
        <v>37</v>
      </c>
      <c r="K32" t="s">
        <v>26</v>
      </c>
      <c r="L32">
        <f t="shared" si="0"/>
        <v>724771</v>
      </c>
    </row>
    <row r="33" spans="1:12" x14ac:dyDescent="0.3">
      <c r="A33" t="s">
        <v>224</v>
      </c>
      <c r="B33" t="s">
        <v>80</v>
      </c>
      <c r="C33" t="s">
        <v>35</v>
      </c>
      <c r="D33" t="s">
        <v>56</v>
      </c>
      <c r="E33">
        <v>35</v>
      </c>
      <c r="F33">
        <v>41656</v>
      </c>
      <c r="G33">
        <v>0</v>
      </c>
      <c r="H33">
        <v>12</v>
      </c>
      <c r="I33">
        <v>1632915.2</v>
      </c>
      <c r="J33" t="s">
        <v>46</v>
      </c>
      <c r="K33" t="s">
        <v>26</v>
      </c>
      <c r="L33">
        <f t="shared" si="0"/>
        <v>646381</v>
      </c>
    </row>
    <row r="34" spans="1:12" x14ac:dyDescent="0.3">
      <c r="A34" t="s">
        <v>109</v>
      </c>
      <c r="B34" t="s">
        <v>80</v>
      </c>
      <c r="C34" t="s">
        <v>24</v>
      </c>
      <c r="D34" t="s">
        <v>25</v>
      </c>
      <c r="E34">
        <v>7</v>
      </c>
      <c r="F34">
        <v>27202</v>
      </c>
      <c r="G34">
        <v>5</v>
      </c>
      <c r="H34">
        <v>18</v>
      </c>
      <c r="I34">
        <v>213454.09</v>
      </c>
      <c r="J34" t="s">
        <v>46</v>
      </c>
      <c r="K34" t="s">
        <v>38</v>
      </c>
      <c r="L34">
        <f t="shared" ref="L34:L65" si="1">SUMIF(C:C,C34,F:F)</f>
        <v>808969</v>
      </c>
    </row>
    <row r="35" spans="1:12" x14ac:dyDescent="0.3">
      <c r="A35" t="s">
        <v>31</v>
      </c>
      <c r="B35" t="s">
        <v>80</v>
      </c>
      <c r="C35" t="s">
        <v>44</v>
      </c>
      <c r="D35" t="s">
        <v>45</v>
      </c>
      <c r="E35">
        <v>6</v>
      </c>
      <c r="F35">
        <v>60859</v>
      </c>
      <c r="G35">
        <v>12</v>
      </c>
      <c r="H35">
        <v>18</v>
      </c>
      <c r="I35">
        <v>379175.91</v>
      </c>
      <c r="J35" t="s">
        <v>15</v>
      </c>
      <c r="K35" t="s">
        <v>16</v>
      </c>
      <c r="L35">
        <f t="shared" si="1"/>
        <v>889330</v>
      </c>
    </row>
    <row r="36" spans="1:12" x14ac:dyDescent="0.3">
      <c r="A36" t="s">
        <v>135</v>
      </c>
      <c r="B36" t="s">
        <v>80</v>
      </c>
      <c r="C36" t="s">
        <v>19</v>
      </c>
      <c r="D36" t="s">
        <v>20</v>
      </c>
      <c r="E36">
        <v>4</v>
      </c>
      <c r="F36">
        <v>48591</v>
      </c>
      <c r="G36">
        <v>0</v>
      </c>
      <c r="H36">
        <v>18</v>
      </c>
      <c r="I36">
        <v>229349.52</v>
      </c>
      <c r="J36" t="s">
        <v>37</v>
      </c>
      <c r="K36" t="s">
        <v>33</v>
      </c>
      <c r="L36">
        <f t="shared" si="1"/>
        <v>402999</v>
      </c>
    </row>
    <row r="37" spans="1:12" x14ac:dyDescent="0.3">
      <c r="A37" t="s">
        <v>57</v>
      </c>
      <c r="B37" t="s">
        <v>80</v>
      </c>
      <c r="C37" t="s">
        <v>44</v>
      </c>
      <c r="D37" t="s">
        <v>45</v>
      </c>
      <c r="E37">
        <v>7</v>
      </c>
      <c r="F37">
        <v>8954</v>
      </c>
      <c r="G37">
        <v>5</v>
      </c>
      <c r="H37">
        <v>12</v>
      </c>
      <c r="I37">
        <v>66689.39</v>
      </c>
      <c r="J37" t="s">
        <v>21</v>
      </c>
      <c r="K37" t="s">
        <v>38</v>
      </c>
      <c r="L37">
        <f t="shared" si="1"/>
        <v>889330</v>
      </c>
    </row>
    <row r="38" spans="1:12" x14ac:dyDescent="0.3">
      <c r="A38" t="s">
        <v>216</v>
      </c>
      <c r="B38" t="s">
        <v>80</v>
      </c>
      <c r="C38" t="s">
        <v>13</v>
      </c>
      <c r="D38" t="s">
        <v>32</v>
      </c>
      <c r="E38">
        <v>25</v>
      </c>
      <c r="F38">
        <v>18677</v>
      </c>
      <c r="G38">
        <v>5</v>
      </c>
      <c r="H38">
        <v>18</v>
      </c>
      <c r="I38">
        <v>523422.92</v>
      </c>
      <c r="J38" t="s">
        <v>21</v>
      </c>
      <c r="K38" t="s">
        <v>33</v>
      </c>
      <c r="L38">
        <f t="shared" si="1"/>
        <v>724771</v>
      </c>
    </row>
    <row r="39" spans="1:12" x14ac:dyDescent="0.3">
      <c r="A39" t="s">
        <v>130</v>
      </c>
      <c r="B39" t="s">
        <v>80</v>
      </c>
      <c r="C39" t="s">
        <v>19</v>
      </c>
      <c r="D39" t="s">
        <v>20</v>
      </c>
      <c r="E39">
        <v>8</v>
      </c>
      <c r="F39">
        <v>61912</v>
      </c>
      <c r="G39">
        <v>12</v>
      </c>
      <c r="H39">
        <v>12</v>
      </c>
      <c r="I39">
        <v>488163.74</v>
      </c>
      <c r="J39" t="s">
        <v>21</v>
      </c>
      <c r="K39" t="s">
        <v>16</v>
      </c>
      <c r="L39">
        <f t="shared" si="1"/>
        <v>402999</v>
      </c>
    </row>
    <row r="40" spans="1:12" x14ac:dyDescent="0.3">
      <c r="A40" t="s">
        <v>134</v>
      </c>
      <c r="B40" t="s">
        <v>80</v>
      </c>
      <c r="C40" t="s">
        <v>13</v>
      </c>
      <c r="D40" t="s">
        <v>14</v>
      </c>
      <c r="E40">
        <v>23</v>
      </c>
      <c r="F40">
        <v>72526</v>
      </c>
      <c r="G40">
        <v>0</v>
      </c>
      <c r="H40">
        <v>28</v>
      </c>
      <c r="I40">
        <v>2135165.44</v>
      </c>
      <c r="J40" t="s">
        <v>46</v>
      </c>
      <c r="K40" t="s">
        <v>26</v>
      </c>
      <c r="L40">
        <f t="shared" si="1"/>
        <v>724771</v>
      </c>
    </row>
    <row r="41" spans="1:12" x14ac:dyDescent="0.3">
      <c r="A41" t="s">
        <v>174</v>
      </c>
      <c r="B41" t="s">
        <v>80</v>
      </c>
      <c r="C41" t="s">
        <v>44</v>
      </c>
      <c r="D41" t="s">
        <v>45</v>
      </c>
      <c r="E41">
        <v>23</v>
      </c>
      <c r="F41">
        <v>81944</v>
      </c>
      <c r="G41">
        <v>5</v>
      </c>
      <c r="H41">
        <v>28</v>
      </c>
      <c r="I41">
        <v>2291809.79</v>
      </c>
      <c r="J41" t="s">
        <v>15</v>
      </c>
      <c r="K41" t="s">
        <v>16</v>
      </c>
      <c r="L41">
        <f t="shared" si="1"/>
        <v>889330</v>
      </c>
    </row>
    <row r="42" spans="1:12" x14ac:dyDescent="0.3">
      <c r="A42" t="s">
        <v>232</v>
      </c>
      <c r="B42" t="s">
        <v>80</v>
      </c>
      <c r="C42" t="s">
        <v>24</v>
      </c>
      <c r="D42" t="s">
        <v>25</v>
      </c>
      <c r="E42">
        <v>35</v>
      </c>
      <c r="F42">
        <v>3711</v>
      </c>
      <c r="G42">
        <v>5</v>
      </c>
      <c r="H42">
        <v>12</v>
      </c>
      <c r="I42">
        <v>138197.64000000001</v>
      </c>
      <c r="J42" t="s">
        <v>46</v>
      </c>
      <c r="K42" t="s">
        <v>33</v>
      </c>
      <c r="L42">
        <f t="shared" si="1"/>
        <v>808969</v>
      </c>
    </row>
    <row r="43" spans="1:12" x14ac:dyDescent="0.3">
      <c r="A43" t="s">
        <v>154</v>
      </c>
      <c r="B43" t="s">
        <v>80</v>
      </c>
      <c r="C43" t="s">
        <v>13</v>
      </c>
      <c r="D43" t="s">
        <v>14</v>
      </c>
      <c r="E43">
        <v>1</v>
      </c>
      <c r="F43">
        <v>39826</v>
      </c>
      <c r="G43">
        <v>0</v>
      </c>
      <c r="H43">
        <v>28</v>
      </c>
      <c r="I43">
        <v>50977.279999999999</v>
      </c>
      <c r="J43" t="s">
        <v>15</v>
      </c>
      <c r="K43" t="s">
        <v>38</v>
      </c>
      <c r="L43">
        <f t="shared" si="1"/>
        <v>724771</v>
      </c>
    </row>
    <row r="44" spans="1:12" x14ac:dyDescent="0.3">
      <c r="A44" t="s">
        <v>108</v>
      </c>
      <c r="B44" t="s">
        <v>80</v>
      </c>
      <c r="C44" t="s">
        <v>48</v>
      </c>
      <c r="D44" t="s">
        <v>59</v>
      </c>
      <c r="E44">
        <v>13</v>
      </c>
      <c r="F44">
        <v>32394</v>
      </c>
      <c r="G44">
        <v>12</v>
      </c>
      <c r="H44">
        <v>18</v>
      </c>
      <c r="I44">
        <v>437293.08</v>
      </c>
      <c r="J44" t="s">
        <v>15</v>
      </c>
      <c r="K44" t="s">
        <v>33</v>
      </c>
      <c r="L44">
        <f t="shared" si="1"/>
        <v>376570</v>
      </c>
    </row>
    <row r="45" spans="1:12" x14ac:dyDescent="0.3">
      <c r="A45" t="s">
        <v>100</v>
      </c>
      <c r="B45" t="s">
        <v>80</v>
      </c>
      <c r="C45" t="s">
        <v>62</v>
      </c>
      <c r="D45" t="s">
        <v>63</v>
      </c>
      <c r="E45">
        <v>17</v>
      </c>
      <c r="F45">
        <v>69174</v>
      </c>
      <c r="G45">
        <v>10</v>
      </c>
      <c r="H45">
        <v>12</v>
      </c>
      <c r="I45">
        <v>1185365.6599999999</v>
      </c>
      <c r="J45" t="s">
        <v>37</v>
      </c>
      <c r="K45" t="s">
        <v>33</v>
      </c>
      <c r="L45">
        <f t="shared" si="1"/>
        <v>652861</v>
      </c>
    </row>
    <row r="46" spans="1:12" x14ac:dyDescent="0.3">
      <c r="A46" t="s">
        <v>55</v>
      </c>
      <c r="B46" t="s">
        <v>80</v>
      </c>
      <c r="C46" t="s">
        <v>62</v>
      </c>
      <c r="D46" t="s">
        <v>92</v>
      </c>
      <c r="E46">
        <v>18</v>
      </c>
      <c r="F46">
        <v>17419</v>
      </c>
      <c r="G46">
        <v>12</v>
      </c>
      <c r="H46">
        <v>12</v>
      </c>
      <c r="I46">
        <v>309027</v>
      </c>
      <c r="J46" t="s">
        <v>15</v>
      </c>
      <c r="K46" t="s">
        <v>38</v>
      </c>
      <c r="L46">
        <f t="shared" si="1"/>
        <v>652861</v>
      </c>
    </row>
    <row r="47" spans="1:12" x14ac:dyDescent="0.3">
      <c r="A47" t="s">
        <v>200</v>
      </c>
      <c r="B47" t="s">
        <v>80</v>
      </c>
      <c r="C47" t="s">
        <v>35</v>
      </c>
      <c r="D47" t="s">
        <v>56</v>
      </c>
      <c r="E47">
        <v>15</v>
      </c>
      <c r="F47">
        <v>23439</v>
      </c>
      <c r="G47">
        <v>5</v>
      </c>
      <c r="H47">
        <v>18</v>
      </c>
      <c r="I47">
        <v>394126.78</v>
      </c>
      <c r="J47" t="s">
        <v>46</v>
      </c>
      <c r="K47" t="s">
        <v>38</v>
      </c>
      <c r="L47">
        <f t="shared" si="1"/>
        <v>646381</v>
      </c>
    </row>
    <row r="48" spans="1:12" x14ac:dyDescent="0.3">
      <c r="A48" t="s">
        <v>110</v>
      </c>
      <c r="B48" t="s">
        <v>80</v>
      </c>
      <c r="C48" t="s">
        <v>13</v>
      </c>
      <c r="D48" t="s">
        <v>14</v>
      </c>
      <c r="E48">
        <v>13</v>
      </c>
      <c r="F48">
        <v>14459</v>
      </c>
      <c r="G48">
        <v>10</v>
      </c>
      <c r="H48">
        <v>18</v>
      </c>
      <c r="I48">
        <v>199620.95</v>
      </c>
      <c r="J48" t="s">
        <v>37</v>
      </c>
      <c r="K48" t="s">
        <v>38</v>
      </c>
      <c r="L48">
        <f t="shared" si="1"/>
        <v>724771</v>
      </c>
    </row>
    <row r="49" spans="1:12" x14ac:dyDescent="0.3">
      <c r="A49" t="s">
        <v>220</v>
      </c>
      <c r="B49" t="s">
        <v>80</v>
      </c>
      <c r="C49" t="s">
        <v>35</v>
      </c>
      <c r="D49" t="s">
        <v>56</v>
      </c>
      <c r="E49">
        <v>14</v>
      </c>
      <c r="F49">
        <v>40654</v>
      </c>
      <c r="G49">
        <v>5</v>
      </c>
      <c r="H49">
        <v>18</v>
      </c>
      <c r="I49">
        <v>638023.88</v>
      </c>
      <c r="J49" t="s">
        <v>46</v>
      </c>
      <c r="K49" t="s">
        <v>38</v>
      </c>
      <c r="L49">
        <f t="shared" si="1"/>
        <v>646381</v>
      </c>
    </row>
    <row r="50" spans="1:12" x14ac:dyDescent="0.3">
      <c r="A50" t="s">
        <v>180</v>
      </c>
      <c r="B50" t="s">
        <v>80</v>
      </c>
      <c r="C50" t="s">
        <v>35</v>
      </c>
      <c r="D50" t="s">
        <v>77</v>
      </c>
      <c r="E50">
        <v>8</v>
      </c>
      <c r="F50">
        <v>69778</v>
      </c>
      <c r="G50">
        <v>5</v>
      </c>
      <c r="H50">
        <v>12</v>
      </c>
      <c r="I50">
        <v>593950.34</v>
      </c>
      <c r="J50" t="s">
        <v>37</v>
      </c>
      <c r="K50" t="s">
        <v>26</v>
      </c>
      <c r="L50">
        <f t="shared" si="1"/>
        <v>646381</v>
      </c>
    </row>
    <row r="51" spans="1:12" x14ac:dyDescent="0.3">
      <c r="A51" t="s">
        <v>61</v>
      </c>
      <c r="B51" t="s">
        <v>80</v>
      </c>
      <c r="C51" t="s">
        <v>19</v>
      </c>
      <c r="D51" t="s">
        <v>20</v>
      </c>
      <c r="E51">
        <v>17</v>
      </c>
      <c r="F51">
        <v>44197</v>
      </c>
      <c r="G51">
        <v>5</v>
      </c>
      <c r="H51">
        <v>12</v>
      </c>
      <c r="I51">
        <v>799435.34</v>
      </c>
      <c r="J51" t="s">
        <v>15</v>
      </c>
      <c r="K51" t="s">
        <v>33</v>
      </c>
      <c r="L51">
        <f t="shared" si="1"/>
        <v>402999</v>
      </c>
    </row>
    <row r="52" spans="1:12" x14ac:dyDescent="0.3">
      <c r="A52" t="s">
        <v>90</v>
      </c>
      <c r="B52" t="s">
        <v>80</v>
      </c>
      <c r="C52" t="s">
        <v>24</v>
      </c>
      <c r="D52" t="s">
        <v>76</v>
      </c>
      <c r="E52">
        <v>5</v>
      </c>
      <c r="F52">
        <v>54727</v>
      </c>
      <c r="G52">
        <v>5</v>
      </c>
      <c r="H52">
        <v>12</v>
      </c>
      <c r="I52">
        <v>291147.64</v>
      </c>
      <c r="J52" t="s">
        <v>21</v>
      </c>
      <c r="K52" t="s">
        <v>38</v>
      </c>
      <c r="L52">
        <f t="shared" si="1"/>
        <v>808969</v>
      </c>
    </row>
    <row r="53" spans="1:12" x14ac:dyDescent="0.3">
      <c r="A53" t="s">
        <v>111</v>
      </c>
      <c r="B53" t="s">
        <v>80</v>
      </c>
      <c r="C53" t="s">
        <v>24</v>
      </c>
      <c r="D53" t="s">
        <v>25</v>
      </c>
      <c r="E53">
        <v>26</v>
      </c>
      <c r="F53">
        <v>13016</v>
      </c>
      <c r="G53">
        <v>10</v>
      </c>
      <c r="H53">
        <v>12</v>
      </c>
      <c r="I53">
        <v>341123.33</v>
      </c>
      <c r="J53" t="s">
        <v>37</v>
      </c>
      <c r="K53" t="s">
        <v>16</v>
      </c>
      <c r="L53">
        <f t="shared" si="1"/>
        <v>808969</v>
      </c>
    </row>
    <row r="54" spans="1:12" x14ac:dyDescent="0.3">
      <c r="A54" t="s">
        <v>61</v>
      </c>
      <c r="B54" t="s">
        <v>80</v>
      </c>
      <c r="C54" t="s">
        <v>13</v>
      </c>
      <c r="D54" t="s">
        <v>32</v>
      </c>
      <c r="E54">
        <v>5</v>
      </c>
      <c r="F54">
        <v>33872</v>
      </c>
      <c r="G54">
        <v>10</v>
      </c>
      <c r="H54">
        <v>18</v>
      </c>
      <c r="I54">
        <v>179860.32</v>
      </c>
      <c r="J54" t="s">
        <v>37</v>
      </c>
      <c r="K54" t="s">
        <v>38</v>
      </c>
      <c r="L54">
        <f t="shared" si="1"/>
        <v>724771</v>
      </c>
    </row>
    <row r="55" spans="1:12" x14ac:dyDescent="0.3">
      <c r="A55" t="s">
        <v>66</v>
      </c>
      <c r="B55" t="s">
        <v>80</v>
      </c>
      <c r="C55" t="s">
        <v>13</v>
      </c>
      <c r="D55" t="s">
        <v>14</v>
      </c>
      <c r="E55">
        <v>8</v>
      </c>
      <c r="F55">
        <v>70486</v>
      </c>
      <c r="G55">
        <v>10</v>
      </c>
      <c r="H55">
        <v>18</v>
      </c>
      <c r="I55">
        <v>598849.06000000006</v>
      </c>
      <c r="J55" t="s">
        <v>46</v>
      </c>
      <c r="K55" t="s">
        <v>33</v>
      </c>
      <c r="L55">
        <f t="shared" si="1"/>
        <v>724771</v>
      </c>
    </row>
    <row r="56" spans="1:12" x14ac:dyDescent="0.3">
      <c r="A56" t="s">
        <v>198</v>
      </c>
      <c r="B56" t="s">
        <v>80</v>
      </c>
      <c r="C56" t="s">
        <v>44</v>
      </c>
      <c r="D56" t="s">
        <v>51</v>
      </c>
      <c r="E56">
        <v>32</v>
      </c>
      <c r="F56">
        <v>71325</v>
      </c>
      <c r="G56">
        <v>0</v>
      </c>
      <c r="H56">
        <v>18</v>
      </c>
      <c r="I56">
        <v>2693232</v>
      </c>
      <c r="J56" t="s">
        <v>15</v>
      </c>
      <c r="K56" t="s">
        <v>26</v>
      </c>
      <c r="L56">
        <f t="shared" si="1"/>
        <v>889330</v>
      </c>
    </row>
    <row r="57" spans="1:12" x14ac:dyDescent="0.3">
      <c r="A57" t="s">
        <v>187</v>
      </c>
      <c r="B57" t="s">
        <v>80</v>
      </c>
      <c r="C57" t="s">
        <v>24</v>
      </c>
      <c r="D57" t="s">
        <v>25</v>
      </c>
      <c r="E57">
        <v>4</v>
      </c>
      <c r="F57">
        <v>71204</v>
      </c>
      <c r="G57">
        <v>0</v>
      </c>
      <c r="H57">
        <v>28</v>
      </c>
      <c r="I57">
        <v>364564.47999999998</v>
      </c>
      <c r="J57" t="s">
        <v>15</v>
      </c>
      <c r="K57" t="s">
        <v>38</v>
      </c>
      <c r="L57">
        <f t="shared" si="1"/>
        <v>808969</v>
      </c>
    </row>
    <row r="58" spans="1:12" x14ac:dyDescent="0.3">
      <c r="A58" t="s">
        <v>126</v>
      </c>
      <c r="B58" t="s">
        <v>80</v>
      </c>
      <c r="C58" t="s">
        <v>44</v>
      </c>
      <c r="D58" t="s">
        <v>51</v>
      </c>
      <c r="E58">
        <v>21</v>
      </c>
      <c r="F58">
        <v>83508</v>
      </c>
      <c r="G58">
        <v>10</v>
      </c>
      <c r="H58">
        <v>18</v>
      </c>
      <c r="I58">
        <v>1862395.42</v>
      </c>
      <c r="J58" t="s">
        <v>37</v>
      </c>
      <c r="K58" t="s">
        <v>16</v>
      </c>
      <c r="L58">
        <f t="shared" si="1"/>
        <v>889330</v>
      </c>
    </row>
    <row r="59" spans="1:12" x14ac:dyDescent="0.3">
      <c r="A59" t="s">
        <v>89</v>
      </c>
      <c r="B59" t="s">
        <v>80</v>
      </c>
      <c r="C59" t="s">
        <v>13</v>
      </c>
      <c r="D59" t="s">
        <v>32</v>
      </c>
      <c r="E59">
        <v>2</v>
      </c>
      <c r="F59">
        <v>62991</v>
      </c>
      <c r="G59">
        <v>5</v>
      </c>
      <c r="H59">
        <v>28</v>
      </c>
      <c r="I59">
        <v>153194.10999999999</v>
      </c>
      <c r="J59" t="s">
        <v>15</v>
      </c>
      <c r="K59" t="s">
        <v>33</v>
      </c>
      <c r="L59">
        <f t="shared" si="1"/>
        <v>724771</v>
      </c>
    </row>
    <row r="60" spans="1:12" x14ac:dyDescent="0.3">
      <c r="A60" t="s">
        <v>202</v>
      </c>
      <c r="B60" t="s">
        <v>80</v>
      </c>
      <c r="C60" t="s">
        <v>24</v>
      </c>
      <c r="D60" t="s">
        <v>76</v>
      </c>
      <c r="E60">
        <v>35</v>
      </c>
      <c r="F60">
        <v>67497</v>
      </c>
      <c r="G60">
        <v>12</v>
      </c>
      <c r="H60">
        <v>12</v>
      </c>
      <c r="I60">
        <v>2328376.5099999998</v>
      </c>
      <c r="J60" t="s">
        <v>21</v>
      </c>
      <c r="K60" t="s">
        <v>38</v>
      </c>
      <c r="L60">
        <f t="shared" si="1"/>
        <v>808969</v>
      </c>
    </row>
    <row r="61" spans="1:12" x14ac:dyDescent="0.3">
      <c r="A61" t="s">
        <v>217</v>
      </c>
      <c r="B61" t="s">
        <v>80</v>
      </c>
      <c r="C61" t="s">
        <v>24</v>
      </c>
      <c r="D61" t="s">
        <v>76</v>
      </c>
      <c r="E61">
        <v>13</v>
      </c>
      <c r="F61">
        <v>45062</v>
      </c>
      <c r="G61">
        <v>12</v>
      </c>
      <c r="H61">
        <v>12</v>
      </c>
      <c r="I61">
        <v>577370.39</v>
      </c>
      <c r="J61" t="s">
        <v>21</v>
      </c>
      <c r="K61" t="s">
        <v>26</v>
      </c>
      <c r="L61">
        <f t="shared" si="1"/>
        <v>808969</v>
      </c>
    </row>
    <row r="62" spans="1:12" x14ac:dyDescent="0.3">
      <c r="A62" t="s">
        <v>194</v>
      </c>
      <c r="B62" t="s">
        <v>80</v>
      </c>
      <c r="C62" t="s">
        <v>44</v>
      </c>
      <c r="D62" t="s">
        <v>45</v>
      </c>
      <c r="E62">
        <v>25</v>
      </c>
      <c r="F62">
        <v>63900</v>
      </c>
      <c r="G62">
        <v>10</v>
      </c>
      <c r="H62">
        <v>28</v>
      </c>
      <c r="I62">
        <v>1840320</v>
      </c>
      <c r="J62" t="s">
        <v>46</v>
      </c>
      <c r="K62" t="s">
        <v>26</v>
      </c>
      <c r="L62">
        <f t="shared" si="1"/>
        <v>889330</v>
      </c>
    </row>
    <row r="63" spans="1:12" x14ac:dyDescent="0.3">
      <c r="A63" t="s">
        <v>72</v>
      </c>
      <c r="B63" t="s">
        <v>80</v>
      </c>
      <c r="C63" t="s">
        <v>24</v>
      </c>
      <c r="D63" t="s">
        <v>40</v>
      </c>
      <c r="E63">
        <v>37</v>
      </c>
      <c r="F63">
        <v>60499</v>
      </c>
      <c r="G63">
        <v>12</v>
      </c>
      <c r="H63">
        <v>12</v>
      </c>
      <c r="I63">
        <v>2206229.13</v>
      </c>
      <c r="J63" t="s">
        <v>21</v>
      </c>
      <c r="K63" t="s">
        <v>16</v>
      </c>
      <c r="L63">
        <f t="shared" si="1"/>
        <v>808969</v>
      </c>
    </row>
    <row r="64" spans="1:12" x14ac:dyDescent="0.3">
      <c r="A64" t="s">
        <v>96</v>
      </c>
      <c r="B64" t="s">
        <v>80</v>
      </c>
      <c r="C64" t="s">
        <v>62</v>
      </c>
      <c r="D64" t="s">
        <v>63</v>
      </c>
      <c r="E64">
        <v>11</v>
      </c>
      <c r="F64">
        <v>17902</v>
      </c>
      <c r="G64">
        <v>12</v>
      </c>
      <c r="H64">
        <v>28</v>
      </c>
      <c r="I64">
        <v>221812.94</v>
      </c>
      <c r="J64" t="s">
        <v>21</v>
      </c>
      <c r="K64" t="s">
        <v>33</v>
      </c>
      <c r="L64">
        <f t="shared" si="1"/>
        <v>652861</v>
      </c>
    </row>
    <row r="65" spans="1:12" x14ac:dyDescent="0.3">
      <c r="A65" t="s">
        <v>136</v>
      </c>
      <c r="B65" t="s">
        <v>80</v>
      </c>
      <c r="C65" t="s">
        <v>62</v>
      </c>
      <c r="D65" t="s">
        <v>63</v>
      </c>
      <c r="E65">
        <v>37</v>
      </c>
      <c r="F65">
        <v>22152</v>
      </c>
      <c r="G65">
        <v>10</v>
      </c>
      <c r="H65">
        <v>28</v>
      </c>
      <c r="I65">
        <v>944206.85</v>
      </c>
      <c r="J65" t="s">
        <v>46</v>
      </c>
      <c r="K65" t="s">
        <v>33</v>
      </c>
      <c r="L65">
        <f t="shared" si="1"/>
        <v>652861</v>
      </c>
    </row>
    <row r="66" spans="1:12" x14ac:dyDescent="0.3">
      <c r="A66" t="s">
        <v>75</v>
      </c>
      <c r="B66" t="s">
        <v>80</v>
      </c>
      <c r="C66" t="s">
        <v>24</v>
      </c>
      <c r="D66" t="s">
        <v>40</v>
      </c>
      <c r="E66">
        <v>28</v>
      </c>
      <c r="F66">
        <v>40182</v>
      </c>
      <c r="G66">
        <v>0</v>
      </c>
      <c r="H66">
        <v>28</v>
      </c>
      <c r="I66">
        <v>1440122.8799999999</v>
      </c>
      <c r="J66" t="s">
        <v>21</v>
      </c>
      <c r="K66" t="s">
        <v>38</v>
      </c>
      <c r="L66">
        <f t="shared" ref="L66:L97" si="2">SUMIF(C:C,C66,F:F)</f>
        <v>808969</v>
      </c>
    </row>
    <row r="67" spans="1:12" x14ac:dyDescent="0.3">
      <c r="A67" t="s">
        <v>204</v>
      </c>
      <c r="B67" t="s">
        <v>80</v>
      </c>
      <c r="C67" t="s">
        <v>48</v>
      </c>
      <c r="D67" t="s">
        <v>59</v>
      </c>
      <c r="E67">
        <v>10</v>
      </c>
      <c r="F67">
        <v>16368</v>
      </c>
      <c r="G67">
        <v>0</v>
      </c>
      <c r="H67">
        <v>18</v>
      </c>
      <c r="I67">
        <v>193142.39999999999</v>
      </c>
      <c r="J67" t="s">
        <v>15</v>
      </c>
      <c r="K67" t="s">
        <v>26</v>
      </c>
      <c r="L67">
        <f t="shared" si="2"/>
        <v>376570</v>
      </c>
    </row>
    <row r="68" spans="1:12" x14ac:dyDescent="0.3">
      <c r="A68" t="s">
        <v>184</v>
      </c>
      <c r="B68" t="s">
        <v>80</v>
      </c>
      <c r="C68" t="s">
        <v>62</v>
      </c>
      <c r="D68" t="s">
        <v>92</v>
      </c>
      <c r="E68">
        <v>27</v>
      </c>
      <c r="F68">
        <v>47731</v>
      </c>
      <c r="G68">
        <v>12</v>
      </c>
      <c r="H68">
        <v>18</v>
      </c>
      <c r="I68">
        <v>1338224.5</v>
      </c>
      <c r="J68" t="s">
        <v>37</v>
      </c>
      <c r="K68" t="s">
        <v>33</v>
      </c>
      <c r="L68">
        <f t="shared" si="2"/>
        <v>652861</v>
      </c>
    </row>
    <row r="69" spans="1:12" x14ac:dyDescent="0.3">
      <c r="A69" t="s">
        <v>162</v>
      </c>
      <c r="B69" t="s">
        <v>80</v>
      </c>
      <c r="C69" t="s">
        <v>13</v>
      </c>
      <c r="D69" t="s">
        <v>32</v>
      </c>
      <c r="E69">
        <v>2</v>
      </c>
      <c r="F69">
        <v>83585</v>
      </c>
      <c r="G69">
        <v>10</v>
      </c>
      <c r="H69">
        <v>28</v>
      </c>
      <c r="I69">
        <v>192579.84</v>
      </c>
      <c r="J69" t="s">
        <v>37</v>
      </c>
      <c r="K69" t="s">
        <v>26</v>
      </c>
      <c r="L69">
        <f t="shared" si="2"/>
        <v>724771</v>
      </c>
    </row>
    <row r="70" spans="1:12" x14ac:dyDescent="0.3">
      <c r="A70" t="s">
        <v>183</v>
      </c>
      <c r="B70" t="s">
        <v>80</v>
      </c>
      <c r="C70" t="s">
        <v>44</v>
      </c>
      <c r="D70" t="s">
        <v>51</v>
      </c>
      <c r="E70">
        <v>3</v>
      </c>
      <c r="F70">
        <v>3285</v>
      </c>
      <c r="G70">
        <v>0</v>
      </c>
      <c r="H70">
        <v>28</v>
      </c>
      <c r="I70">
        <v>12614.4</v>
      </c>
      <c r="J70" t="s">
        <v>15</v>
      </c>
      <c r="K70" t="s">
        <v>26</v>
      </c>
      <c r="L70">
        <f t="shared" si="2"/>
        <v>889330</v>
      </c>
    </row>
    <row r="71" spans="1:12" x14ac:dyDescent="0.3">
      <c r="A71" t="s">
        <v>207</v>
      </c>
      <c r="B71" t="s">
        <v>80</v>
      </c>
      <c r="C71" t="s">
        <v>35</v>
      </c>
      <c r="D71" t="s">
        <v>36</v>
      </c>
      <c r="E71">
        <v>3</v>
      </c>
      <c r="F71">
        <v>45387</v>
      </c>
      <c r="G71">
        <v>10</v>
      </c>
      <c r="H71">
        <v>28</v>
      </c>
      <c r="I71">
        <v>156857.47</v>
      </c>
      <c r="J71" t="s">
        <v>21</v>
      </c>
      <c r="K71" t="s">
        <v>26</v>
      </c>
      <c r="L71">
        <f t="shared" si="2"/>
        <v>646381</v>
      </c>
    </row>
    <row r="72" spans="1:12" x14ac:dyDescent="0.3">
      <c r="A72" t="s">
        <v>218</v>
      </c>
      <c r="B72" t="s">
        <v>80</v>
      </c>
      <c r="C72" t="s">
        <v>24</v>
      </c>
      <c r="D72" t="s">
        <v>25</v>
      </c>
      <c r="E72">
        <v>7</v>
      </c>
      <c r="F72">
        <v>66357</v>
      </c>
      <c r="G72">
        <v>10</v>
      </c>
      <c r="H72">
        <v>18</v>
      </c>
      <c r="I72">
        <v>493297.94</v>
      </c>
      <c r="J72" t="s">
        <v>37</v>
      </c>
      <c r="K72" t="s">
        <v>26</v>
      </c>
      <c r="L72">
        <f t="shared" si="2"/>
        <v>808969</v>
      </c>
    </row>
    <row r="73" spans="1:12" x14ac:dyDescent="0.3">
      <c r="A73" t="s">
        <v>201</v>
      </c>
      <c r="B73" t="s">
        <v>80</v>
      </c>
      <c r="C73" t="s">
        <v>48</v>
      </c>
      <c r="D73" t="s">
        <v>49</v>
      </c>
      <c r="E73">
        <v>6</v>
      </c>
      <c r="F73">
        <v>70011</v>
      </c>
      <c r="G73">
        <v>5</v>
      </c>
      <c r="H73">
        <v>28</v>
      </c>
      <c r="I73">
        <v>510800.26</v>
      </c>
      <c r="J73" t="s">
        <v>46</v>
      </c>
      <c r="K73" t="s">
        <v>33</v>
      </c>
      <c r="L73">
        <f t="shared" si="2"/>
        <v>376570</v>
      </c>
    </row>
    <row r="74" spans="1:12" x14ac:dyDescent="0.3">
      <c r="A74" t="s">
        <v>197</v>
      </c>
      <c r="B74" t="s">
        <v>80</v>
      </c>
      <c r="C74" t="s">
        <v>48</v>
      </c>
      <c r="D74" t="s">
        <v>59</v>
      </c>
      <c r="E74">
        <v>36</v>
      </c>
      <c r="F74">
        <v>76696</v>
      </c>
      <c r="G74">
        <v>5</v>
      </c>
      <c r="H74">
        <v>12</v>
      </c>
      <c r="I74">
        <v>2937763.58</v>
      </c>
      <c r="J74" t="s">
        <v>46</v>
      </c>
      <c r="K74" t="s">
        <v>26</v>
      </c>
      <c r="L74">
        <f t="shared" si="2"/>
        <v>376570</v>
      </c>
    </row>
    <row r="75" spans="1:12" x14ac:dyDescent="0.3">
      <c r="A75" t="s">
        <v>88</v>
      </c>
      <c r="B75" t="s">
        <v>80</v>
      </c>
      <c r="C75" t="s">
        <v>24</v>
      </c>
      <c r="D75" t="s">
        <v>40</v>
      </c>
      <c r="E75">
        <v>31</v>
      </c>
      <c r="F75">
        <v>81381</v>
      </c>
      <c r="G75">
        <v>10</v>
      </c>
      <c r="H75">
        <v>18</v>
      </c>
      <c r="I75">
        <v>2679225.2799999998</v>
      </c>
      <c r="J75" t="s">
        <v>46</v>
      </c>
      <c r="K75" t="s">
        <v>26</v>
      </c>
      <c r="L75">
        <f t="shared" si="2"/>
        <v>808969</v>
      </c>
    </row>
    <row r="76" spans="1:12" x14ac:dyDescent="0.3">
      <c r="A76" t="s">
        <v>198</v>
      </c>
      <c r="B76" t="s">
        <v>80</v>
      </c>
      <c r="C76" t="s">
        <v>44</v>
      </c>
      <c r="D76" t="s">
        <v>51</v>
      </c>
      <c r="E76">
        <v>2</v>
      </c>
      <c r="F76">
        <v>57423</v>
      </c>
      <c r="G76">
        <v>5</v>
      </c>
      <c r="H76">
        <v>28</v>
      </c>
      <c r="I76">
        <v>139652.74</v>
      </c>
      <c r="J76" t="s">
        <v>21</v>
      </c>
      <c r="K76" t="s">
        <v>26</v>
      </c>
      <c r="L76">
        <f t="shared" si="2"/>
        <v>889330</v>
      </c>
    </row>
    <row r="77" spans="1:12" x14ac:dyDescent="0.3">
      <c r="A77" t="s">
        <v>214</v>
      </c>
      <c r="B77" t="s">
        <v>80</v>
      </c>
      <c r="C77" t="s">
        <v>19</v>
      </c>
      <c r="D77" t="s">
        <v>20</v>
      </c>
      <c r="E77">
        <v>5</v>
      </c>
      <c r="F77">
        <v>10487</v>
      </c>
      <c r="G77">
        <v>12</v>
      </c>
      <c r="H77">
        <v>12</v>
      </c>
      <c r="I77">
        <v>51679.94</v>
      </c>
      <c r="J77" t="s">
        <v>46</v>
      </c>
      <c r="K77" t="s">
        <v>38</v>
      </c>
      <c r="L77">
        <f t="shared" si="2"/>
        <v>402999</v>
      </c>
    </row>
    <row r="78" spans="1:12" x14ac:dyDescent="0.3">
      <c r="A78" t="s">
        <v>122</v>
      </c>
      <c r="B78" t="s">
        <v>80</v>
      </c>
      <c r="C78" t="s">
        <v>29</v>
      </c>
      <c r="D78" t="s">
        <v>30</v>
      </c>
      <c r="E78">
        <v>36</v>
      </c>
      <c r="F78">
        <v>51961</v>
      </c>
      <c r="G78">
        <v>12</v>
      </c>
      <c r="H78">
        <v>28</v>
      </c>
      <c r="I78">
        <v>2107039.33</v>
      </c>
      <c r="J78" t="s">
        <v>37</v>
      </c>
      <c r="K78" t="s">
        <v>33</v>
      </c>
      <c r="L78">
        <f t="shared" si="2"/>
        <v>305746</v>
      </c>
    </row>
    <row r="79" spans="1:12" x14ac:dyDescent="0.3">
      <c r="A79" t="s">
        <v>91</v>
      </c>
      <c r="B79" t="s">
        <v>80</v>
      </c>
      <c r="C79" t="s">
        <v>62</v>
      </c>
      <c r="D79" t="s">
        <v>63</v>
      </c>
      <c r="E79">
        <v>11</v>
      </c>
      <c r="F79">
        <v>71468</v>
      </c>
      <c r="G79">
        <v>0</v>
      </c>
      <c r="H79">
        <v>18</v>
      </c>
      <c r="I79">
        <v>927654.64</v>
      </c>
      <c r="J79" t="s">
        <v>37</v>
      </c>
      <c r="K79" t="s">
        <v>26</v>
      </c>
      <c r="L79">
        <f t="shared" si="2"/>
        <v>652861</v>
      </c>
    </row>
    <row r="80" spans="1:12" x14ac:dyDescent="0.3">
      <c r="A80" t="s">
        <v>86</v>
      </c>
      <c r="B80" t="s">
        <v>80</v>
      </c>
      <c r="C80" t="s">
        <v>35</v>
      </c>
      <c r="D80" t="s">
        <v>77</v>
      </c>
      <c r="E80">
        <v>20</v>
      </c>
      <c r="F80">
        <v>18897</v>
      </c>
      <c r="G80">
        <v>5</v>
      </c>
      <c r="H80">
        <v>12</v>
      </c>
      <c r="I80">
        <v>402128.16</v>
      </c>
      <c r="J80" t="s">
        <v>15</v>
      </c>
      <c r="K80" t="s">
        <v>26</v>
      </c>
      <c r="L80">
        <f t="shared" si="2"/>
        <v>646381</v>
      </c>
    </row>
    <row r="81" spans="1:12" x14ac:dyDescent="0.3">
      <c r="A81" t="s">
        <v>145</v>
      </c>
      <c r="B81" t="s">
        <v>80</v>
      </c>
      <c r="C81" t="s">
        <v>35</v>
      </c>
      <c r="D81" t="s">
        <v>56</v>
      </c>
      <c r="E81">
        <v>17</v>
      </c>
      <c r="F81">
        <v>35207</v>
      </c>
      <c r="G81">
        <v>12</v>
      </c>
      <c r="H81">
        <v>12</v>
      </c>
      <c r="I81">
        <v>589900.32999999996</v>
      </c>
      <c r="J81" t="s">
        <v>15</v>
      </c>
      <c r="K81" t="s">
        <v>16</v>
      </c>
      <c r="L81">
        <f t="shared" si="2"/>
        <v>646381</v>
      </c>
    </row>
    <row r="82" spans="1:12" x14ac:dyDescent="0.3">
      <c r="A82" t="s">
        <v>43</v>
      </c>
      <c r="B82" t="s">
        <v>80</v>
      </c>
      <c r="C82" t="s">
        <v>29</v>
      </c>
      <c r="D82" t="s">
        <v>30</v>
      </c>
      <c r="E82">
        <v>26</v>
      </c>
      <c r="F82">
        <v>55181</v>
      </c>
      <c r="G82">
        <v>12</v>
      </c>
      <c r="H82">
        <v>12</v>
      </c>
      <c r="I82">
        <v>1414046.23</v>
      </c>
      <c r="J82" t="s">
        <v>46</v>
      </c>
      <c r="K82" t="s">
        <v>26</v>
      </c>
      <c r="L82">
        <f t="shared" si="2"/>
        <v>305746</v>
      </c>
    </row>
    <row r="83" spans="1:12" x14ac:dyDescent="0.3">
      <c r="A83" t="s">
        <v>83</v>
      </c>
      <c r="B83" t="s">
        <v>80</v>
      </c>
      <c r="C83" t="s">
        <v>44</v>
      </c>
      <c r="D83" t="s">
        <v>51</v>
      </c>
      <c r="E83">
        <v>33</v>
      </c>
      <c r="F83">
        <v>10037</v>
      </c>
      <c r="G83">
        <v>0</v>
      </c>
      <c r="H83">
        <v>28</v>
      </c>
      <c r="I83">
        <v>423962.88</v>
      </c>
      <c r="J83" t="s">
        <v>46</v>
      </c>
      <c r="K83" t="s">
        <v>16</v>
      </c>
      <c r="L83">
        <f t="shared" si="2"/>
        <v>889330</v>
      </c>
    </row>
    <row r="84" spans="1:12" x14ac:dyDescent="0.3">
      <c r="A84" t="s">
        <v>107</v>
      </c>
      <c r="B84" t="s">
        <v>80</v>
      </c>
      <c r="C84" t="s">
        <v>35</v>
      </c>
      <c r="D84" t="s">
        <v>36</v>
      </c>
      <c r="E84">
        <v>38</v>
      </c>
      <c r="F84">
        <v>72663</v>
      </c>
      <c r="G84">
        <v>0</v>
      </c>
      <c r="H84">
        <v>12</v>
      </c>
      <c r="I84">
        <v>3092537.28</v>
      </c>
      <c r="J84" t="s">
        <v>15</v>
      </c>
      <c r="K84" t="s">
        <v>26</v>
      </c>
      <c r="L84">
        <f t="shared" si="2"/>
        <v>646381</v>
      </c>
    </row>
    <row r="85" spans="1:12" x14ac:dyDescent="0.3">
      <c r="A85" t="s">
        <v>105</v>
      </c>
      <c r="B85" t="s">
        <v>80</v>
      </c>
      <c r="C85" t="s">
        <v>44</v>
      </c>
      <c r="D85" t="s">
        <v>51</v>
      </c>
      <c r="E85">
        <v>40</v>
      </c>
      <c r="F85">
        <v>48158</v>
      </c>
      <c r="G85">
        <v>10</v>
      </c>
      <c r="H85">
        <v>18</v>
      </c>
      <c r="I85">
        <v>2045751.84</v>
      </c>
      <c r="J85" t="s">
        <v>46</v>
      </c>
      <c r="K85" t="s">
        <v>26</v>
      </c>
      <c r="L85">
        <f t="shared" si="2"/>
        <v>889330</v>
      </c>
    </row>
    <row r="86" spans="1:12" x14ac:dyDescent="0.3">
      <c r="A86" t="s">
        <v>41</v>
      </c>
      <c r="B86" t="s">
        <v>80</v>
      </c>
      <c r="C86" t="s">
        <v>13</v>
      </c>
      <c r="D86" t="s">
        <v>14</v>
      </c>
      <c r="E86">
        <v>12</v>
      </c>
      <c r="F86">
        <v>3866</v>
      </c>
      <c r="G86">
        <v>0</v>
      </c>
      <c r="H86">
        <v>12</v>
      </c>
      <c r="I86">
        <v>51959.040000000001</v>
      </c>
      <c r="J86" t="s">
        <v>37</v>
      </c>
      <c r="K86" t="s">
        <v>26</v>
      </c>
      <c r="L86">
        <f t="shared" si="2"/>
        <v>724771</v>
      </c>
    </row>
    <row r="87" spans="1:12" x14ac:dyDescent="0.3">
      <c r="A87" t="s">
        <v>231</v>
      </c>
      <c r="B87" t="s">
        <v>80</v>
      </c>
      <c r="C87" t="s">
        <v>19</v>
      </c>
      <c r="D87" t="s">
        <v>20</v>
      </c>
      <c r="E87">
        <v>7</v>
      </c>
      <c r="F87">
        <v>71411</v>
      </c>
      <c r="G87">
        <v>0</v>
      </c>
      <c r="H87">
        <v>28</v>
      </c>
      <c r="I87">
        <v>639842.56000000006</v>
      </c>
      <c r="J87" t="s">
        <v>37</v>
      </c>
      <c r="K87" t="s">
        <v>38</v>
      </c>
      <c r="L87">
        <f t="shared" si="2"/>
        <v>402999</v>
      </c>
    </row>
    <row r="88" spans="1:12" x14ac:dyDescent="0.3">
      <c r="A88" t="s">
        <v>124</v>
      </c>
      <c r="B88" t="s">
        <v>80</v>
      </c>
      <c r="C88" t="s">
        <v>35</v>
      </c>
      <c r="D88" t="s">
        <v>56</v>
      </c>
      <c r="E88">
        <v>25</v>
      </c>
      <c r="F88">
        <v>84034</v>
      </c>
      <c r="G88">
        <v>0</v>
      </c>
      <c r="H88">
        <v>18</v>
      </c>
      <c r="I88">
        <v>2479003</v>
      </c>
      <c r="J88" t="s">
        <v>37</v>
      </c>
      <c r="K88" t="s">
        <v>16</v>
      </c>
      <c r="L88">
        <f t="shared" si="2"/>
        <v>646381</v>
      </c>
    </row>
    <row r="89" spans="1:12" x14ac:dyDescent="0.3">
      <c r="A89" t="s">
        <v>136</v>
      </c>
      <c r="B89" t="s">
        <v>80</v>
      </c>
      <c r="C89" t="s">
        <v>24</v>
      </c>
      <c r="D89" t="s">
        <v>25</v>
      </c>
      <c r="E89">
        <v>17</v>
      </c>
      <c r="F89">
        <v>27621</v>
      </c>
      <c r="G89">
        <v>5</v>
      </c>
      <c r="H89">
        <v>12</v>
      </c>
      <c r="I89">
        <v>499608.65</v>
      </c>
      <c r="J89" t="s">
        <v>15</v>
      </c>
      <c r="K89" t="s">
        <v>33</v>
      </c>
      <c r="L89">
        <f t="shared" si="2"/>
        <v>808969</v>
      </c>
    </row>
    <row r="90" spans="1:12" x14ac:dyDescent="0.3">
      <c r="A90" t="s">
        <v>115</v>
      </c>
      <c r="B90" t="s">
        <v>80</v>
      </c>
      <c r="C90" t="s">
        <v>13</v>
      </c>
      <c r="D90" t="s">
        <v>32</v>
      </c>
      <c r="E90">
        <v>9</v>
      </c>
      <c r="F90">
        <v>49935</v>
      </c>
      <c r="G90">
        <v>5</v>
      </c>
      <c r="H90">
        <v>12</v>
      </c>
      <c r="I90">
        <v>478177.56</v>
      </c>
      <c r="J90" t="s">
        <v>15</v>
      </c>
      <c r="K90" t="s">
        <v>26</v>
      </c>
      <c r="L90">
        <f t="shared" si="2"/>
        <v>724771</v>
      </c>
    </row>
    <row r="91" spans="1:12" x14ac:dyDescent="0.3">
      <c r="A91" t="s">
        <v>162</v>
      </c>
      <c r="B91" t="s">
        <v>80</v>
      </c>
      <c r="C91" t="s">
        <v>35</v>
      </c>
      <c r="D91" t="s">
        <v>56</v>
      </c>
      <c r="E91">
        <v>28</v>
      </c>
      <c r="F91">
        <v>40219</v>
      </c>
      <c r="G91">
        <v>0</v>
      </c>
      <c r="H91">
        <v>12</v>
      </c>
      <c r="I91">
        <v>1261267.8400000001</v>
      </c>
      <c r="J91" t="s">
        <v>46</v>
      </c>
      <c r="K91" t="s">
        <v>26</v>
      </c>
      <c r="L91">
        <f t="shared" si="2"/>
        <v>646381</v>
      </c>
    </row>
    <row r="92" spans="1:12" x14ac:dyDescent="0.3">
      <c r="A92" t="s">
        <v>202</v>
      </c>
      <c r="B92" t="s">
        <v>80</v>
      </c>
      <c r="C92" t="s">
        <v>29</v>
      </c>
      <c r="D92" t="s">
        <v>30</v>
      </c>
      <c r="E92">
        <v>40</v>
      </c>
      <c r="F92">
        <v>61016</v>
      </c>
      <c r="G92">
        <v>0</v>
      </c>
      <c r="H92">
        <v>28</v>
      </c>
      <c r="I92">
        <v>3124019.2000000002</v>
      </c>
      <c r="J92" t="s">
        <v>46</v>
      </c>
      <c r="K92" t="s">
        <v>16</v>
      </c>
      <c r="L92">
        <f t="shared" si="2"/>
        <v>305746</v>
      </c>
    </row>
    <row r="93" spans="1:12" x14ac:dyDescent="0.3">
      <c r="A93" t="s">
        <v>184</v>
      </c>
      <c r="B93" t="s">
        <v>80</v>
      </c>
      <c r="C93" t="s">
        <v>24</v>
      </c>
      <c r="D93" t="s">
        <v>76</v>
      </c>
      <c r="E93">
        <v>24</v>
      </c>
      <c r="F93">
        <v>19457</v>
      </c>
      <c r="G93">
        <v>10</v>
      </c>
      <c r="H93">
        <v>28</v>
      </c>
      <c r="I93">
        <v>537947.14</v>
      </c>
      <c r="J93" t="s">
        <v>37</v>
      </c>
      <c r="K93" t="s">
        <v>38</v>
      </c>
      <c r="L93">
        <f t="shared" si="2"/>
        <v>808969</v>
      </c>
    </row>
    <row r="94" spans="1:12" x14ac:dyDescent="0.3">
      <c r="A94" t="s">
        <v>196</v>
      </c>
      <c r="B94" t="s">
        <v>80</v>
      </c>
      <c r="C94" t="s">
        <v>35</v>
      </c>
      <c r="D94" t="s">
        <v>77</v>
      </c>
      <c r="E94">
        <v>36</v>
      </c>
      <c r="F94">
        <v>24143</v>
      </c>
      <c r="G94">
        <v>0</v>
      </c>
      <c r="H94">
        <v>12</v>
      </c>
      <c r="I94">
        <v>973445.76</v>
      </c>
      <c r="J94" t="s">
        <v>37</v>
      </c>
      <c r="K94" t="s">
        <v>16</v>
      </c>
      <c r="L94">
        <f t="shared" si="2"/>
        <v>646381</v>
      </c>
    </row>
    <row r="95" spans="1:12" x14ac:dyDescent="0.3">
      <c r="A95" t="s">
        <v>78</v>
      </c>
      <c r="B95" t="s">
        <v>80</v>
      </c>
      <c r="C95" t="s">
        <v>48</v>
      </c>
      <c r="D95" t="s">
        <v>59</v>
      </c>
      <c r="E95">
        <v>9</v>
      </c>
      <c r="F95">
        <v>17081</v>
      </c>
      <c r="G95">
        <v>0</v>
      </c>
      <c r="H95">
        <v>28</v>
      </c>
      <c r="I95">
        <v>196773.12</v>
      </c>
      <c r="J95" t="s">
        <v>37</v>
      </c>
      <c r="K95" t="s">
        <v>26</v>
      </c>
      <c r="L95">
        <f t="shared" si="2"/>
        <v>376570</v>
      </c>
    </row>
    <row r="96" spans="1:12" x14ac:dyDescent="0.3">
      <c r="A96" t="s">
        <v>204</v>
      </c>
      <c r="B96" t="s">
        <v>80</v>
      </c>
      <c r="C96" t="s">
        <v>62</v>
      </c>
      <c r="D96" t="s">
        <v>92</v>
      </c>
      <c r="E96">
        <v>33</v>
      </c>
      <c r="F96">
        <v>20441</v>
      </c>
      <c r="G96">
        <v>12</v>
      </c>
      <c r="H96">
        <v>28</v>
      </c>
      <c r="I96">
        <v>759816.5</v>
      </c>
      <c r="J96" t="s">
        <v>15</v>
      </c>
      <c r="K96" t="s">
        <v>16</v>
      </c>
      <c r="L96">
        <f t="shared" si="2"/>
        <v>652861</v>
      </c>
    </row>
    <row r="97" spans="1:12" x14ac:dyDescent="0.3">
      <c r="A97" t="s">
        <v>65</v>
      </c>
      <c r="B97" t="s">
        <v>80</v>
      </c>
      <c r="C97" t="s">
        <v>13</v>
      </c>
      <c r="D97" t="s">
        <v>32</v>
      </c>
      <c r="E97">
        <v>34</v>
      </c>
      <c r="F97">
        <v>46110</v>
      </c>
      <c r="G97">
        <v>5</v>
      </c>
      <c r="H97">
        <v>28</v>
      </c>
      <c r="I97">
        <v>1906371.84</v>
      </c>
      <c r="J97" t="s">
        <v>15</v>
      </c>
      <c r="K97" t="s">
        <v>33</v>
      </c>
      <c r="L97">
        <f t="shared" si="2"/>
        <v>724771</v>
      </c>
    </row>
    <row r="98" spans="1:12" x14ac:dyDescent="0.3">
      <c r="A98" t="s">
        <v>106</v>
      </c>
      <c r="B98" t="s">
        <v>80</v>
      </c>
      <c r="C98" t="s">
        <v>62</v>
      </c>
      <c r="D98" t="s">
        <v>92</v>
      </c>
      <c r="E98">
        <v>22</v>
      </c>
      <c r="F98">
        <v>71050</v>
      </c>
      <c r="G98">
        <v>0</v>
      </c>
      <c r="H98">
        <v>18</v>
      </c>
      <c r="I98">
        <v>1844458</v>
      </c>
      <c r="J98" t="s">
        <v>37</v>
      </c>
      <c r="K98" t="s">
        <v>33</v>
      </c>
      <c r="L98">
        <f t="shared" ref="L98:L113" si="3">SUMIF(C:C,C98,F:F)</f>
        <v>652861</v>
      </c>
    </row>
    <row r="99" spans="1:12" x14ac:dyDescent="0.3">
      <c r="A99" t="s">
        <v>116</v>
      </c>
      <c r="B99" t="s">
        <v>80</v>
      </c>
      <c r="C99" t="s">
        <v>62</v>
      </c>
      <c r="D99" t="s">
        <v>92</v>
      </c>
      <c r="E99">
        <v>4</v>
      </c>
      <c r="F99">
        <v>55539</v>
      </c>
      <c r="G99">
        <v>12</v>
      </c>
      <c r="H99">
        <v>18</v>
      </c>
      <c r="I99">
        <v>230686.79</v>
      </c>
      <c r="J99" t="s">
        <v>15</v>
      </c>
      <c r="K99" t="s">
        <v>16</v>
      </c>
      <c r="L99">
        <f t="shared" si="3"/>
        <v>652861</v>
      </c>
    </row>
    <row r="100" spans="1:12" x14ac:dyDescent="0.3">
      <c r="A100" t="s">
        <v>179</v>
      </c>
      <c r="B100" t="s">
        <v>80</v>
      </c>
      <c r="C100" t="s">
        <v>48</v>
      </c>
      <c r="D100" t="s">
        <v>49</v>
      </c>
      <c r="E100">
        <v>8</v>
      </c>
      <c r="F100">
        <v>17767</v>
      </c>
      <c r="G100">
        <v>0</v>
      </c>
      <c r="H100">
        <v>28</v>
      </c>
      <c r="I100">
        <v>181934.07999999999</v>
      </c>
      <c r="J100" t="s">
        <v>46</v>
      </c>
      <c r="K100" t="s">
        <v>26</v>
      </c>
      <c r="L100">
        <f t="shared" si="3"/>
        <v>376570</v>
      </c>
    </row>
    <row r="101" spans="1:12" x14ac:dyDescent="0.3">
      <c r="A101" t="s">
        <v>101</v>
      </c>
      <c r="B101" t="s">
        <v>80</v>
      </c>
      <c r="C101" t="s">
        <v>29</v>
      </c>
      <c r="D101" t="s">
        <v>30</v>
      </c>
      <c r="E101">
        <v>10</v>
      </c>
      <c r="F101">
        <v>78729</v>
      </c>
      <c r="G101">
        <v>5</v>
      </c>
      <c r="H101">
        <v>28</v>
      </c>
      <c r="I101">
        <v>957344.64</v>
      </c>
      <c r="J101" t="s">
        <v>15</v>
      </c>
      <c r="K101" t="s">
        <v>26</v>
      </c>
      <c r="L101">
        <f t="shared" si="3"/>
        <v>305746</v>
      </c>
    </row>
    <row r="102" spans="1:12" x14ac:dyDescent="0.3">
      <c r="A102" t="s">
        <v>99</v>
      </c>
      <c r="B102" t="s">
        <v>80</v>
      </c>
      <c r="C102" t="s">
        <v>35</v>
      </c>
      <c r="D102" t="s">
        <v>56</v>
      </c>
      <c r="E102">
        <v>29</v>
      </c>
      <c r="F102">
        <v>81307</v>
      </c>
      <c r="G102">
        <v>10</v>
      </c>
      <c r="H102">
        <v>12</v>
      </c>
      <c r="I102">
        <v>2376766.2200000002</v>
      </c>
      <c r="J102" t="s">
        <v>37</v>
      </c>
      <c r="K102" t="s">
        <v>26</v>
      </c>
      <c r="L102">
        <f t="shared" si="3"/>
        <v>646381</v>
      </c>
    </row>
    <row r="103" spans="1:12" x14ac:dyDescent="0.3">
      <c r="A103" t="s">
        <v>151</v>
      </c>
      <c r="B103" t="s">
        <v>80</v>
      </c>
      <c r="C103" t="s">
        <v>44</v>
      </c>
      <c r="D103" t="s">
        <v>45</v>
      </c>
      <c r="E103">
        <v>38</v>
      </c>
      <c r="F103">
        <v>65037</v>
      </c>
      <c r="G103">
        <v>10</v>
      </c>
      <c r="H103">
        <v>12</v>
      </c>
      <c r="I103">
        <v>2491177.25</v>
      </c>
      <c r="J103" t="s">
        <v>46</v>
      </c>
      <c r="K103" t="s">
        <v>26</v>
      </c>
      <c r="L103">
        <f t="shared" si="3"/>
        <v>889330</v>
      </c>
    </row>
    <row r="104" spans="1:12" x14ac:dyDescent="0.3">
      <c r="A104" t="s">
        <v>178</v>
      </c>
      <c r="B104" t="s">
        <v>80</v>
      </c>
      <c r="C104" t="s">
        <v>19</v>
      </c>
      <c r="D104" t="s">
        <v>20</v>
      </c>
      <c r="E104">
        <v>11</v>
      </c>
      <c r="F104">
        <v>21870</v>
      </c>
      <c r="G104">
        <v>0</v>
      </c>
      <c r="H104">
        <v>28</v>
      </c>
      <c r="I104">
        <v>307929.59999999998</v>
      </c>
      <c r="J104" t="s">
        <v>37</v>
      </c>
      <c r="K104" t="s">
        <v>26</v>
      </c>
      <c r="L104">
        <f t="shared" si="3"/>
        <v>402999</v>
      </c>
    </row>
    <row r="105" spans="1:12" x14ac:dyDescent="0.3">
      <c r="A105" t="s">
        <v>232</v>
      </c>
      <c r="B105" t="s">
        <v>80</v>
      </c>
      <c r="C105" t="s">
        <v>19</v>
      </c>
      <c r="D105" t="s">
        <v>20</v>
      </c>
      <c r="E105">
        <v>32</v>
      </c>
      <c r="F105">
        <v>36292</v>
      </c>
      <c r="G105">
        <v>0</v>
      </c>
      <c r="H105">
        <v>18</v>
      </c>
      <c r="I105">
        <v>1370385.92</v>
      </c>
      <c r="J105" t="s">
        <v>15</v>
      </c>
      <c r="K105" t="s">
        <v>16</v>
      </c>
      <c r="L105">
        <f t="shared" si="3"/>
        <v>402999</v>
      </c>
    </row>
    <row r="106" spans="1:12" x14ac:dyDescent="0.3">
      <c r="A106" t="s">
        <v>211</v>
      </c>
      <c r="B106" t="s">
        <v>80</v>
      </c>
      <c r="C106" t="s">
        <v>48</v>
      </c>
      <c r="D106" t="s">
        <v>49</v>
      </c>
      <c r="E106">
        <v>5</v>
      </c>
      <c r="F106">
        <v>33488</v>
      </c>
      <c r="G106">
        <v>10</v>
      </c>
      <c r="H106">
        <v>18</v>
      </c>
      <c r="I106">
        <v>177821.28</v>
      </c>
      <c r="J106" t="s">
        <v>15</v>
      </c>
      <c r="K106" t="s">
        <v>38</v>
      </c>
      <c r="L106">
        <f t="shared" si="3"/>
        <v>376570</v>
      </c>
    </row>
    <row r="107" spans="1:12" x14ac:dyDescent="0.3">
      <c r="A107" t="s">
        <v>122</v>
      </c>
      <c r="B107" t="s">
        <v>80</v>
      </c>
      <c r="C107" t="s">
        <v>24</v>
      </c>
      <c r="D107" t="s">
        <v>40</v>
      </c>
      <c r="E107">
        <v>29</v>
      </c>
      <c r="F107">
        <v>69259</v>
      </c>
      <c r="G107">
        <v>0</v>
      </c>
      <c r="H107">
        <v>28</v>
      </c>
      <c r="I107">
        <v>2570894.08</v>
      </c>
      <c r="J107" t="s">
        <v>37</v>
      </c>
      <c r="K107" t="s">
        <v>38</v>
      </c>
      <c r="L107">
        <f t="shared" si="3"/>
        <v>808969</v>
      </c>
    </row>
    <row r="108" spans="1:12" x14ac:dyDescent="0.3">
      <c r="A108" t="s">
        <v>108</v>
      </c>
      <c r="B108" t="s">
        <v>80</v>
      </c>
      <c r="C108" t="s">
        <v>13</v>
      </c>
      <c r="D108" t="s">
        <v>14</v>
      </c>
      <c r="E108">
        <v>28</v>
      </c>
      <c r="F108">
        <v>67753</v>
      </c>
      <c r="G108">
        <v>10</v>
      </c>
      <c r="H108">
        <v>28</v>
      </c>
      <c r="I108">
        <v>2185440.77</v>
      </c>
      <c r="J108" t="s">
        <v>37</v>
      </c>
      <c r="K108" t="s">
        <v>38</v>
      </c>
      <c r="L108">
        <f t="shared" si="3"/>
        <v>724771</v>
      </c>
    </row>
    <row r="109" spans="1:12" x14ac:dyDescent="0.3">
      <c r="A109" t="s">
        <v>131</v>
      </c>
      <c r="B109" t="s">
        <v>80</v>
      </c>
      <c r="C109" t="s">
        <v>62</v>
      </c>
      <c r="D109" t="s">
        <v>63</v>
      </c>
      <c r="E109">
        <v>9</v>
      </c>
      <c r="F109">
        <v>33026</v>
      </c>
      <c r="G109">
        <v>12</v>
      </c>
      <c r="H109">
        <v>18</v>
      </c>
      <c r="I109">
        <v>308647.78999999998</v>
      </c>
      <c r="J109" t="s">
        <v>15</v>
      </c>
      <c r="K109" t="s">
        <v>38</v>
      </c>
      <c r="L109">
        <f t="shared" si="3"/>
        <v>652861</v>
      </c>
    </row>
    <row r="110" spans="1:12" x14ac:dyDescent="0.3">
      <c r="A110" t="s">
        <v>134</v>
      </c>
      <c r="B110" t="s">
        <v>80</v>
      </c>
      <c r="C110" t="s">
        <v>19</v>
      </c>
      <c r="D110" t="s">
        <v>20</v>
      </c>
      <c r="E110">
        <v>16</v>
      </c>
      <c r="F110">
        <v>22625</v>
      </c>
      <c r="G110">
        <v>10</v>
      </c>
      <c r="H110">
        <v>18</v>
      </c>
      <c r="I110">
        <v>384444</v>
      </c>
      <c r="J110" t="s">
        <v>15</v>
      </c>
      <c r="K110" t="s">
        <v>33</v>
      </c>
      <c r="L110">
        <f t="shared" si="3"/>
        <v>402999</v>
      </c>
    </row>
    <row r="111" spans="1:12" x14ac:dyDescent="0.3">
      <c r="A111" t="s">
        <v>146</v>
      </c>
      <c r="B111" t="s">
        <v>80</v>
      </c>
      <c r="C111" t="s">
        <v>35</v>
      </c>
      <c r="D111" t="s">
        <v>36</v>
      </c>
      <c r="E111">
        <v>4</v>
      </c>
      <c r="F111">
        <v>16231</v>
      </c>
      <c r="G111">
        <v>12</v>
      </c>
      <c r="H111">
        <v>28</v>
      </c>
      <c r="I111">
        <v>73130.39</v>
      </c>
      <c r="J111" t="s">
        <v>46</v>
      </c>
      <c r="K111" t="s">
        <v>33</v>
      </c>
      <c r="L111">
        <f t="shared" si="3"/>
        <v>646381</v>
      </c>
    </row>
    <row r="112" spans="1:12" x14ac:dyDescent="0.3">
      <c r="A112" t="s">
        <v>140</v>
      </c>
      <c r="B112" t="s">
        <v>80</v>
      </c>
      <c r="C112" t="s">
        <v>44</v>
      </c>
      <c r="D112" t="s">
        <v>45</v>
      </c>
      <c r="E112">
        <v>10</v>
      </c>
      <c r="F112">
        <v>19949</v>
      </c>
      <c r="G112">
        <v>0</v>
      </c>
      <c r="H112">
        <v>12</v>
      </c>
      <c r="I112">
        <v>223428.8</v>
      </c>
      <c r="J112" t="s">
        <v>46</v>
      </c>
      <c r="K112" t="s">
        <v>33</v>
      </c>
      <c r="L112">
        <f t="shared" si="3"/>
        <v>889330</v>
      </c>
    </row>
    <row r="113" spans="1:12" x14ac:dyDescent="0.3">
      <c r="A113" t="s">
        <v>117</v>
      </c>
      <c r="B113" t="s">
        <v>80</v>
      </c>
      <c r="C113" t="s">
        <v>24</v>
      </c>
      <c r="D113" t="s">
        <v>76</v>
      </c>
      <c r="E113">
        <v>38</v>
      </c>
      <c r="F113">
        <v>25394</v>
      </c>
      <c r="G113">
        <v>12</v>
      </c>
      <c r="H113">
        <v>12</v>
      </c>
      <c r="I113">
        <v>951076.4</v>
      </c>
      <c r="J113" t="s">
        <v>37</v>
      </c>
      <c r="K113" t="s">
        <v>16</v>
      </c>
      <c r="L113">
        <f t="shared" si="3"/>
        <v>808969</v>
      </c>
    </row>
    <row r="117" spans="1:12" x14ac:dyDescent="0.3">
      <c r="A117" s="2" t="s">
        <v>234</v>
      </c>
      <c r="B117" t="s">
        <v>236</v>
      </c>
      <c r="J117" s="2" t="s">
        <v>234</v>
      </c>
      <c r="K117" t="s">
        <v>236</v>
      </c>
    </row>
    <row r="118" spans="1:12" x14ac:dyDescent="0.3">
      <c r="A118" s="3" t="s">
        <v>35</v>
      </c>
      <c r="B118" s="4">
        <v>16336811.85</v>
      </c>
      <c r="J118" s="3" t="s">
        <v>37</v>
      </c>
      <c r="K118" s="4">
        <v>34114429.82</v>
      </c>
    </row>
    <row r="119" spans="1:12" x14ac:dyDescent="0.3">
      <c r="A119" s="3" t="s">
        <v>19</v>
      </c>
      <c r="B119" s="4">
        <v>6114301.4499999993</v>
      </c>
      <c r="J119" s="3" t="s">
        <v>21</v>
      </c>
      <c r="K119" s="4">
        <v>17364677.210000001</v>
      </c>
    </row>
    <row r="120" spans="1:12" x14ac:dyDescent="0.3">
      <c r="A120" s="3" t="s">
        <v>29</v>
      </c>
      <c r="B120" s="4">
        <v>8261670.2000000002</v>
      </c>
      <c r="J120" s="3" t="s">
        <v>46</v>
      </c>
      <c r="K120" s="4">
        <v>26885257.289999995</v>
      </c>
    </row>
    <row r="121" spans="1:12" x14ac:dyDescent="0.3">
      <c r="A121" s="3" t="s">
        <v>13</v>
      </c>
      <c r="B121" s="4">
        <v>12791933.620000001</v>
      </c>
      <c r="J121" s="3" t="s">
        <v>15</v>
      </c>
      <c r="K121" s="4">
        <v>24263383.409999996</v>
      </c>
    </row>
    <row r="122" spans="1:12" x14ac:dyDescent="0.3">
      <c r="A122" s="3" t="s">
        <v>62</v>
      </c>
      <c r="B122" s="4">
        <v>15450180.989999998</v>
      </c>
      <c r="J122" s="3" t="s">
        <v>235</v>
      </c>
      <c r="K122" s="4">
        <v>102627747.72999999</v>
      </c>
    </row>
    <row r="123" spans="1:12" x14ac:dyDescent="0.3">
      <c r="A123" s="3" t="s">
        <v>48</v>
      </c>
      <c r="B123" s="4">
        <v>6783610.8300000001</v>
      </c>
    </row>
    <row r="124" spans="1:12" x14ac:dyDescent="0.3">
      <c r="A124" s="3" t="s">
        <v>24</v>
      </c>
      <c r="B124" s="4">
        <v>17106307.849999998</v>
      </c>
    </row>
    <row r="125" spans="1:12" x14ac:dyDescent="0.3">
      <c r="A125" s="3" t="s">
        <v>44</v>
      </c>
      <c r="B125" s="4">
        <v>19782930.940000001</v>
      </c>
    </row>
    <row r="126" spans="1:12" x14ac:dyDescent="0.3">
      <c r="A126" s="3" t="s">
        <v>235</v>
      </c>
      <c r="B126" s="4">
        <v>102627747.72999999</v>
      </c>
    </row>
    <row r="135" spans="1:2" x14ac:dyDescent="0.3">
      <c r="A135" s="2" t="s">
        <v>234</v>
      </c>
      <c r="B135" t="s">
        <v>236</v>
      </c>
    </row>
    <row r="136" spans="1:2" x14ac:dyDescent="0.3">
      <c r="A136" s="3" t="s">
        <v>38</v>
      </c>
      <c r="B136" s="4">
        <v>24816834.180000003</v>
      </c>
    </row>
    <row r="137" spans="1:2" x14ac:dyDescent="0.3">
      <c r="A137" s="3" t="s">
        <v>26</v>
      </c>
      <c r="B137" s="4">
        <v>35857512.270000003</v>
      </c>
    </row>
    <row r="138" spans="1:2" x14ac:dyDescent="0.3">
      <c r="A138" s="3" t="s">
        <v>33</v>
      </c>
      <c r="B138" s="4">
        <v>17132680.390000001</v>
      </c>
    </row>
    <row r="139" spans="1:2" x14ac:dyDescent="0.3">
      <c r="A139" s="3" t="s">
        <v>16</v>
      </c>
      <c r="B139" s="4">
        <v>24820720.890000001</v>
      </c>
    </row>
    <row r="140" spans="1:2" x14ac:dyDescent="0.3">
      <c r="A140" s="3" t="s">
        <v>235</v>
      </c>
      <c r="B140" s="4">
        <v>102627747.73</v>
      </c>
    </row>
  </sheetData>
  <pageMargins left="0.75" right="0.75" top="1" bottom="1" header="0.5" footer="0.5"/>
  <drawing r:id="rId4"/>
  <tableParts count="1">
    <tablePart r:id="rId5"/>
  </tableParts>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L113"/>
  <sheetViews>
    <sheetView workbookViewId="0">
      <selection sqref="A1:XFD1"/>
    </sheetView>
  </sheetViews>
  <sheetFormatPr defaultRowHeight="14.4" x14ac:dyDescent="0.3"/>
  <cols>
    <col min="1" max="1" width="15.88671875" bestFit="1" customWidth="1"/>
    <col min="2" max="2" width="23.88671875" bestFit="1" customWidth="1"/>
    <col min="3" max="3" width="16" customWidth="1"/>
    <col min="4" max="4" width="14.109375" bestFit="1" customWidth="1"/>
    <col min="5" max="5" width="6.21875" bestFit="1" customWidth="1"/>
    <col min="6" max="6" width="11.88671875" bestFit="1" customWidth="1"/>
    <col min="7" max="7" width="13" bestFit="1" customWidth="1"/>
    <col min="9" max="9" width="15.44140625" bestFit="1" customWidth="1"/>
    <col min="10" max="10" width="12.77734375" bestFit="1" customWidth="1"/>
    <col min="11" max="11" width="16.88671875" bestFit="1" customWidth="1"/>
  </cols>
  <sheetData>
    <row r="1" spans="1:12" x14ac:dyDescent="0.3">
      <c r="A1" t="s">
        <v>0</v>
      </c>
      <c r="B1" t="s">
        <v>1</v>
      </c>
      <c r="C1" t="s">
        <v>2</v>
      </c>
      <c r="D1" t="s">
        <v>3</v>
      </c>
      <c r="E1" t="s">
        <v>4</v>
      </c>
      <c r="F1" t="s">
        <v>5</v>
      </c>
      <c r="G1" t="s">
        <v>6</v>
      </c>
      <c r="H1" t="s">
        <v>7</v>
      </c>
      <c r="I1" t="s">
        <v>8</v>
      </c>
      <c r="J1" t="s">
        <v>9</v>
      </c>
      <c r="K1" t="s">
        <v>10</v>
      </c>
      <c r="L1" t="s">
        <v>251</v>
      </c>
    </row>
    <row r="2" spans="1:12" x14ac:dyDescent="0.3">
      <c r="A2" t="s">
        <v>68</v>
      </c>
      <c r="B2" t="s">
        <v>58</v>
      </c>
      <c r="C2" t="s">
        <v>24</v>
      </c>
      <c r="D2" t="s">
        <v>25</v>
      </c>
      <c r="E2">
        <v>16</v>
      </c>
      <c r="F2">
        <v>74830</v>
      </c>
      <c r="G2">
        <v>5</v>
      </c>
      <c r="H2">
        <v>28</v>
      </c>
      <c r="I2">
        <v>1455892.48</v>
      </c>
      <c r="J2" t="s">
        <v>37</v>
      </c>
      <c r="K2" t="s">
        <v>26</v>
      </c>
      <c r="L2">
        <f t="shared" ref="L2:L33" si="0">SUMIF(C:C,C2,F:F)</f>
        <v>1007515</v>
      </c>
    </row>
    <row r="3" spans="1:12" x14ac:dyDescent="0.3">
      <c r="A3" t="s">
        <v>111</v>
      </c>
      <c r="B3" t="s">
        <v>58</v>
      </c>
      <c r="C3" t="s">
        <v>13</v>
      </c>
      <c r="D3" t="s">
        <v>32</v>
      </c>
      <c r="E3">
        <v>25</v>
      </c>
      <c r="F3">
        <v>26082</v>
      </c>
      <c r="G3">
        <v>10</v>
      </c>
      <c r="H3">
        <v>12</v>
      </c>
      <c r="I3">
        <v>657266.4</v>
      </c>
      <c r="J3" t="s">
        <v>37</v>
      </c>
      <c r="K3" t="s">
        <v>26</v>
      </c>
      <c r="L3">
        <f t="shared" si="0"/>
        <v>640842</v>
      </c>
    </row>
    <row r="4" spans="1:12" x14ac:dyDescent="0.3">
      <c r="A4" t="s">
        <v>231</v>
      </c>
      <c r="B4" t="s">
        <v>58</v>
      </c>
      <c r="C4" t="s">
        <v>48</v>
      </c>
      <c r="D4" t="s">
        <v>49</v>
      </c>
      <c r="E4">
        <v>33</v>
      </c>
      <c r="F4">
        <v>19143</v>
      </c>
      <c r="G4">
        <v>0</v>
      </c>
      <c r="H4">
        <v>12</v>
      </c>
      <c r="I4">
        <v>707525.28</v>
      </c>
      <c r="J4" t="s">
        <v>46</v>
      </c>
      <c r="K4" t="s">
        <v>38</v>
      </c>
      <c r="L4">
        <f t="shared" si="0"/>
        <v>499714</v>
      </c>
    </row>
    <row r="5" spans="1:12" x14ac:dyDescent="0.3">
      <c r="A5" t="s">
        <v>98</v>
      </c>
      <c r="B5" t="s">
        <v>58</v>
      </c>
      <c r="C5" t="s">
        <v>13</v>
      </c>
      <c r="D5" t="s">
        <v>14</v>
      </c>
      <c r="E5">
        <v>9</v>
      </c>
      <c r="F5">
        <v>77668</v>
      </c>
      <c r="G5">
        <v>0</v>
      </c>
      <c r="H5">
        <v>28</v>
      </c>
      <c r="I5">
        <v>894735.35999999999</v>
      </c>
      <c r="J5" t="s">
        <v>15</v>
      </c>
      <c r="K5" t="s">
        <v>26</v>
      </c>
      <c r="L5">
        <f t="shared" si="0"/>
        <v>640842</v>
      </c>
    </row>
    <row r="6" spans="1:12" x14ac:dyDescent="0.3">
      <c r="A6" t="s">
        <v>74</v>
      </c>
      <c r="B6" t="s">
        <v>58</v>
      </c>
      <c r="C6" t="s">
        <v>35</v>
      </c>
      <c r="D6" t="s">
        <v>36</v>
      </c>
      <c r="E6">
        <v>24</v>
      </c>
      <c r="F6">
        <v>47049</v>
      </c>
      <c r="G6">
        <v>0</v>
      </c>
      <c r="H6">
        <v>12</v>
      </c>
      <c r="I6">
        <v>1264677.1200000001</v>
      </c>
      <c r="J6" t="s">
        <v>46</v>
      </c>
      <c r="K6" t="s">
        <v>16</v>
      </c>
      <c r="L6">
        <f t="shared" si="0"/>
        <v>1152915</v>
      </c>
    </row>
    <row r="7" spans="1:12" x14ac:dyDescent="0.3">
      <c r="A7" t="s">
        <v>54</v>
      </c>
      <c r="B7" t="s">
        <v>58</v>
      </c>
      <c r="C7" t="s">
        <v>44</v>
      </c>
      <c r="D7" t="s">
        <v>51</v>
      </c>
      <c r="E7">
        <v>15</v>
      </c>
      <c r="F7">
        <v>44688</v>
      </c>
      <c r="G7">
        <v>12</v>
      </c>
      <c r="H7">
        <v>28</v>
      </c>
      <c r="I7">
        <v>755048.45</v>
      </c>
      <c r="J7" t="s">
        <v>21</v>
      </c>
      <c r="K7" t="s">
        <v>16</v>
      </c>
      <c r="L7">
        <f t="shared" si="0"/>
        <v>526588</v>
      </c>
    </row>
    <row r="8" spans="1:12" x14ac:dyDescent="0.3">
      <c r="A8" t="s">
        <v>200</v>
      </c>
      <c r="B8" t="s">
        <v>58</v>
      </c>
      <c r="C8" t="s">
        <v>44</v>
      </c>
      <c r="D8" t="s">
        <v>45</v>
      </c>
      <c r="E8">
        <v>31</v>
      </c>
      <c r="F8">
        <v>39465</v>
      </c>
      <c r="G8">
        <v>5</v>
      </c>
      <c r="H8">
        <v>28</v>
      </c>
      <c r="I8">
        <v>1487672.64</v>
      </c>
      <c r="J8" t="s">
        <v>15</v>
      </c>
      <c r="K8" t="s">
        <v>33</v>
      </c>
      <c r="L8">
        <f t="shared" si="0"/>
        <v>526588</v>
      </c>
    </row>
    <row r="9" spans="1:12" x14ac:dyDescent="0.3">
      <c r="A9" t="s">
        <v>159</v>
      </c>
      <c r="B9" t="s">
        <v>58</v>
      </c>
      <c r="C9" t="s">
        <v>24</v>
      </c>
      <c r="D9" t="s">
        <v>40</v>
      </c>
      <c r="E9">
        <v>16</v>
      </c>
      <c r="F9">
        <v>20672</v>
      </c>
      <c r="G9">
        <v>10</v>
      </c>
      <c r="H9">
        <v>18</v>
      </c>
      <c r="I9">
        <v>351258.62</v>
      </c>
      <c r="J9" t="s">
        <v>37</v>
      </c>
      <c r="K9" t="s">
        <v>38</v>
      </c>
      <c r="L9">
        <f t="shared" si="0"/>
        <v>1007515</v>
      </c>
    </row>
    <row r="10" spans="1:12" x14ac:dyDescent="0.3">
      <c r="A10" t="s">
        <v>169</v>
      </c>
      <c r="B10" t="s">
        <v>58</v>
      </c>
      <c r="C10" t="s">
        <v>44</v>
      </c>
      <c r="D10" t="s">
        <v>45</v>
      </c>
      <c r="E10">
        <v>12</v>
      </c>
      <c r="F10">
        <v>10272</v>
      </c>
      <c r="G10">
        <v>10</v>
      </c>
      <c r="H10">
        <v>28</v>
      </c>
      <c r="I10">
        <v>142000.13</v>
      </c>
      <c r="J10" t="s">
        <v>15</v>
      </c>
      <c r="K10" t="s">
        <v>16</v>
      </c>
      <c r="L10">
        <f t="shared" si="0"/>
        <v>526588</v>
      </c>
    </row>
    <row r="11" spans="1:12" x14ac:dyDescent="0.3">
      <c r="A11" t="s">
        <v>117</v>
      </c>
      <c r="B11" t="s">
        <v>58</v>
      </c>
      <c r="C11" t="s">
        <v>13</v>
      </c>
      <c r="D11" t="s">
        <v>14</v>
      </c>
      <c r="E11">
        <v>11</v>
      </c>
      <c r="F11">
        <v>2188</v>
      </c>
      <c r="G11">
        <v>12</v>
      </c>
      <c r="H11">
        <v>12</v>
      </c>
      <c r="I11">
        <v>23721.42</v>
      </c>
      <c r="J11" t="s">
        <v>15</v>
      </c>
      <c r="K11" t="s">
        <v>26</v>
      </c>
      <c r="L11">
        <f t="shared" si="0"/>
        <v>640842</v>
      </c>
    </row>
    <row r="12" spans="1:12" x14ac:dyDescent="0.3">
      <c r="A12" t="s">
        <v>119</v>
      </c>
      <c r="B12" t="s">
        <v>58</v>
      </c>
      <c r="C12" t="s">
        <v>24</v>
      </c>
      <c r="D12" t="s">
        <v>76</v>
      </c>
      <c r="E12">
        <v>18</v>
      </c>
      <c r="F12">
        <v>70011</v>
      </c>
      <c r="G12">
        <v>5</v>
      </c>
      <c r="H12">
        <v>12</v>
      </c>
      <c r="I12">
        <v>1340850.67</v>
      </c>
      <c r="J12" t="s">
        <v>15</v>
      </c>
      <c r="K12" t="s">
        <v>33</v>
      </c>
      <c r="L12">
        <f t="shared" si="0"/>
        <v>1007515</v>
      </c>
    </row>
    <row r="13" spans="1:12" x14ac:dyDescent="0.3">
      <c r="A13" t="s">
        <v>227</v>
      </c>
      <c r="B13" t="s">
        <v>58</v>
      </c>
      <c r="C13" t="s">
        <v>62</v>
      </c>
      <c r="D13" t="s">
        <v>63</v>
      </c>
      <c r="E13">
        <v>12</v>
      </c>
      <c r="F13">
        <v>13360</v>
      </c>
      <c r="G13">
        <v>10</v>
      </c>
      <c r="H13">
        <v>28</v>
      </c>
      <c r="I13">
        <v>184688.64000000001</v>
      </c>
      <c r="J13" t="s">
        <v>15</v>
      </c>
      <c r="K13" t="s">
        <v>33</v>
      </c>
      <c r="L13">
        <f t="shared" si="0"/>
        <v>420781</v>
      </c>
    </row>
    <row r="14" spans="1:12" x14ac:dyDescent="0.3">
      <c r="A14" t="s">
        <v>118</v>
      </c>
      <c r="B14" t="s">
        <v>58</v>
      </c>
      <c r="C14" t="s">
        <v>24</v>
      </c>
      <c r="D14" t="s">
        <v>25</v>
      </c>
      <c r="E14">
        <v>2</v>
      </c>
      <c r="F14">
        <v>31517</v>
      </c>
      <c r="G14">
        <v>12</v>
      </c>
      <c r="H14">
        <v>12</v>
      </c>
      <c r="I14">
        <v>62126.31</v>
      </c>
      <c r="J14" t="s">
        <v>15</v>
      </c>
      <c r="K14" t="s">
        <v>33</v>
      </c>
      <c r="L14">
        <f t="shared" si="0"/>
        <v>1007515</v>
      </c>
    </row>
    <row r="15" spans="1:12" x14ac:dyDescent="0.3">
      <c r="A15" t="s">
        <v>67</v>
      </c>
      <c r="B15" t="s">
        <v>58</v>
      </c>
      <c r="C15" t="s">
        <v>35</v>
      </c>
      <c r="D15" t="s">
        <v>77</v>
      </c>
      <c r="E15">
        <v>11</v>
      </c>
      <c r="F15">
        <v>60601</v>
      </c>
      <c r="G15">
        <v>0</v>
      </c>
      <c r="H15">
        <v>12</v>
      </c>
      <c r="I15">
        <v>746604.32</v>
      </c>
      <c r="J15" t="s">
        <v>37</v>
      </c>
      <c r="K15" t="s">
        <v>38</v>
      </c>
      <c r="L15">
        <f t="shared" si="0"/>
        <v>1152915</v>
      </c>
    </row>
    <row r="16" spans="1:12" x14ac:dyDescent="0.3">
      <c r="A16" t="s">
        <v>210</v>
      </c>
      <c r="B16" t="s">
        <v>58</v>
      </c>
      <c r="C16" t="s">
        <v>62</v>
      </c>
      <c r="D16" t="s">
        <v>92</v>
      </c>
      <c r="E16">
        <v>25</v>
      </c>
      <c r="F16">
        <v>14517</v>
      </c>
      <c r="G16">
        <v>10</v>
      </c>
      <c r="H16">
        <v>18</v>
      </c>
      <c r="I16">
        <v>385426.35</v>
      </c>
      <c r="J16" t="s">
        <v>37</v>
      </c>
      <c r="K16" t="s">
        <v>38</v>
      </c>
      <c r="L16">
        <f t="shared" si="0"/>
        <v>420781</v>
      </c>
    </row>
    <row r="17" spans="1:12" x14ac:dyDescent="0.3">
      <c r="A17" t="s">
        <v>31</v>
      </c>
      <c r="B17" t="s">
        <v>58</v>
      </c>
      <c r="C17" t="s">
        <v>13</v>
      </c>
      <c r="D17" t="s">
        <v>32</v>
      </c>
      <c r="E17">
        <v>38</v>
      </c>
      <c r="F17">
        <v>39203</v>
      </c>
      <c r="G17">
        <v>0</v>
      </c>
      <c r="H17">
        <v>18</v>
      </c>
      <c r="I17">
        <v>1757862.52</v>
      </c>
      <c r="J17" t="s">
        <v>15</v>
      </c>
      <c r="K17" t="s">
        <v>38</v>
      </c>
      <c r="L17">
        <f t="shared" si="0"/>
        <v>640842</v>
      </c>
    </row>
    <row r="18" spans="1:12" x14ac:dyDescent="0.3">
      <c r="A18" t="s">
        <v>116</v>
      </c>
      <c r="B18" t="s">
        <v>58</v>
      </c>
      <c r="C18" t="s">
        <v>48</v>
      </c>
      <c r="D18" t="s">
        <v>59</v>
      </c>
      <c r="E18">
        <v>6</v>
      </c>
      <c r="F18">
        <v>2511</v>
      </c>
      <c r="G18">
        <v>5</v>
      </c>
      <c r="H18">
        <v>18</v>
      </c>
      <c r="I18">
        <v>16888.990000000002</v>
      </c>
      <c r="J18" t="s">
        <v>46</v>
      </c>
      <c r="K18" t="s">
        <v>16</v>
      </c>
      <c r="L18">
        <f t="shared" si="0"/>
        <v>499714</v>
      </c>
    </row>
    <row r="19" spans="1:12" x14ac:dyDescent="0.3">
      <c r="A19" t="s">
        <v>221</v>
      </c>
      <c r="B19" t="s">
        <v>58</v>
      </c>
      <c r="C19" t="s">
        <v>35</v>
      </c>
      <c r="D19" t="s">
        <v>36</v>
      </c>
      <c r="E19">
        <v>6</v>
      </c>
      <c r="F19">
        <v>66568</v>
      </c>
      <c r="G19">
        <v>5</v>
      </c>
      <c r="H19">
        <v>18</v>
      </c>
      <c r="I19">
        <v>447736.37</v>
      </c>
      <c r="J19" t="s">
        <v>37</v>
      </c>
      <c r="K19" t="s">
        <v>16</v>
      </c>
      <c r="L19">
        <f t="shared" si="0"/>
        <v>1152915</v>
      </c>
    </row>
    <row r="20" spans="1:12" x14ac:dyDescent="0.3">
      <c r="A20" t="s">
        <v>96</v>
      </c>
      <c r="B20" t="s">
        <v>58</v>
      </c>
      <c r="C20" t="s">
        <v>48</v>
      </c>
      <c r="D20" t="s">
        <v>49</v>
      </c>
      <c r="E20">
        <v>30</v>
      </c>
      <c r="F20">
        <v>15600</v>
      </c>
      <c r="G20">
        <v>10</v>
      </c>
      <c r="H20">
        <v>12</v>
      </c>
      <c r="I20">
        <v>471744</v>
      </c>
      <c r="J20" t="s">
        <v>21</v>
      </c>
      <c r="K20" t="s">
        <v>26</v>
      </c>
      <c r="L20">
        <f t="shared" si="0"/>
        <v>499714</v>
      </c>
    </row>
    <row r="21" spans="1:12" x14ac:dyDescent="0.3">
      <c r="A21" t="s">
        <v>41</v>
      </c>
      <c r="B21" t="s">
        <v>58</v>
      </c>
      <c r="C21" t="s">
        <v>44</v>
      </c>
      <c r="D21" t="s">
        <v>45</v>
      </c>
      <c r="E21">
        <v>3</v>
      </c>
      <c r="F21">
        <v>81374</v>
      </c>
      <c r="G21">
        <v>12</v>
      </c>
      <c r="H21">
        <v>12</v>
      </c>
      <c r="I21">
        <v>240606.64</v>
      </c>
      <c r="J21" t="s">
        <v>21</v>
      </c>
      <c r="K21" t="s">
        <v>33</v>
      </c>
      <c r="L21">
        <f t="shared" si="0"/>
        <v>526588</v>
      </c>
    </row>
    <row r="22" spans="1:12" x14ac:dyDescent="0.3">
      <c r="A22" t="s">
        <v>216</v>
      </c>
      <c r="B22" t="s">
        <v>58</v>
      </c>
      <c r="C22" t="s">
        <v>35</v>
      </c>
      <c r="D22" t="s">
        <v>36</v>
      </c>
      <c r="E22">
        <v>40</v>
      </c>
      <c r="F22">
        <v>20857</v>
      </c>
      <c r="G22">
        <v>12</v>
      </c>
      <c r="H22">
        <v>28</v>
      </c>
      <c r="I22">
        <v>939732.99</v>
      </c>
      <c r="J22" t="s">
        <v>21</v>
      </c>
      <c r="K22" t="s">
        <v>33</v>
      </c>
      <c r="L22">
        <f t="shared" si="0"/>
        <v>1152915</v>
      </c>
    </row>
    <row r="23" spans="1:12" x14ac:dyDescent="0.3">
      <c r="A23" t="s">
        <v>229</v>
      </c>
      <c r="B23" t="s">
        <v>58</v>
      </c>
      <c r="C23" t="s">
        <v>24</v>
      </c>
      <c r="D23" t="s">
        <v>25</v>
      </c>
      <c r="E23">
        <v>24</v>
      </c>
      <c r="F23">
        <v>24402</v>
      </c>
      <c r="G23">
        <v>10</v>
      </c>
      <c r="H23">
        <v>12</v>
      </c>
      <c r="I23">
        <v>590333.18000000005</v>
      </c>
      <c r="J23" t="s">
        <v>37</v>
      </c>
      <c r="K23" t="s">
        <v>38</v>
      </c>
      <c r="L23">
        <f t="shared" si="0"/>
        <v>1007515</v>
      </c>
    </row>
    <row r="24" spans="1:12" x14ac:dyDescent="0.3">
      <c r="A24" t="s">
        <v>147</v>
      </c>
      <c r="B24" t="s">
        <v>58</v>
      </c>
      <c r="C24" t="s">
        <v>13</v>
      </c>
      <c r="D24" t="s">
        <v>32</v>
      </c>
      <c r="E24">
        <v>16</v>
      </c>
      <c r="F24">
        <v>64811</v>
      </c>
      <c r="G24">
        <v>5</v>
      </c>
      <c r="H24">
        <v>12</v>
      </c>
      <c r="I24">
        <v>1103342.46</v>
      </c>
      <c r="J24" t="s">
        <v>21</v>
      </c>
      <c r="K24" t="s">
        <v>16</v>
      </c>
      <c r="L24">
        <f t="shared" si="0"/>
        <v>640842</v>
      </c>
    </row>
    <row r="25" spans="1:12" x14ac:dyDescent="0.3">
      <c r="A25" t="s">
        <v>220</v>
      </c>
      <c r="B25" t="s">
        <v>58</v>
      </c>
      <c r="C25" t="s">
        <v>44</v>
      </c>
      <c r="D25" t="s">
        <v>51</v>
      </c>
      <c r="E25">
        <v>3</v>
      </c>
      <c r="F25">
        <v>36313</v>
      </c>
      <c r="G25">
        <v>10</v>
      </c>
      <c r="H25">
        <v>12</v>
      </c>
      <c r="I25">
        <v>109810.51</v>
      </c>
      <c r="J25" t="s">
        <v>15</v>
      </c>
      <c r="K25" t="s">
        <v>33</v>
      </c>
      <c r="L25">
        <f t="shared" si="0"/>
        <v>526588</v>
      </c>
    </row>
    <row r="26" spans="1:12" x14ac:dyDescent="0.3">
      <c r="A26" t="s">
        <v>220</v>
      </c>
      <c r="B26" t="s">
        <v>58</v>
      </c>
      <c r="C26" t="s">
        <v>48</v>
      </c>
      <c r="D26" t="s">
        <v>59</v>
      </c>
      <c r="E26">
        <v>11</v>
      </c>
      <c r="F26">
        <v>48340</v>
      </c>
      <c r="G26">
        <v>12</v>
      </c>
      <c r="H26">
        <v>28</v>
      </c>
      <c r="I26">
        <v>598951.93999999994</v>
      </c>
      <c r="J26" t="s">
        <v>37</v>
      </c>
      <c r="K26" t="s">
        <v>16</v>
      </c>
      <c r="L26">
        <f t="shared" si="0"/>
        <v>499714</v>
      </c>
    </row>
    <row r="27" spans="1:12" x14ac:dyDescent="0.3">
      <c r="A27" t="s">
        <v>214</v>
      </c>
      <c r="B27" t="s">
        <v>58</v>
      </c>
      <c r="C27" t="s">
        <v>24</v>
      </c>
      <c r="D27" t="s">
        <v>76</v>
      </c>
      <c r="E27">
        <v>25</v>
      </c>
      <c r="F27">
        <v>40942</v>
      </c>
      <c r="G27">
        <v>5</v>
      </c>
      <c r="H27">
        <v>18</v>
      </c>
      <c r="I27">
        <v>1147399.55</v>
      </c>
      <c r="J27" t="s">
        <v>46</v>
      </c>
      <c r="K27" t="s">
        <v>26</v>
      </c>
      <c r="L27">
        <f t="shared" si="0"/>
        <v>1007515</v>
      </c>
    </row>
    <row r="28" spans="1:12" x14ac:dyDescent="0.3">
      <c r="A28" t="s">
        <v>207</v>
      </c>
      <c r="B28" t="s">
        <v>58</v>
      </c>
      <c r="C28" t="s">
        <v>24</v>
      </c>
      <c r="D28" t="s">
        <v>76</v>
      </c>
      <c r="E28">
        <v>23</v>
      </c>
      <c r="F28">
        <v>38873</v>
      </c>
      <c r="G28">
        <v>12</v>
      </c>
      <c r="H28">
        <v>18</v>
      </c>
      <c r="I28">
        <v>928411.63</v>
      </c>
      <c r="J28" t="s">
        <v>46</v>
      </c>
      <c r="K28" t="s">
        <v>26</v>
      </c>
      <c r="L28">
        <f t="shared" si="0"/>
        <v>1007515</v>
      </c>
    </row>
    <row r="29" spans="1:12" x14ac:dyDescent="0.3">
      <c r="A29" t="s">
        <v>199</v>
      </c>
      <c r="B29" t="s">
        <v>58</v>
      </c>
      <c r="C29" t="s">
        <v>44</v>
      </c>
      <c r="D29" t="s">
        <v>51</v>
      </c>
      <c r="E29">
        <v>4</v>
      </c>
      <c r="F29">
        <v>13423</v>
      </c>
      <c r="G29">
        <v>12</v>
      </c>
      <c r="H29">
        <v>28</v>
      </c>
      <c r="I29">
        <v>60478.67</v>
      </c>
      <c r="J29" t="s">
        <v>15</v>
      </c>
      <c r="K29" t="s">
        <v>33</v>
      </c>
      <c r="L29">
        <f t="shared" si="0"/>
        <v>526588</v>
      </c>
    </row>
    <row r="30" spans="1:12" x14ac:dyDescent="0.3">
      <c r="A30" t="s">
        <v>98</v>
      </c>
      <c r="B30" t="s">
        <v>58</v>
      </c>
      <c r="C30" t="s">
        <v>13</v>
      </c>
      <c r="D30" t="s">
        <v>32</v>
      </c>
      <c r="E30">
        <v>23</v>
      </c>
      <c r="F30">
        <v>22435</v>
      </c>
      <c r="G30">
        <v>12</v>
      </c>
      <c r="H30">
        <v>12</v>
      </c>
      <c r="I30">
        <v>508574.53</v>
      </c>
      <c r="J30" t="s">
        <v>37</v>
      </c>
      <c r="K30" t="s">
        <v>33</v>
      </c>
      <c r="L30">
        <f t="shared" si="0"/>
        <v>640842</v>
      </c>
    </row>
    <row r="31" spans="1:12" x14ac:dyDescent="0.3">
      <c r="A31" t="s">
        <v>153</v>
      </c>
      <c r="B31" t="s">
        <v>58</v>
      </c>
      <c r="C31" t="s">
        <v>35</v>
      </c>
      <c r="D31" t="s">
        <v>56</v>
      </c>
      <c r="E31">
        <v>23</v>
      </c>
      <c r="F31">
        <v>51837</v>
      </c>
      <c r="G31">
        <v>0</v>
      </c>
      <c r="H31">
        <v>12</v>
      </c>
      <c r="I31">
        <v>1335321.1200000001</v>
      </c>
      <c r="J31" t="s">
        <v>21</v>
      </c>
      <c r="K31" t="s">
        <v>26</v>
      </c>
      <c r="L31">
        <f t="shared" si="0"/>
        <v>1152915</v>
      </c>
    </row>
    <row r="32" spans="1:12" x14ac:dyDescent="0.3">
      <c r="A32" t="s">
        <v>121</v>
      </c>
      <c r="B32" t="s">
        <v>58</v>
      </c>
      <c r="C32" t="s">
        <v>48</v>
      </c>
      <c r="D32" t="s">
        <v>49</v>
      </c>
      <c r="E32">
        <v>12</v>
      </c>
      <c r="F32">
        <v>44716</v>
      </c>
      <c r="G32">
        <v>10</v>
      </c>
      <c r="H32">
        <v>18</v>
      </c>
      <c r="I32">
        <v>569860.69999999995</v>
      </c>
      <c r="J32" t="s">
        <v>21</v>
      </c>
      <c r="K32" t="s">
        <v>26</v>
      </c>
      <c r="L32">
        <f t="shared" si="0"/>
        <v>499714</v>
      </c>
    </row>
    <row r="33" spans="1:12" x14ac:dyDescent="0.3">
      <c r="A33" t="s">
        <v>129</v>
      </c>
      <c r="B33" t="s">
        <v>58</v>
      </c>
      <c r="C33" t="s">
        <v>35</v>
      </c>
      <c r="D33" t="s">
        <v>56</v>
      </c>
      <c r="E33">
        <v>8</v>
      </c>
      <c r="F33">
        <v>62070</v>
      </c>
      <c r="G33">
        <v>10</v>
      </c>
      <c r="H33">
        <v>28</v>
      </c>
      <c r="I33">
        <v>572037.12</v>
      </c>
      <c r="J33" t="s">
        <v>46</v>
      </c>
      <c r="K33" t="s">
        <v>26</v>
      </c>
      <c r="L33">
        <f t="shared" si="0"/>
        <v>1152915</v>
      </c>
    </row>
    <row r="34" spans="1:12" x14ac:dyDescent="0.3">
      <c r="A34" t="s">
        <v>97</v>
      </c>
      <c r="B34" t="s">
        <v>58</v>
      </c>
      <c r="C34" t="s">
        <v>35</v>
      </c>
      <c r="D34" t="s">
        <v>56</v>
      </c>
      <c r="E34">
        <v>13</v>
      </c>
      <c r="F34">
        <v>34093</v>
      </c>
      <c r="G34">
        <v>0</v>
      </c>
      <c r="H34">
        <v>18</v>
      </c>
      <c r="I34">
        <v>522986.62</v>
      </c>
      <c r="J34" t="s">
        <v>15</v>
      </c>
      <c r="K34" t="s">
        <v>26</v>
      </c>
      <c r="L34">
        <f t="shared" ref="L34:L65" si="1">SUMIF(C:C,C34,F:F)</f>
        <v>1152915</v>
      </c>
    </row>
    <row r="35" spans="1:12" x14ac:dyDescent="0.3">
      <c r="A35" t="s">
        <v>194</v>
      </c>
      <c r="B35" t="s">
        <v>58</v>
      </c>
      <c r="C35" t="s">
        <v>24</v>
      </c>
      <c r="D35" t="s">
        <v>25</v>
      </c>
      <c r="E35">
        <v>16</v>
      </c>
      <c r="F35">
        <v>56040</v>
      </c>
      <c r="G35">
        <v>10</v>
      </c>
      <c r="H35">
        <v>18</v>
      </c>
      <c r="I35">
        <v>952231.68</v>
      </c>
      <c r="J35" t="s">
        <v>21</v>
      </c>
      <c r="K35" t="s">
        <v>16</v>
      </c>
      <c r="L35">
        <f t="shared" si="1"/>
        <v>1007515</v>
      </c>
    </row>
    <row r="36" spans="1:12" x14ac:dyDescent="0.3">
      <c r="A36" t="s">
        <v>103</v>
      </c>
      <c r="B36" t="s">
        <v>58</v>
      </c>
      <c r="C36" t="s">
        <v>35</v>
      </c>
      <c r="D36" t="s">
        <v>36</v>
      </c>
      <c r="E36">
        <v>28</v>
      </c>
      <c r="F36">
        <v>51378</v>
      </c>
      <c r="G36">
        <v>10</v>
      </c>
      <c r="H36">
        <v>18</v>
      </c>
      <c r="I36">
        <v>1527776.21</v>
      </c>
      <c r="J36" t="s">
        <v>15</v>
      </c>
      <c r="K36" t="s">
        <v>38</v>
      </c>
      <c r="L36">
        <f t="shared" si="1"/>
        <v>1152915</v>
      </c>
    </row>
    <row r="37" spans="1:12" x14ac:dyDescent="0.3">
      <c r="A37" t="s">
        <v>124</v>
      </c>
      <c r="B37" t="s">
        <v>58</v>
      </c>
      <c r="C37" t="s">
        <v>44</v>
      </c>
      <c r="D37" t="s">
        <v>45</v>
      </c>
      <c r="E37">
        <v>24</v>
      </c>
      <c r="F37">
        <v>56084</v>
      </c>
      <c r="G37">
        <v>10</v>
      </c>
      <c r="H37">
        <v>28</v>
      </c>
      <c r="I37">
        <v>1550610.43</v>
      </c>
      <c r="J37" t="s">
        <v>37</v>
      </c>
      <c r="K37" t="s">
        <v>38</v>
      </c>
      <c r="L37">
        <f t="shared" si="1"/>
        <v>526588</v>
      </c>
    </row>
    <row r="38" spans="1:12" x14ac:dyDescent="0.3">
      <c r="A38" t="s">
        <v>43</v>
      </c>
      <c r="B38" t="s">
        <v>58</v>
      </c>
      <c r="C38" t="s">
        <v>62</v>
      </c>
      <c r="D38" t="s">
        <v>63</v>
      </c>
      <c r="E38">
        <v>13</v>
      </c>
      <c r="F38">
        <v>48265</v>
      </c>
      <c r="G38">
        <v>10</v>
      </c>
      <c r="H38">
        <v>12</v>
      </c>
      <c r="I38">
        <v>632464.56000000006</v>
      </c>
      <c r="J38" t="s">
        <v>15</v>
      </c>
      <c r="K38" t="s">
        <v>38</v>
      </c>
      <c r="L38">
        <f t="shared" si="1"/>
        <v>420781</v>
      </c>
    </row>
    <row r="39" spans="1:12" x14ac:dyDescent="0.3">
      <c r="A39" t="s">
        <v>199</v>
      </c>
      <c r="B39" t="s">
        <v>58</v>
      </c>
      <c r="C39" t="s">
        <v>62</v>
      </c>
      <c r="D39" t="s">
        <v>92</v>
      </c>
      <c r="E39">
        <v>32</v>
      </c>
      <c r="F39">
        <v>61505</v>
      </c>
      <c r="G39">
        <v>10</v>
      </c>
      <c r="H39">
        <v>28</v>
      </c>
      <c r="I39">
        <v>2267320.3199999998</v>
      </c>
      <c r="J39" t="s">
        <v>37</v>
      </c>
      <c r="K39" t="s">
        <v>33</v>
      </c>
      <c r="L39">
        <f t="shared" si="1"/>
        <v>420781</v>
      </c>
    </row>
    <row r="40" spans="1:12" x14ac:dyDescent="0.3">
      <c r="A40" t="s">
        <v>125</v>
      </c>
      <c r="B40" t="s">
        <v>58</v>
      </c>
      <c r="C40" t="s">
        <v>44</v>
      </c>
      <c r="D40" t="s">
        <v>45</v>
      </c>
      <c r="E40">
        <v>2</v>
      </c>
      <c r="F40">
        <v>81797</v>
      </c>
      <c r="G40">
        <v>12</v>
      </c>
      <c r="H40">
        <v>18</v>
      </c>
      <c r="I40">
        <v>169876.01</v>
      </c>
      <c r="J40" t="s">
        <v>15</v>
      </c>
      <c r="K40" t="s">
        <v>16</v>
      </c>
      <c r="L40">
        <f t="shared" si="1"/>
        <v>526588</v>
      </c>
    </row>
    <row r="41" spans="1:12" x14ac:dyDescent="0.3">
      <c r="A41" t="s">
        <v>156</v>
      </c>
      <c r="B41" t="s">
        <v>58</v>
      </c>
      <c r="C41" t="s">
        <v>13</v>
      </c>
      <c r="D41" t="s">
        <v>14</v>
      </c>
      <c r="E41">
        <v>24</v>
      </c>
      <c r="F41">
        <v>41065</v>
      </c>
      <c r="G41">
        <v>0</v>
      </c>
      <c r="H41">
        <v>18</v>
      </c>
      <c r="I41">
        <v>1162960.8</v>
      </c>
      <c r="J41" t="s">
        <v>15</v>
      </c>
      <c r="K41" t="s">
        <v>26</v>
      </c>
      <c r="L41">
        <f t="shared" si="1"/>
        <v>640842</v>
      </c>
    </row>
    <row r="42" spans="1:12" x14ac:dyDescent="0.3">
      <c r="A42" t="s">
        <v>41</v>
      </c>
      <c r="B42" t="s">
        <v>58</v>
      </c>
      <c r="C42" t="s">
        <v>13</v>
      </c>
      <c r="D42" t="s">
        <v>14</v>
      </c>
      <c r="E42">
        <v>31</v>
      </c>
      <c r="F42">
        <v>52367</v>
      </c>
      <c r="G42">
        <v>10</v>
      </c>
      <c r="H42">
        <v>18</v>
      </c>
      <c r="I42">
        <v>1724026.37</v>
      </c>
      <c r="J42" t="s">
        <v>15</v>
      </c>
      <c r="K42" t="s">
        <v>26</v>
      </c>
      <c r="L42">
        <f t="shared" si="1"/>
        <v>640842</v>
      </c>
    </row>
    <row r="43" spans="1:12" x14ac:dyDescent="0.3">
      <c r="A43" t="s">
        <v>214</v>
      </c>
      <c r="B43" t="s">
        <v>58</v>
      </c>
      <c r="C43" t="s">
        <v>35</v>
      </c>
      <c r="D43" t="s">
        <v>56</v>
      </c>
      <c r="E43">
        <v>16</v>
      </c>
      <c r="F43">
        <v>28355</v>
      </c>
      <c r="G43">
        <v>5</v>
      </c>
      <c r="H43">
        <v>12</v>
      </c>
      <c r="I43">
        <v>482715.52</v>
      </c>
      <c r="J43" t="s">
        <v>37</v>
      </c>
      <c r="K43" t="s">
        <v>16</v>
      </c>
      <c r="L43">
        <f t="shared" si="1"/>
        <v>1152915</v>
      </c>
    </row>
    <row r="44" spans="1:12" x14ac:dyDescent="0.3">
      <c r="A44" t="s">
        <v>101</v>
      </c>
      <c r="B44" t="s">
        <v>58</v>
      </c>
      <c r="C44" t="s">
        <v>13</v>
      </c>
      <c r="D44" t="s">
        <v>14</v>
      </c>
      <c r="E44">
        <v>28</v>
      </c>
      <c r="F44">
        <v>1588</v>
      </c>
      <c r="G44">
        <v>12</v>
      </c>
      <c r="H44">
        <v>28</v>
      </c>
      <c r="I44">
        <v>50084.25</v>
      </c>
      <c r="J44" t="s">
        <v>46</v>
      </c>
      <c r="K44" t="s">
        <v>16</v>
      </c>
      <c r="L44">
        <f t="shared" si="1"/>
        <v>640842</v>
      </c>
    </row>
    <row r="45" spans="1:12" x14ac:dyDescent="0.3">
      <c r="A45" t="s">
        <v>132</v>
      </c>
      <c r="B45" t="s">
        <v>58</v>
      </c>
      <c r="C45" t="s">
        <v>44</v>
      </c>
      <c r="D45" t="s">
        <v>45</v>
      </c>
      <c r="E45">
        <v>2</v>
      </c>
      <c r="F45">
        <v>37094</v>
      </c>
      <c r="G45">
        <v>12</v>
      </c>
      <c r="H45">
        <v>18</v>
      </c>
      <c r="I45">
        <v>77036.820000000007</v>
      </c>
      <c r="J45" t="s">
        <v>15</v>
      </c>
      <c r="K45" t="s">
        <v>33</v>
      </c>
      <c r="L45">
        <f t="shared" si="1"/>
        <v>526588</v>
      </c>
    </row>
    <row r="46" spans="1:12" x14ac:dyDescent="0.3">
      <c r="A46" t="s">
        <v>136</v>
      </c>
      <c r="B46" t="s">
        <v>58</v>
      </c>
      <c r="C46" t="s">
        <v>24</v>
      </c>
      <c r="D46" t="s">
        <v>25</v>
      </c>
      <c r="E46">
        <v>1</v>
      </c>
      <c r="F46">
        <v>49781</v>
      </c>
      <c r="G46">
        <v>5</v>
      </c>
      <c r="H46">
        <v>28</v>
      </c>
      <c r="I46">
        <v>60533.7</v>
      </c>
      <c r="J46" t="s">
        <v>46</v>
      </c>
      <c r="K46" t="s">
        <v>38</v>
      </c>
      <c r="L46">
        <f t="shared" si="1"/>
        <v>1007515</v>
      </c>
    </row>
    <row r="47" spans="1:12" x14ac:dyDescent="0.3">
      <c r="A47" t="s">
        <v>216</v>
      </c>
      <c r="B47" t="s">
        <v>58</v>
      </c>
      <c r="C47" t="s">
        <v>35</v>
      </c>
      <c r="D47" t="s">
        <v>36</v>
      </c>
      <c r="E47">
        <v>30</v>
      </c>
      <c r="F47">
        <v>45231</v>
      </c>
      <c r="G47">
        <v>5</v>
      </c>
      <c r="H47">
        <v>18</v>
      </c>
      <c r="I47">
        <v>1521118.53</v>
      </c>
      <c r="J47" t="s">
        <v>46</v>
      </c>
      <c r="K47" t="s">
        <v>16</v>
      </c>
      <c r="L47">
        <f t="shared" si="1"/>
        <v>1152915</v>
      </c>
    </row>
    <row r="48" spans="1:12" x14ac:dyDescent="0.3">
      <c r="A48" t="s">
        <v>87</v>
      </c>
      <c r="B48" t="s">
        <v>58</v>
      </c>
      <c r="C48" t="s">
        <v>35</v>
      </c>
      <c r="D48" t="s">
        <v>56</v>
      </c>
      <c r="E48">
        <v>25</v>
      </c>
      <c r="F48">
        <v>78689</v>
      </c>
      <c r="G48">
        <v>5</v>
      </c>
      <c r="H48">
        <v>12</v>
      </c>
      <c r="I48">
        <v>2093127.4</v>
      </c>
      <c r="J48" t="s">
        <v>46</v>
      </c>
      <c r="K48" t="s">
        <v>16</v>
      </c>
      <c r="L48">
        <f t="shared" si="1"/>
        <v>1152915</v>
      </c>
    </row>
    <row r="49" spans="1:12" x14ac:dyDescent="0.3">
      <c r="A49" t="s">
        <v>174</v>
      </c>
      <c r="B49" t="s">
        <v>58</v>
      </c>
      <c r="C49" t="s">
        <v>13</v>
      </c>
      <c r="D49" t="s">
        <v>14</v>
      </c>
      <c r="E49">
        <v>26</v>
      </c>
      <c r="F49">
        <v>61878</v>
      </c>
      <c r="G49">
        <v>5</v>
      </c>
      <c r="H49">
        <v>28</v>
      </c>
      <c r="I49">
        <v>1956334.85</v>
      </c>
      <c r="J49" t="s">
        <v>21</v>
      </c>
      <c r="K49" t="s">
        <v>16</v>
      </c>
      <c r="L49">
        <f t="shared" si="1"/>
        <v>640842</v>
      </c>
    </row>
    <row r="50" spans="1:12" x14ac:dyDescent="0.3">
      <c r="A50" t="s">
        <v>74</v>
      </c>
      <c r="B50" t="s">
        <v>58</v>
      </c>
      <c r="C50" t="s">
        <v>35</v>
      </c>
      <c r="D50" t="s">
        <v>56</v>
      </c>
      <c r="E50">
        <v>37</v>
      </c>
      <c r="F50">
        <v>12194</v>
      </c>
      <c r="G50">
        <v>0</v>
      </c>
      <c r="H50">
        <v>18</v>
      </c>
      <c r="I50">
        <v>532390.04</v>
      </c>
      <c r="J50" t="s">
        <v>21</v>
      </c>
      <c r="K50" t="s">
        <v>33</v>
      </c>
      <c r="L50">
        <f t="shared" si="1"/>
        <v>1152915</v>
      </c>
    </row>
    <row r="51" spans="1:12" x14ac:dyDescent="0.3">
      <c r="A51" t="s">
        <v>127</v>
      </c>
      <c r="B51" t="s">
        <v>58</v>
      </c>
      <c r="C51" t="s">
        <v>44</v>
      </c>
      <c r="D51" t="s">
        <v>51</v>
      </c>
      <c r="E51">
        <v>31</v>
      </c>
      <c r="F51">
        <v>38425</v>
      </c>
      <c r="G51">
        <v>0</v>
      </c>
      <c r="H51">
        <v>18</v>
      </c>
      <c r="I51">
        <v>1405586.5</v>
      </c>
      <c r="J51" t="s">
        <v>21</v>
      </c>
      <c r="K51" t="s">
        <v>38</v>
      </c>
      <c r="L51">
        <f t="shared" si="1"/>
        <v>526588</v>
      </c>
    </row>
    <row r="52" spans="1:12" x14ac:dyDescent="0.3">
      <c r="A52" t="s">
        <v>34</v>
      </c>
      <c r="B52" t="s">
        <v>58</v>
      </c>
      <c r="C52" t="s">
        <v>24</v>
      </c>
      <c r="D52" t="s">
        <v>40</v>
      </c>
      <c r="E52">
        <v>22</v>
      </c>
      <c r="F52">
        <v>27159</v>
      </c>
      <c r="G52">
        <v>12</v>
      </c>
      <c r="H52">
        <v>12</v>
      </c>
      <c r="I52">
        <v>588894.03</v>
      </c>
      <c r="J52" t="s">
        <v>37</v>
      </c>
      <c r="K52" t="s">
        <v>33</v>
      </c>
      <c r="L52">
        <f t="shared" si="1"/>
        <v>1007515</v>
      </c>
    </row>
    <row r="53" spans="1:12" x14ac:dyDescent="0.3">
      <c r="A53" t="s">
        <v>114</v>
      </c>
      <c r="B53" t="s">
        <v>58</v>
      </c>
      <c r="C53" t="s">
        <v>48</v>
      </c>
      <c r="D53" t="s">
        <v>49</v>
      </c>
      <c r="E53">
        <v>33</v>
      </c>
      <c r="F53">
        <v>78610</v>
      </c>
      <c r="G53">
        <v>12</v>
      </c>
      <c r="H53">
        <v>12</v>
      </c>
      <c r="I53">
        <v>2556774.5299999998</v>
      </c>
      <c r="J53" t="s">
        <v>37</v>
      </c>
      <c r="K53" t="s">
        <v>33</v>
      </c>
      <c r="L53">
        <f t="shared" si="1"/>
        <v>499714</v>
      </c>
    </row>
    <row r="54" spans="1:12" x14ac:dyDescent="0.3">
      <c r="A54" t="s">
        <v>105</v>
      </c>
      <c r="B54" t="s">
        <v>58</v>
      </c>
      <c r="C54" t="s">
        <v>35</v>
      </c>
      <c r="D54" t="s">
        <v>56</v>
      </c>
      <c r="E54">
        <v>32</v>
      </c>
      <c r="F54">
        <v>65002</v>
      </c>
      <c r="G54">
        <v>12</v>
      </c>
      <c r="H54">
        <v>12</v>
      </c>
      <c r="I54">
        <v>2050111.08</v>
      </c>
      <c r="J54" t="s">
        <v>21</v>
      </c>
      <c r="K54" t="s">
        <v>16</v>
      </c>
      <c r="L54">
        <f t="shared" si="1"/>
        <v>1152915</v>
      </c>
    </row>
    <row r="55" spans="1:12" x14ac:dyDescent="0.3">
      <c r="A55" t="s">
        <v>193</v>
      </c>
      <c r="B55" t="s">
        <v>58</v>
      </c>
      <c r="C55" t="s">
        <v>19</v>
      </c>
      <c r="D55" t="s">
        <v>20</v>
      </c>
      <c r="E55">
        <v>17</v>
      </c>
      <c r="F55">
        <v>39618</v>
      </c>
      <c r="G55">
        <v>10</v>
      </c>
      <c r="H55">
        <v>28</v>
      </c>
      <c r="I55">
        <v>775878.91</v>
      </c>
      <c r="J55" t="s">
        <v>37</v>
      </c>
      <c r="K55" t="s">
        <v>38</v>
      </c>
      <c r="L55">
        <f t="shared" si="1"/>
        <v>159311</v>
      </c>
    </row>
    <row r="56" spans="1:12" x14ac:dyDescent="0.3">
      <c r="A56" t="s">
        <v>123</v>
      </c>
      <c r="B56" t="s">
        <v>58</v>
      </c>
      <c r="C56" t="s">
        <v>35</v>
      </c>
      <c r="D56" t="s">
        <v>56</v>
      </c>
      <c r="E56">
        <v>26</v>
      </c>
      <c r="F56">
        <v>24473</v>
      </c>
      <c r="G56">
        <v>12</v>
      </c>
      <c r="H56">
        <v>28</v>
      </c>
      <c r="I56">
        <v>716726.07</v>
      </c>
      <c r="J56" t="s">
        <v>37</v>
      </c>
      <c r="K56" t="s">
        <v>38</v>
      </c>
      <c r="L56">
        <f t="shared" si="1"/>
        <v>1152915</v>
      </c>
    </row>
    <row r="57" spans="1:12" x14ac:dyDescent="0.3">
      <c r="A57" t="s">
        <v>79</v>
      </c>
      <c r="B57" t="s">
        <v>58</v>
      </c>
      <c r="C57" t="s">
        <v>24</v>
      </c>
      <c r="D57" t="s">
        <v>25</v>
      </c>
      <c r="E57">
        <v>3</v>
      </c>
      <c r="F57">
        <v>75397</v>
      </c>
      <c r="G57">
        <v>10</v>
      </c>
      <c r="H57">
        <v>12</v>
      </c>
      <c r="I57">
        <v>228000.53</v>
      </c>
      <c r="J57" t="s">
        <v>15</v>
      </c>
      <c r="K57" t="s">
        <v>33</v>
      </c>
      <c r="L57">
        <f t="shared" si="1"/>
        <v>1007515</v>
      </c>
    </row>
    <row r="58" spans="1:12" x14ac:dyDescent="0.3">
      <c r="A58" t="s">
        <v>132</v>
      </c>
      <c r="B58" t="s">
        <v>58</v>
      </c>
      <c r="C58" t="s">
        <v>35</v>
      </c>
      <c r="D58" t="s">
        <v>56</v>
      </c>
      <c r="E58">
        <v>30</v>
      </c>
      <c r="F58">
        <v>42603</v>
      </c>
      <c r="G58">
        <v>5</v>
      </c>
      <c r="H58">
        <v>18</v>
      </c>
      <c r="I58">
        <v>1432738.89</v>
      </c>
      <c r="J58" t="s">
        <v>21</v>
      </c>
      <c r="K58" t="s">
        <v>16</v>
      </c>
      <c r="L58">
        <f t="shared" si="1"/>
        <v>1152915</v>
      </c>
    </row>
    <row r="59" spans="1:12" x14ac:dyDescent="0.3">
      <c r="A59" t="s">
        <v>231</v>
      </c>
      <c r="B59" t="s">
        <v>58</v>
      </c>
      <c r="C59" t="s">
        <v>44</v>
      </c>
      <c r="D59" t="s">
        <v>45</v>
      </c>
      <c r="E59">
        <v>27</v>
      </c>
      <c r="F59">
        <v>50267</v>
      </c>
      <c r="G59">
        <v>0</v>
      </c>
      <c r="H59">
        <v>28</v>
      </c>
      <c r="I59">
        <v>1737227.52</v>
      </c>
      <c r="J59" t="s">
        <v>37</v>
      </c>
      <c r="K59" t="s">
        <v>33</v>
      </c>
      <c r="L59">
        <f t="shared" si="1"/>
        <v>526588</v>
      </c>
    </row>
    <row r="60" spans="1:12" x14ac:dyDescent="0.3">
      <c r="A60" t="s">
        <v>185</v>
      </c>
      <c r="B60" t="s">
        <v>58</v>
      </c>
      <c r="C60" t="s">
        <v>48</v>
      </c>
      <c r="D60" t="s">
        <v>59</v>
      </c>
      <c r="E60">
        <v>9</v>
      </c>
      <c r="F60">
        <v>23805</v>
      </c>
      <c r="G60">
        <v>0</v>
      </c>
      <c r="H60">
        <v>18</v>
      </c>
      <c r="I60">
        <v>252809.1</v>
      </c>
      <c r="J60" t="s">
        <v>37</v>
      </c>
      <c r="K60" t="s">
        <v>33</v>
      </c>
      <c r="L60">
        <f t="shared" si="1"/>
        <v>499714</v>
      </c>
    </row>
    <row r="61" spans="1:12" x14ac:dyDescent="0.3">
      <c r="A61" t="s">
        <v>174</v>
      </c>
      <c r="B61" t="s">
        <v>58</v>
      </c>
      <c r="C61" t="s">
        <v>48</v>
      </c>
      <c r="D61" t="s">
        <v>49</v>
      </c>
      <c r="E61">
        <v>7</v>
      </c>
      <c r="F61">
        <v>36553</v>
      </c>
      <c r="G61">
        <v>0</v>
      </c>
      <c r="H61">
        <v>28</v>
      </c>
      <c r="I61">
        <v>327514.88</v>
      </c>
      <c r="J61" t="s">
        <v>15</v>
      </c>
      <c r="K61" t="s">
        <v>16</v>
      </c>
      <c r="L61">
        <f t="shared" si="1"/>
        <v>499714</v>
      </c>
    </row>
    <row r="62" spans="1:12" x14ac:dyDescent="0.3">
      <c r="A62" t="s">
        <v>110</v>
      </c>
      <c r="B62" t="s">
        <v>58</v>
      </c>
      <c r="C62" t="s">
        <v>24</v>
      </c>
      <c r="D62" t="s">
        <v>76</v>
      </c>
      <c r="E62">
        <v>19</v>
      </c>
      <c r="F62">
        <v>79563</v>
      </c>
      <c r="G62">
        <v>5</v>
      </c>
      <c r="H62">
        <v>12</v>
      </c>
      <c r="I62">
        <v>1608445.61</v>
      </c>
      <c r="J62" t="s">
        <v>21</v>
      </c>
      <c r="K62" t="s">
        <v>26</v>
      </c>
      <c r="L62">
        <f t="shared" si="1"/>
        <v>1007515</v>
      </c>
    </row>
    <row r="63" spans="1:12" x14ac:dyDescent="0.3">
      <c r="A63" t="s">
        <v>199</v>
      </c>
      <c r="B63" t="s">
        <v>58</v>
      </c>
      <c r="C63" t="s">
        <v>35</v>
      </c>
      <c r="D63" t="s">
        <v>77</v>
      </c>
      <c r="E63">
        <v>15</v>
      </c>
      <c r="F63">
        <v>71758</v>
      </c>
      <c r="G63">
        <v>0</v>
      </c>
      <c r="H63">
        <v>12</v>
      </c>
      <c r="I63">
        <v>1205534.3999999999</v>
      </c>
      <c r="J63" t="s">
        <v>46</v>
      </c>
      <c r="K63" t="s">
        <v>33</v>
      </c>
      <c r="L63">
        <f t="shared" si="1"/>
        <v>1152915</v>
      </c>
    </row>
    <row r="64" spans="1:12" x14ac:dyDescent="0.3">
      <c r="A64" t="s">
        <v>219</v>
      </c>
      <c r="B64" t="s">
        <v>58</v>
      </c>
      <c r="C64" t="s">
        <v>62</v>
      </c>
      <c r="D64" t="s">
        <v>92</v>
      </c>
      <c r="E64">
        <v>21</v>
      </c>
      <c r="F64">
        <v>55537</v>
      </c>
      <c r="G64">
        <v>5</v>
      </c>
      <c r="H64">
        <v>18</v>
      </c>
      <c r="I64">
        <v>1307396.52</v>
      </c>
      <c r="J64" t="s">
        <v>46</v>
      </c>
      <c r="K64" t="s">
        <v>38</v>
      </c>
      <c r="L64">
        <f t="shared" si="1"/>
        <v>420781</v>
      </c>
    </row>
    <row r="65" spans="1:12" x14ac:dyDescent="0.3">
      <c r="A65" t="s">
        <v>22</v>
      </c>
      <c r="B65" t="s">
        <v>58</v>
      </c>
      <c r="C65" t="s">
        <v>13</v>
      </c>
      <c r="D65" t="s">
        <v>14</v>
      </c>
      <c r="E65">
        <v>13</v>
      </c>
      <c r="F65">
        <v>5508</v>
      </c>
      <c r="G65">
        <v>10</v>
      </c>
      <c r="H65">
        <v>18</v>
      </c>
      <c r="I65">
        <v>76043.45</v>
      </c>
      <c r="J65" t="s">
        <v>46</v>
      </c>
      <c r="K65" t="s">
        <v>38</v>
      </c>
      <c r="L65">
        <f t="shared" si="1"/>
        <v>640842</v>
      </c>
    </row>
    <row r="66" spans="1:12" x14ac:dyDescent="0.3">
      <c r="A66" t="s">
        <v>68</v>
      </c>
      <c r="B66" t="s">
        <v>58</v>
      </c>
      <c r="C66" t="s">
        <v>44</v>
      </c>
      <c r="D66" t="s">
        <v>45</v>
      </c>
      <c r="E66">
        <v>30</v>
      </c>
      <c r="F66">
        <v>2430</v>
      </c>
      <c r="G66">
        <v>12</v>
      </c>
      <c r="H66">
        <v>12</v>
      </c>
      <c r="I66">
        <v>71850.240000000005</v>
      </c>
      <c r="J66" t="s">
        <v>21</v>
      </c>
      <c r="K66" t="s">
        <v>16</v>
      </c>
      <c r="L66">
        <f t="shared" ref="L66:L97" si="2">SUMIF(C:C,C66,F:F)</f>
        <v>526588</v>
      </c>
    </row>
    <row r="67" spans="1:12" x14ac:dyDescent="0.3">
      <c r="A67" t="s">
        <v>156</v>
      </c>
      <c r="B67" t="s">
        <v>58</v>
      </c>
      <c r="C67" t="s">
        <v>35</v>
      </c>
      <c r="D67" t="s">
        <v>36</v>
      </c>
      <c r="E67">
        <v>9</v>
      </c>
      <c r="F67">
        <v>33125</v>
      </c>
      <c r="G67">
        <v>12</v>
      </c>
      <c r="H67">
        <v>28</v>
      </c>
      <c r="I67">
        <v>335808</v>
      </c>
      <c r="J67" t="s">
        <v>21</v>
      </c>
      <c r="K67" t="s">
        <v>33</v>
      </c>
      <c r="L67">
        <f t="shared" si="2"/>
        <v>1152915</v>
      </c>
    </row>
    <row r="68" spans="1:12" x14ac:dyDescent="0.3">
      <c r="A68" t="s">
        <v>174</v>
      </c>
      <c r="B68" t="s">
        <v>58</v>
      </c>
      <c r="C68" t="s">
        <v>24</v>
      </c>
      <c r="D68" t="s">
        <v>76</v>
      </c>
      <c r="E68">
        <v>24</v>
      </c>
      <c r="F68">
        <v>81231</v>
      </c>
      <c r="G68">
        <v>0</v>
      </c>
      <c r="H68">
        <v>18</v>
      </c>
      <c r="I68">
        <v>2300461.92</v>
      </c>
      <c r="J68" t="s">
        <v>21</v>
      </c>
      <c r="K68" t="s">
        <v>26</v>
      </c>
      <c r="L68">
        <f t="shared" si="2"/>
        <v>1007515</v>
      </c>
    </row>
    <row r="69" spans="1:12" x14ac:dyDescent="0.3">
      <c r="A69" t="s">
        <v>191</v>
      </c>
      <c r="B69" t="s">
        <v>58</v>
      </c>
      <c r="C69" t="s">
        <v>24</v>
      </c>
      <c r="D69" t="s">
        <v>76</v>
      </c>
      <c r="E69">
        <v>31</v>
      </c>
      <c r="F69">
        <v>67400</v>
      </c>
      <c r="G69">
        <v>0</v>
      </c>
      <c r="H69">
        <v>12</v>
      </c>
      <c r="I69">
        <v>2340128</v>
      </c>
      <c r="J69" t="s">
        <v>15</v>
      </c>
      <c r="K69" t="s">
        <v>26</v>
      </c>
      <c r="L69">
        <f t="shared" si="2"/>
        <v>1007515</v>
      </c>
    </row>
    <row r="70" spans="1:12" x14ac:dyDescent="0.3">
      <c r="A70" t="s">
        <v>219</v>
      </c>
      <c r="B70" t="s">
        <v>58</v>
      </c>
      <c r="C70" t="s">
        <v>24</v>
      </c>
      <c r="D70" t="s">
        <v>40</v>
      </c>
      <c r="E70">
        <v>40</v>
      </c>
      <c r="F70">
        <v>51633</v>
      </c>
      <c r="G70">
        <v>5</v>
      </c>
      <c r="H70">
        <v>28</v>
      </c>
      <c r="I70">
        <v>2511429.12</v>
      </c>
      <c r="J70" t="s">
        <v>37</v>
      </c>
      <c r="K70" t="s">
        <v>38</v>
      </c>
      <c r="L70">
        <f t="shared" si="2"/>
        <v>1007515</v>
      </c>
    </row>
    <row r="71" spans="1:12" x14ac:dyDescent="0.3">
      <c r="A71" t="s">
        <v>73</v>
      </c>
      <c r="B71" t="s">
        <v>58</v>
      </c>
      <c r="C71" t="s">
        <v>19</v>
      </c>
      <c r="D71" t="s">
        <v>20</v>
      </c>
      <c r="E71">
        <v>28</v>
      </c>
      <c r="F71">
        <v>13933</v>
      </c>
      <c r="G71">
        <v>5</v>
      </c>
      <c r="H71">
        <v>18</v>
      </c>
      <c r="I71">
        <v>437329</v>
      </c>
      <c r="J71" t="s">
        <v>37</v>
      </c>
      <c r="K71" t="s">
        <v>16</v>
      </c>
      <c r="L71">
        <f t="shared" si="2"/>
        <v>159311</v>
      </c>
    </row>
    <row r="72" spans="1:12" x14ac:dyDescent="0.3">
      <c r="A72" t="s">
        <v>213</v>
      </c>
      <c r="B72" t="s">
        <v>58</v>
      </c>
      <c r="C72" t="s">
        <v>48</v>
      </c>
      <c r="D72" t="s">
        <v>59</v>
      </c>
      <c r="E72">
        <v>37</v>
      </c>
      <c r="F72">
        <v>21077</v>
      </c>
      <c r="G72">
        <v>0</v>
      </c>
      <c r="H72">
        <v>18</v>
      </c>
      <c r="I72">
        <v>920221.82</v>
      </c>
      <c r="J72" t="s">
        <v>15</v>
      </c>
      <c r="K72" t="s">
        <v>26</v>
      </c>
      <c r="L72">
        <f t="shared" si="2"/>
        <v>499714</v>
      </c>
    </row>
    <row r="73" spans="1:12" x14ac:dyDescent="0.3">
      <c r="A73" t="s">
        <v>173</v>
      </c>
      <c r="B73" t="s">
        <v>58</v>
      </c>
      <c r="C73" t="s">
        <v>44</v>
      </c>
      <c r="D73" t="s">
        <v>45</v>
      </c>
      <c r="E73">
        <v>32</v>
      </c>
      <c r="F73">
        <v>7459</v>
      </c>
      <c r="G73">
        <v>5</v>
      </c>
      <c r="H73">
        <v>18</v>
      </c>
      <c r="I73">
        <v>267569.25</v>
      </c>
      <c r="J73" t="s">
        <v>37</v>
      </c>
      <c r="K73" t="s">
        <v>26</v>
      </c>
      <c r="L73">
        <f t="shared" si="2"/>
        <v>526588</v>
      </c>
    </row>
    <row r="74" spans="1:12" x14ac:dyDescent="0.3">
      <c r="A74" t="s">
        <v>137</v>
      </c>
      <c r="B74" t="s">
        <v>58</v>
      </c>
      <c r="C74" t="s">
        <v>35</v>
      </c>
      <c r="D74" t="s">
        <v>56</v>
      </c>
      <c r="E74">
        <v>40</v>
      </c>
      <c r="F74">
        <v>83223</v>
      </c>
      <c r="G74">
        <v>12</v>
      </c>
      <c r="H74">
        <v>18</v>
      </c>
      <c r="I74">
        <v>3456750.53</v>
      </c>
      <c r="J74" t="s">
        <v>46</v>
      </c>
      <c r="K74" t="s">
        <v>16</v>
      </c>
      <c r="L74">
        <f t="shared" si="2"/>
        <v>1152915</v>
      </c>
    </row>
    <row r="75" spans="1:12" x14ac:dyDescent="0.3">
      <c r="A75" t="s">
        <v>100</v>
      </c>
      <c r="B75" t="s">
        <v>58</v>
      </c>
      <c r="C75" t="s">
        <v>24</v>
      </c>
      <c r="D75" t="s">
        <v>40</v>
      </c>
      <c r="E75">
        <v>32</v>
      </c>
      <c r="F75">
        <v>19769</v>
      </c>
      <c r="G75">
        <v>12</v>
      </c>
      <c r="H75">
        <v>28</v>
      </c>
      <c r="I75">
        <v>712569.65</v>
      </c>
      <c r="J75" t="s">
        <v>21</v>
      </c>
      <c r="K75" t="s">
        <v>38</v>
      </c>
      <c r="L75">
        <f t="shared" si="2"/>
        <v>1007515</v>
      </c>
    </row>
    <row r="76" spans="1:12" x14ac:dyDescent="0.3">
      <c r="A76" t="s">
        <v>225</v>
      </c>
      <c r="B76" t="s">
        <v>58</v>
      </c>
      <c r="C76" t="s">
        <v>62</v>
      </c>
      <c r="D76" t="s">
        <v>63</v>
      </c>
      <c r="E76">
        <v>4</v>
      </c>
      <c r="F76">
        <v>82827</v>
      </c>
      <c r="G76">
        <v>12</v>
      </c>
      <c r="H76">
        <v>18</v>
      </c>
      <c r="I76">
        <v>344030.23</v>
      </c>
      <c r="J76" t="s">
        <v>37</v>
      </c>
      <c r="K76" t="s">
        <v>26</v>
      </c>
      <c r="L76">
        <f t="shared" si="2"/>
        <v>420781</v>
      </c>
    </row>
    <row r="77" spans="1:12" x14ac:dyDescent="0.3">
      <c r="A77" t="s">
        <v>83</v>
      </c>
      <c r="B77" t="s">
        <v>58</v>
      </c>
      <c r="C77" t="s">
        <v>48</v>
      </c>
      <c r="D77" t="s">
        <v>59</v>
      </c>
      <c r="E77">
        <v>1</v>
      </c>
      <c r="F77">
        <v>81930</v>
      </c>
      <c r="G77">
        <v>12</v>
      </c>
      <c r="H77">
        <v>28</v>
      </c>
      <c r="I77">
        <v>92285.95</v>
      </c>
      <c r="J77" t="s">
        <v>15</v>
      </c>
      <c r="K77" t="s">
        <v>26</v>
      </c>
      <c r="L77">
        <f t="shared" si="2"/>
        <v>499714</v>
      </c>
    </row>
    <row r="78" spans="1:12" x14ac:dyDescent="0.3">
      <c r="A78" t="s">
        <v>179</v>
      </c>
      <c r="B78" t="s">
        <v>58</v>
      </c>
      <c r="C78" t="s">
        <v>19</v>
      </c>
      <c r="D78" t="s">
        <v>20</v>
      </c>
      <c r="E78">
        <v>2</v>
      </c>
      <c r="F78">
        <v>8817</v>
      </c>
      <c r="G78">
        <v>5</v>
      </c>
      <c r="H78">
        <v>28</v>
      </c>
      <c r="I78">
        <v>21442.94</v>
      </c>
      <c r="J78" t="s">
        <v>37</v>
      </c>
      <c r="K78" t="s">
        <v>38</v>
      </c>
      <c r="L78">
        <f t="shared" si="2"/>
        <v>159311</v>
      </c>
    </row>
    <row r="79" spans="1:12" x14ac:dyDescent="0.3">
      <c r="A79" t="s">
        <v>187</v>
      </c>
      <c r="B79" t="s">
        <v>58</v>
      </c>
      <c r="C79" t="s">
        <v>13</v>
      </c>
      <c r="D79" t="s">
        <v>32</v>
      </c>
      <c r="E79">
        <v>4</v>
      </c>
      <c r="F79">
        <v>12085</v>
      </c>
      <c r="G79">
        <v>12</v>
      </c>
      <c r="H79">
        <v>12</v>
      </c>
      <c r="I79">
        <v>47643.9</v>
      </c>
      <c r="J79" t="s">
        <v>46</v>
      </c>
      <c r="K79" t="s">
        <v>26</v>
      </c>
      <c r="L79">
        <f t="shared" si="2"/>
        <v>640842</v>
      </c>
    </row>
    <row r="80" spans="1:12" x14ac:dyDescent="0.3">
      <c r="A80" t="s">
        <v>220</v>
      </c>
      <c r="B80" t="s">
        <v>58</v>
      </c>
      <c r="C80" t="s">
        <v>24</v>
      </c>
      <c r="D80" t="s">
        <v>40</v>
      </c>
      <c r="E80">
        <v>4</v>
      </c>
      <c r="F80">
        <v>17517</v>
      </c>
      <c r="G80">
        <v>10</v>
      </c>
      <c r="H80">
        <v>12</v>
      </c>
      <c r="I80">
        <v>70628.539999999994</v>
      </c>
      <c r="J80" t="s">
        <v>46</v>
      </c>
      <c r="K80" t="s">
        <v>26</v>
      </c>
      <c r="L80">
        <f t="shared" si="2"/>
        <v>1007515</v>
      </c>
    </row>
    <row r="81" spans="1:12" x14ac:dyDescent="0.3">
      <c r="A81" t="s">
        <v>151</v>
      </c>
      <c r="B81" t="s">
        <v>58</v>
      </c>
      <c r="C81" t="s">
        <v>35</v>
      </c>
      <c r="D81" t="s">
        <v>77</v>
      </c>
      <c r="E81">
        <v>20</v>
      </c>
      <c r="F81">
        <v>84374</v>
      </c>
      <c r="G81">
        <v>5</v>
      </c>
      <c r="H81">
        <v>12</v>
      </c>
      <c r="I81">
        <v>1795478.72</v>
      </c>
      <c r="J81" t="s">
        <v>46</v>
      </c>
      <c r="K81" t="s">
        <v>16</v>
      </c>
      <c r="L81">
        <f t="shared" si="2"/>
        <v>1152915</v>
      </c>
    </row>
    <row r="82" spans="1:12" x14ac:dyDescent="0.3">
      <c r="A82" t="s">
        <v>99</v>
      </c>
      <c r="B82" t="s">
        <v>58</v>
      </c>
      <c r="C82" t="s">
        <v>13</v>
      </c>
      <c r="D82" t="s">
        <v>14</v>
      </c>
      <c r="E82">
        <v>34</v>
      </c>
      <c r="F82">
        <v>31659</v>
      </c>
      <c r="G82">
        <v>10</v>
      </c>
      <c r="H82">
        <v>18</v>
      </c>
      <c r="I82">
        <v>1143143.17</v>
      </c>
      <c r="J82" t="s">
        <v>46</v>
      </c>
      <c r="K82" t="s">
        <v>26</v>
      </c>
      <c r="L82">
        <f t="shared" si="2"/>
        <v>640842</v>
      </c>
    </row>
    <row r="83" spans="1:12" x14ac:dyDescent="0.3">
      <c r="A83" t="s">
        <v>200</v>
      </c>
      <c r="B83" t="s">
        <v>58</v>
      </c>
      <c r="C83" t="s">
        <v>44</v>
      </c>
      <c r="D83" t="s">
        <v>51</v>
      </c>
      <c r="E83">
        <v>25</v>
      </c>
      <c r="F83">
        <v>10880</v>
      </c>
      <c r="G83">
        <v>12</v>
      </c>
      <c r="H83">
        <v>28</v>
      </c>
      <c r="I83">
        <v>306380.79999999999</v>
      </c>
      <c r="J83" t="s">
        <v>15</v>
      </c>
      <c r="K83" t="s">
        <v>16</v>
      </c>
      <c r="L83">
        <f t="shared" si="2"/>
        <v>526588</v>
      </c>
    </row>
    <row r="84" spans="1:12" x14ac:dyDescent="0.3">
      <c r="A84" t="s">
        <v>160</v>
      </c>
      <c r="B84" t="s">
        <v>58</v>
      </c>
      <c r="C84" t="s">
        <v>24</v>
      </c>
      <c r="D84" t="s">
        <v>25</v>
      </c>
      <c r="E84">
        <v>30</v>
      </c>
      <c r="F84">
        <v>37509</v>
      </c>
      <c r="G84">
        <v>10</v>
      </c>
      <c r="H84">
        <v>12</v>
      </c>
      <c r="I84">
        <v>1134272.1599999999</v>
      </c>
      <c r="J84" t="s">
        <v>15</v>
      </c>
      <c r="K84" t="s">
        <v>26</v>
      </c>
      <c r="L84">
        <f t="shared" si="2"/>
        <v>1007515</v>
      </c>
    </row>
    <row r="85" spans="1:12" x14ac:dyDescent="0.3">
      <c r="A85" t="s">
        <v>159</v>
      </c>
      <c r="B85" t="s">
        <v>58</v>
      </c>
      <c r="C85" t="s">
        <v>29</v>
      </c>
      <c r="D85" t="s">
        <v>30</v>
      </c>
      <c r="E85">
        <v>3</v>
      </c>
      <c r="F85">
        <v>15762</v>
      </c>
      <c r="G85">
        <v>0</v>
      </c>
      <c r="H85">
        <v>12</v>
      </c>
      <c r="I85">
        <v>52960.32</v>
      </c>
      <c r="J85" t="s">
        <v>15</v>
      </c>
      <c r="K85" t="s">
        <v>33</v>
      </c>
      <c r="L85">
        <f t="shared" si="2"/>
        <v>143383</v>
      </c>
    </row>
    <row r="86" spans="1:12" x14ac:dyDescent="0.3">
      <c r="A86" t="s">
        <v>90</v>
      </c>
      <c r="B86" t="s">
        <v>58</v>
      </c>
      <c r="C86" t="s">
        <v>35</v>
      </c>
      <c r="D86" t="s">
        <v>56</v>
      </c>
      <c r="E86">
        <v>37</v>
      </c>
      <c r="F86">
        <v>39165</v>
      </c>
      <c r="G86">
        <v>0</v>
      </c>
      <c r="H86">
        <v>18</v>
      </c>
      <c r="I86">
        <v>1709943.9</v>
      </c>
      <c r="J86" t="s">
        <v>46</v>
      </c>
      <c r="K86" t="s">
        <v>26</v>
      </c>
      <c r="L86">
        <f t="shared" si="2"/>
        <v>1152915</v>
      </c>
    </row>
    <row r="87" spans="1:12" x14ac:dyDescent="0.3">
      <c r="A87" t="s">
        <v>88</v>
      </c>
      <c r="B87" t="s">
        <v>58</v>
      </c>
      <c r="C87" t="s">
        <v>13</v>
      </c>
      <c r="D87" t="s">
        <v>14</v>
      </c>
      <c r="E87">
        <v>3</v>
      </c>
      <c r="F87">
        <v>4711</v>
      </c>
      <c r="G87">
        <v>5</v>
      </c>
      <c r="H87">
        <v>12</v>
      </c>
      <c r="I87">
        <v>15037.51</v>
      </c>
      <c r="J87" t="s">
        <v>46</v>
      </c>
      <c r="K87" t="s">
        <v>16</v>
      </c>
      <c r="L87">
        <f t="shared" si="2"/>
        <v>640842</v>
      </c>
    </row>
    <row r="88" spans="1:12" x14ac:dyDescent="0.3">
      <c r="A88" t="s">
        <v>207</v>
      </c>
      <c r="B88" t="s">
        <v>58</v>
      </c>
      <c r="C88" t="s">
        <v>29</v>
      </c>
      <c r="D88" t="s">
        <v>30</v>
      </c>
      <c r="E88">
        <v>28</v>
      </c>
      <c r="F88">
        <v>44475</v>
      </c>
      <c r="G88">
        <v>0</v>
      </c>
      <c r="H88">
        <v>12</v>
      </c>
      <c r="I88">
        <v>1394736</v>
      </c>
      <c r="J88" t="s">
        <v>37</v>
      </c>
      <c r="K88" t="s">
        <v>26</v>
      </c>
      <c r="L88">
        <f t="shared" si="2"/>
        <v>143383</v>
      </c>
    </row>
    <row r="89" spans="1:12" x14ac:dyDescent="0.3">
      <c r="A89" t="s">
        <v>222</v>
      </c>
      <c r="B89" t="s">
        <v>58</v>
      </c>
      <c r="C89" t="s">
        <v>62</v>
      </c>
      <c r="D89" t="s">
        <v>63</v>
      </c>
      <c r="E89">
        <v>17</v>
      </c>
      <c r="F89">
        <v>4042</v>
      </c>
      <c r="G89">
        <v>5</v>
      </c>
      <c r="H89">
        <v>28</v>
      </c>
      <c r="I89">
        <v>83556.22</v>
      </c>
      <c r="J89" t="s">
        <v>21</v>
      </c>
      <c r="K89" t="s">
        <v>26</v>
      </c>
      <c r="L89">
        <f t="shared" si="2"/>
        <v>420781</v>
      </c>
    </row>
    <row r="90" spans="1:12" x14ac:dyDescent="0.3">
      <c r="A90" t="s">
        <v>198</v>
      </c>
      <c r="B90" t="s">
        <v>58</v>
      </c>
      <c r="C90" t="s">
        <v>29</v>
      </c>
      <c r="D90" t="s">
        <v>30</v>
      </c>
      <c r="E90">
        <v>40</v>
      </c>
      <c r="F90">
        <v>78760</v>
      </c>
      <c r="G90">
        <v>12</v>
      </c>
      <c r="H90">
        <v>18</v>
      </c>
      <c r="I90">
        <v>3271375.36</v>
      </c>
      <c r="J90" t="s">
        <v>37</v>
      </c>
      <c r="K90" t="s">
        <v>16</v>
      </c>
      <c r="L90">
        <f t="shared" si="2"/>
        <v>143383</v>
      </c>
    </row>
    <row r="91" spans="1:12" x14ac:dyDescent="0.3">
      <c r="A91" t="s">
        <v>124</v>
      </c>
      <c r="B91" t="s">
        <v>58</v>
      </c>
      <c r="C91" t="s">
        <v>24</v>
      </c>
      <c r="D91" t="s">
        <v>40</v>
      </c>
      <c r="E91">
        <v>9</v>
      </c>
      <c r="F91">
        <v>67540</v>
      </c>
      <c r="G91">
        <v>5</v>
      </c>
      <c r="H91">
        <v>18</v>
      </c>
      <c r="I91">
        <v>681411.06</v>
      </c>
      <c r="J91" t="s">
        <v>21</v>
      </c>
      <c r="K91" t="s">
        <v>38</v>
      </c>
      <c r="L91">
        <f t="shared" si="2"/>
        <v>1007515</v>
      </c>
    </row>
    <row r="92" spans="1:12" x14ac:dyDescent="0.3">
      <c r="A92" t="s">
        <v>213</v>
      </c>
      <c r="B92" t="s">
        <v>58</v>
      </c>
      <c r="C92" t="s">
        <v>44</v>
      </c>
      <c r="D92" t="s">
        <v>45</v>
      </c>
      <c r="E92">
        <v>27</v>
      </c>
      <c r="F92">
        <v>16617</v>
      </c>
      <c r="G92">
        <v>10</v>
      </c>
      <c r="H92">
        <v>12</v>
      </c>
      <c r="I92">
        <v>452248.27</v>
      </c>
      <c r="J92" t="s">
        <v>15</v>
      </c>
      <c r="K92" t="s">
        <v>33</v>
      </c>
      <c r="L92">
        <f t="shared" si="2"/>
        <v>526588</v>
      </c>
    </row>
    <row r="93" spans="1:12" x14ac:dyDescent="0.3">
      <c r="A93" t="s">
        <v>65</v>
      </c>
      <c r="B93" t="s">
        <v>58</v>
      </c>
      <c r="C93" t="s">
        <v>35</v>
      </c>
      <c r="D93" t="s">
        <v>77</v>
      </c>
      <c r="E93">
        <v>32</v>
      </c>
      <c r="F93">
        <v>81141</v>
      </c>
      <c r="G93">
        <v>5</v>
      </c>
      <c r="H93">
        <v>28</v>
      </c>
      <c r="I93">
        <v>3157358.59</v>
      </c>
      <c r="J93" t="s">
        <v>46</v>
      </c>
      <c r="K93" t="s">
        <v>26</v>
      </c>
      <c r="L93">
        <f t="shared" si="2"/>
        <v>1152915</v>
      </c>
    </row>
    <row r="94" spans="1:12" x14ac:dyDescent="0.3">
      <c r="A94" t="s">
        <v>176</v>
      </c>
      <c r="B94" t="s">
        <v>58</v>
      </c>
      <c r="C94" t="s">
        <v>13</v>
      </c>
      <c r="D94" t="s">
        <v>32</v>
      </c>
      <c r="E94">
        <v>39</v>
      </c>
      <c r="F94">
        <v>70098</v>
      </c>
      <c r="G94">
        <v>0</v>
      </c>
      <c r="H94">
        <v>28</v>
      </c>
      <c r="I94">
        <v>3499292.16</v>
      </c>
      <c r="J94" t="s">
        <v>21</v>
      </c>
      <c r="K94" t="s">
        <v>33</v>
      </c>
      <c r="L94">
        <f t="shared" si="2"/>
        <v>640842</v>
      </c>
    </row>
    <row r="95" spans="1:12" x14ac:dyDescent="0.3">
      <c r="A95" t="s">
        <v>97</v>
      </c>
      <c r="B95" t="s">
        <v>58</v>
      </c>
      <c r="C95" t="s">
        <v>13</v>
      </c>
      <c r="D95" t="s">
        <v>32</v>
      </c>
      <c r="E95">
        <v>6</v>
      </c>
      <c r="F95">
        <v>39660</v>
      </c>
      <c r="G95">
        <v>0</v>
      </c>
      <c r="H95">
        <v>12</v>
      </c>
      <c r="I95">
        <v>266515.20000000001</v>
      </c>
      <c r="J95" t="s">
        <v>21</v>
      </c>
      <c r="K95" t="s">
        <v>26</v>
      </c>
      <c r="L95">
        <f t="shared" si="2"/>
        <v>640842</v>
      </c>
    </row>
    <row r="96" spans="1:12" x14ac:dyDescent="0.3">
      <c r="A96" t="s">
        <v>138</v>
      </c>
      <c r="B96" t="s">
        <v>58</v>
      </c>
      <c r="C96" t="s">
        <v>48</v>
      </c>
      <c r="D96" t="s">
        <v>49</v>
      </c>
      <c r="E96">
        <v>31</v>
      </c>
      <c r="F96">
        <v>28771</v>
      </c>
      <c r="G96">
        <v>12</v>
      </c>
      <c r="H96">
        <v>28</v>
      </c>
      <c r="I96">
        <v>1004637.29</v>
      </c>
      <c r="J96" t="s">
        <v>21</v>
      </c>
      <c r="K96" t="s">
        <v>16</v>
      </c>
      <c r="L96">
        <f t="shared" si="2"/>
        <v>499714</v>
      </c>
    </row>
    <row r="97" spans="1:12" x14ac:dyDescent="0.3">
      <c r="A97" t="s">
        <v>152</v>
      </c>
      <c r="B97" t="s">
        <v>58</v>
      </c>
      <c r="C97" t="s">
        <v>19</v>
      </c>
      <c r="D97" t="s">
        <v>20</v>
      </c>
      <c r="E97">
        <v>1</v>
      </c>
      <c r="F97">
        <v>28597</v>
      </c>
      <c r="G97">
        <v>0</v>
      </c>
      <c r="H97">
        <v>18</v>
      </c>
      <c r="I97">
        <v>33744.46</v>
      </c>
      <c r="J97" t="s">
        <v>15</v>
      </c>
      <c r="K97" t="s">
        <v>26</v>
      </c>
      <c r="L97">
        <f t="shared" si="2"/>
        <v>159311</v>
      </c>
    </row>
    <row r="98" spans="1:12" x14ac:dyDescent="0.3">
      <c r="A98" t="s">
        <v>136</v>
      </c>
      <c r="B98" t="s">
        <v>58</v>
      </c>
      <c r="C98" t="s">
        <v>24</v>
      </c>
      <c r="D98" t="s">
        <v>25</v>
      </c>
      <c r="E98">
        <v>16</v>
      </c>
      <c r="F98">
        <v>4247</v>
      </c>
      <c r="G98">
        <v>10</v>
      </c>
      <c r="H98">
        <v>12</v>
      </c>
      <c r="I98">
        <v>68495.62</v>
      </c>
      <c r="J98" t="s">
        <v>15</v>
      </c>
      <c r="K98" t="s">
        <v>38</v>
      </c>
      <c r="L98">
        <f t="shared" ref="L98:L113" si="3">SUMIF(C:C,C98,F:F)</f>
        <v>1007515</v>
      </c>
    </row>
    <row r="99" spans="1:12" x14ac:dyDescent="0.3">
      <c r="A99" t="s">
        <v>191</v>
      </c>
      <c r="B99" t="s">
        <v>58</v>
      </c>
      <c r="C99" t="s">
        <v>48</v>
      </c>
      <c r="D99" t="s">
        <v>59</v>
      </c>
      <c r="E99">
        <v>12</v>
      </c>
      <c r="F99">
        <v>6966</v>
      </c>
      <c r="G99">
        <v>5</v>
      </c>
      <c r="H99">
        <v>12</v>
      </c>
      <c r="I99">
        <v>88941.89</v>
      </c>
      <c r="J99" t="s">
        <v>46</v>
      </c>
      <c r="K99" t="s">
        <v>16</v>
      </c>
      <c r="L99">
        <f t="shared" si="3"/>
        <v>499714</v>
      </c>
    </row>
    <row r="100" spans="1:12" x14ac:dyDescent="0.3">
      <c r="A100" t="s">
        <v>156</v>
      </c>
      <c r="B100" t="s">
        <v>58</v>
      </c>
      <c r="C100" t="s">
        <v>24</v>
      </c>
      <c r="D100" t="s">
        <v>25</v>
      </c>
      <c r="E100">
        <v>39</v>
      </c>
      <c r="F100">
        <v>12270</v>
      </c>
      <c r="G100">
        <v>5</v>
      </c>
      <c r="H100">
        <v>18</v>
      </c>
      <c r="I100">
        <v>536432.13</v>
      </c>
      <c r="J100" t="s">
        <v>46</v>
      </c>
      <c r="K100" t="s">
        <v>16</v>
      </c>
      <c r="L100">
        <f t="shared" si="3"/>
        <v>1007515</v>
      </c>
    </row>
    <row r="101" spans="1:12" x14ac:dyDescent="0.3">
      <c r="A101" t="s">
        <v>145</v>
      </c>
      <c r="B101" t="s">
        <v>58</v>
      </c>
      <c r="C101" t="s">
        <v>13</v>
      </c>
      <c r="D101" t="s">
        <v>32</v>
      </c>
      <c r="E101">
        <v>39</v>
      </c>
      <c r="F101">
        <v>35923</v>
      </c>
      <c r="G101">
        <v>5</v>
      </c>
      <c r="H101">
        <v>12</v>
      </c>
      <c r="I101">
        <v>1490660.81</v>
      </c>
      <c r="J101" t="s">
        <v>15</v>
      </c>
      <c r="K101" t="s">
        <v>38</v>
      </c>
      <c r="L101">
        <f t="shared" si="3"/>
        <v>640842</v>
      </c>
    </row>
    <row r="102" spans="1:12" x14ac:dyDescent="0.3">
      <c r="A102" t="s">
        <v>143</v>
      </c>
      <c r="B102" t="s">
        <v>58</v>
      </c>
      <c r="C102" t="s">
        <v>62</v>
      </c>
      <c r="D102" t="s">
        <v>63</v>
      </c>
      <c r="E102">
        <v>30</v>
      </c>
      <c r="F102">
        <v>16958</v>
      </c>
      <c r="G102">
        <v>12</v>
      </c>
      <c r="H102">
        <v>18</v>
      </c>
      <c r="I102">
        <v>528275.62</v>
      </c>
      <c r="J102" t="s">
        <v>15</v>
      </c>
      <c r="K102" t="s">
        <v>33</v>
      </c>
      <c r="L102">
        <f t="shared" si="3"/>
        <v>420781</v>
      </c>
    </row>
    <row r="103" spans="1:12" x14ac:dyDescent="0.3">
      <c r="A103" t="s">
        <v>119</v>
      </c>
      <c r="B103" t="s">
        <v>58</v>
      </c>
      <c r="C103" t="s">
        <v>48</v>
      </c>
      <c r="D103" t="s">
        <v>59</v>
      </c>
      <c r="E103">
        <v>5</v>
      </c>
      <c r="F103">
        <v>70045</v>
      </c>
      <c r="G103">
        <v>5</v>
      </c>
      <c r="H103">
        <v>18</v>
      </c>
      <c r="I103">
        <v>392602.22</v>
      </c>
      <c r="J103" t="s">
        <v>21</v>
      </c>
      <c r="K103" t="s">
        <v>26</v>
      </c>
      <c r="L103">
        <f t="shared" si="3"/>
        <v>499714</v>
      </c>
    </row>
    <row r="104" spans="1:12" x14ac:dyDescent="0.3">
      <c r="A104" t="s">
        <v>174</v>
      </c>
      <c r="B104" t="s">
        <v>58</v>
      </c>
      <c r="C104" t="s">
        <v>35</v>
      </c>
      <c r="D104" t="s">
        <v>36</v>
      </c>
      <c r="E104">
        <v>27</v>
      </c>
      <c r="F104">
        <v>50722</v>
      </c>
      <c r="G104">
        <v>0</v>
      </c>
      <c r="H104">
        <v>18</v>
      </c>
      <c r="I104">
        <v>1616002.92</v>
      </c>
      <c r="J104" t="s">
        <v>37</v>
      </c>
      <c r="K104" t="s">
        <v>26</v>
      </c>
      <c r="L104">
        <f t="shared" si="3"/>
        <v>1152915</v>
      </c>
    </row>
    <row r="105" spans="1:12" x14ac:dyDescent="0.3">
      <c r="A105" t="s">
        <v>213</v>
      </c>
      <c r="B105" t="s">
        <v>58</v>
      </c>
      <c r="C105" t="s">
        <v>29</v>
      </c>
      <c r="D105" t="s">
        <v>30</v>
      </c>
      <c r="E105">
        <v>26</v>
      </c>
      <c r="F105">
        <v>4386</v>
      </c>
      <c r="G105">
        <v>12</v>
      </c>
      <c r="H105">
        <v>12</v>
      </c>
      <c r="I105">
        <v>112393.88</v>
      </c>
      <c r="J105" t="s">
        <v>37</v>
      </c>
      <c r="K105" t="s">
        <v>26</v>
      </c>
      <c r="L105">
        <f t="shared" si="3"/>
        <v>143383</v>
      </c>
    </row>
    <row r="106" spans="1:12" x14ac:dyDescent="0.3">
      <c r="A106" t="s">
        <v>138</v>
      </c>
      <c r="B106" t="s">
        <v>58</v>
      </c>
      <c r="C106" t="s">
        <v>13</v>
      </c>
      <c r="D106" t="s">
        <v>32</v>
      </c>
      <c r="E106">
        <v>37</v>
      </c>
      <c r="F106">
        <v>3276</v>
      </c>
      <c r="G106">
        <v>0</v>
      </c>
      <c r="H106">
        <v>12</v>
      </c>
      <c r="I106">
        <v>135757.44</v>
      </c>
      <c r="J106" t="s">
        <v>37</v>
      </c>
      <c r="K106" t="s">
        <v>16</v>
      </c>
      <c r="L106">
        <f t="shared" si="3"/>
        <v>640842</v>
      </c>
    </row>
    <row r="107" spans="1:12" x14ac:dyDescent="0.3">
      <c r="A107" t="s">
        <v>217</v>
      </c>
      <c r="B107" t="s">
        <v>58</v>
      </c>
      <c r="C107" t="s">
        <v>48</v>
      </c>
      <c r="D107" t="s">
        <v>59</v>
      </c>
      <c r="E107">
        <v>28</v>
      </c>
      <c r="F107">
        <v>21647</v>
      </c>
      <c r="G107">
        <v>12</v>
      </c>
      <c r="H107">
        <v>28</v>
      </c>
      <c r="I107">
        <v>682729.06</v>
      </c>
      <c r="J107" t="s">
        <v>21</v>
      </c>
      <c r="K107" t="s">
        <v>38</v>
      </c>
      <c r="L107">
        <f t="shared" si="3"/>
        <v>499714</v>
      </c>
    </row>
    <row r="108" spans="1:12" x14ac:dyDescent="0.3">
      <c r="A108" t="s">
        <v>226</v>
      </c>
      <c r="B108" t="s">
        <v>58</v>
      </c>
      <c r="C108" t="s">
        <v>62</v>
      </c>
      <c r="D108" t="s">
        <v>63</v>
      </c>
      <c r="E108">
        <v>39</v>
      </c>
      <c r="F108">
        <v>58041</v>
      </c>
      <c r="G108">
        <v>0</v>
      </c>
      <c r="H108">
        <v>18</v>
      </c>
      <c r="I108">
        <v>2671046.8199999998</v>
      </c>
      <c r="J108" t="s">
        <v>37</v>
      </c>
      <c r="K108" t="s">
        <v>33</v>
      </c>
      <c r="L108">
        <f t="shared" si="3"/>
        <v>420781</v>
      </c>
    </row>
    <row r="109" spans="1:12" x14ac:dyDescent="0.3">
      <c r="A109" t="s">
        <v>198</v>
      </c>
      <c r="B109" t="s">
        <v>58</v>
      </c>
      <c r="C109" t="s">
        <v>19</v>
      </c>
      <c r="D109" t="s">
        <v>20</v>
      </c>
      <c r="E109">
        <v>27</v>
      </c>
      <c r="F109">
        <v>68346</v>
      </c>
      <c r="G109">
        <v>5</v>
      </c>
      <c r="H109">
        <v>18</v>
      </c>
      <c r="I109">
        <v>2068628.38</v>
      </c>
      <c r="J109" t="s">
        <v>21</v>
      </c>
      <c r="K109" t="s">
        <v>33</v>
      </c>
      <c r="L109">
        <f t="shared" si="3"/>
        <v>159311</v>
      </c>
    </row>
    <row r="110" spans="1:12" x14ac:dyDescent="0.3">
      <c r="A110" t="s">
        <v>55</v>
      </c>
      <c r="B110" t="s">
        <v>58</v>
      </c>
      <c r="C110" t="s">
        <v>62</v>
      </c>
      <c r="D110" t="s">
        <v>63</v>
      </c>
      <c r="E110">
        <v>18</v>
      </c>
      <c r="F110">
        <v>65729</v>
      </c>
      <c r="G110">
        <v>0</v>
      </c>
      <c r="H110">
        <v>12</v>
      </c>
      <c r="I110">
        <v>1325096.6399999999</v>
      </c>
      <c r="J110" t="s">
        <v>21</v>
      </c>
      <c r="K110" t="s">
        <v>33</v>
      </c>
      <c r="L110">
        <f t="shared" si="3"/>
        <v>420781</v>
      </c>
    </row>
    <row r="111" spans="1:12" x14ac:dyDescent="0.3">
      <c r="A111" t="s">
        <v>154</v>
      </c>
      <c r="B111" t="s">
        <v>58</v>
      </c>
      <c r="C111" t="s">
        <v>24</v>
      </c>
      <c r="D111" t="s">
        <v>25</v>
      </c>
      <c r="E111">
        <v>24</v>
      </c>
      <c r="F111">
        <v>59212</v>
      </c>
      <c r="G111">
        <v>0</v>
      </c>
      <c r="H111">
        <v>18</v>
      </c>
      <c r="I111">
        <v>1676883.84</v>
      </c>
      <c r="J111" t="s">
        <v>37</v>
      </c>
      <c r="K111" t="s">
        <v>26</v>
      </c>
      <c r="L111">
        <f t="shared" si="3"/>
        <v>1007515</v>
      </c>
    </row>
    <row r="112" spans="1:12" x14ac:dyDescent="0.3">
      <c r="A112" t="s">
        <v>107</v>
      </c>
      <c r="B112" t="s">
        <v>58</v>
      </c>
      <c r="C112" t="s">
        <v>35</v>
      </c>
      <c r="D112" t="s">
        <v>77</v>
      </c>
      <c r="E112">
        <v>35</v>
      </c>
      <c r="F112">
        <v>18407</v>
      </c>
      <c r="G112">
        <v>5</v>
      </c>
      <c r="H112">
        <v>28</v>
      </c>
      <c r="I112">
        <v>783401.92</v>
      </c>
      <c r="J112" t="s">
        <v>46</v>
      </c>
      <c r="K112" t="s">
        <v>33</v>
      </c>
      <c r="L112">
        <f t="shared" si="3"/>
        <v>1152915</v>
      </c>
    </row>
    <row r="113" spans="1:12" x14ac:dyDescent="0.3">
      <c r="A113" t="s">
        <v>61</v>
      </c>
      <c r="B113" t="s">
        <v>58</v>
      </c>
      <c r="C113" t="s">
        <v>13</v>
      </c>
      <c r="D113" t="s">
        <v>32</v>
      </c>
      <c r="E113">
        <v>23</v>
      </c>
      <c r="F113">
        <v>48637</v>
      </c>
      <c r="G113">
        <v>5</v>
      </c>
      <c r="H113">
        <v>18</v>
      </c>
      <c r="I113">
        <v>1254007.77</v>
      </c>
      <c r="J113" t="s">
        <v>15</v>
      </c>
      <c r="K113" t="s">
        <v>26</v>
      </c>
      <c r="L113">
        <f t="shared" si="3"/>
        <v>640842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2"/>
  <sheetViews>
    <sheetView workbookViewId="0">
      <selection activeCell="C3" sqref="C3"/>
    </sheetView>
  </sheetViews>
  <sheetFormatPr defaultRowHeight="14.4" x14ac:dyDescent="0.3"/>
  <sheetData>
    <row r="1" spans="1:12" x14ac:dyDescent="0.3">
      <c r="A1" s="10" t="s">
        <v>68</v>
      </c>
      <c r="B1" s="11" t="s">
        <v>58</v>
      </c>
      <c r="C1" s="11" t="s">
        <v>24</v>
      </c>
      <c r="D1" s="11" t="s">
        <v>25</v>
      </c>
      <c r="E1" s="11">
        <v>16</v>
      </c>
      <c r="F1" s="11">
        <v>74830</v>
      </c>
      <c r="G1" s="11">
        <v>5</v>
      </c>
      <c r="H1" s="11">
        <v>28</v>
      </c>
      <c r="I1" s="11">
        <v>1455892.48</v>
      </c>
      <c r="J1" s="11" t="s">
        <v>37</v>
      </c>
      <c r="K1" s="11" t="s">
        <v>26</v>
      </c>
      <c r="L1" s="14">
        <f t="shared" ref="L1:L64" si="0">SUMIF(C:C,C1,F:F)</f>
        <v>1007515</v>
      </c>
    </row>
    <row r="2" spans="1:12" x14ac:dyDescent="0.3">
      <c r="A2" s="12" t="s">
        <v>111</v>
      </c>
      <c r="B2" s="13" t="s">
        <v>58</v>
      </c>
      <c r="C2" s="13" t="s">
        <v>13</v>
      </c>
      <c r="D2" s="13" t="s">
        <v>32</v>
      </c>
      <c r="E2" s="13">
        <v>25</v>
      </c>
      <c r="F2" s="13">
        <v>26082</v>
      </c>
      <c r="G2" s="13">
        <v>10</v>
      </c>
      <c r="H2" s="13">
        <v>12</v>
      </c>
      <c r="I2" s="13">
        <v>657266.4</v>
      </c>
      <c r="J2" s="13" t="s">
        <v>37</v>
      </c>
      <c r="K2" s="13" t="s">
        <v>26</v>
      </c>
      <c r="L2" s="15">
        <f t="shared" si="0"/>
        <v>640842</v>
      </c>
    </row>
    <row r="3" spans="1:12" x14ac:dyDescent="0.3">
      <c r="A3" s="10" t="s">
        <v>231</v>
      </c>
      <c r="B3" s="11" t="s">
        <v>58</v>
      </c>
      <c r="C3" s="11" t="s">
        <v>48</v>
      </c>
      <c r="D3" s="11" t="s">
        <v>49</v>
      </c>
      <c r="E3" s="11">
        <v>33</v>
      </c>
      <c r="F3" s="11">
        <v>19143</v>
      </c>
      <c r="G3" s="11">
        <v>0</v>
      </c>
      <c r="H3" s="11">
        <v>12</v>
      </c>
      <c r="I3" s="11">
        <v>707525.28</v>
      </c>
      <c r="J3" s="11" t="s">
        <v>46</v>
      </c>
      <c r="K3" s="11" t="s">
        <v>38</v>
      </c>
      <c r="L3" s="14">
        <f t="shared" si="0"/>
        <v>499714</v>
      </c>
    </row>
    <row r="4" spans="1:12" x14ac:dyDescent="0.3">
      <c r="A4" s="12" t="s">
        <v>98</v>
      </c>
      <c r="B4" s="13" t="s">
        <v>58</v>
      </c>
      <c r="C4" s="13" t="s">
        <v>13</v>
      </c>
      <c r="D4" s="13" t="s">
        <v>14</v>
      </c>
      <c r="E4" s="13">
        <v>9</v>
      </c>
      <c r="F4" s="13">
        <v>77668</v>
      </c>
      <c r="G4" s="13">
        <v>0</v>
      </c>
      <c r="H4" s="13">
        <v>28</v>
      </c>
      <c r="I4" s="13">
        <v>894735.35999999999</v>
      </c>
      <c r="J4" s="13" t="s">
        <v>15</v>
      </c>
      <c r="K4" s="13" t="s">
        <v>26</v>
      </c>
      <c r="L4" s="15">
        <f t="shared" si="0"/>
        <v>640842</v>
      </c>
    </row>
    <row r="5" spans="1:12" x14ac:dyDescent="0.3">
      <c r="A5" s="10" t="s">
        <v>74</v>
      </c>
      <c r="B5" s="11" t="s">
        <v>58</v>
      </c>
      <c r="C5" s="11" t="s">
        <v>35</v>
      </c>
      <c r="D5" s="11" t="s">
        <v>36</v>
      </c>
      <c r="E5" s="11">
        <v>24</v>
      </c>
      <c r="F5" s="11">
        <v>47049</v>
      </c>
      <c r="G5" s="11">
        <v>0</v>
      </c>
      <c r="H5" s="11">
        <v>12</v>
      </c>
      <c r="I5" s="11">
        <v>1264677.1200000001</v>
      </c>
      <c r="J5" s="11" t="s">
        <v>46</v>
      </c>
      <c r="K5" s="11" t="s">
        <v>16</v>
      </c>
      <c r="L5" s="14">
        <f t="shared" si="0"/>
        <v>1152915</v>
      </c>
    </row>
    <row r="6" spans="1:12" x14ac:dyDescent="0.3">
      <c r="A6" s="12" t="s">
        <v>54</v>
      </c>
      <c r="B6" s="13" t="s">
        <v>58</v>
      </c>
      <c r="C6" s="13" t="s">
        <v>44</v>
      </c>
      <c r="D6" s="13" t="s">
        <v>51</v>
      </c>
      <c r="E6" s="13">
        <v>15</v>
      </c>
      <c r="F6" s="13">
        <v>44688</v>
      </c>
      <c r="G6" s="13">
        <v>12</v>
      </c>
      <c r="H6" s="13">
        <v>28</v>
      </c>
      <c r="I6" s="13">
        <v>755048.45</v>
      </c>
      <c r="J6" s="13" t="s">
        <v>21</v>
      </c>
      <c r="K6" s="13" t="s">
        <v>16</v>
      </c>
      <c r="L6" s="15">
        <f t="shared" si="0"/>
        <v>526588</v>
      </c>
    </row>
    <row r="7" spans="1:12" x14ac:dyDescent="0.3">
      <c r="A7" s="10" t="s">
        <v>200</v>
      </c>
      <c r="B7" s="11" t="s">
        <v>58</v>
      </c>
      <c r="C7" s="11" t="s">
        <v>44</v>
      </c>
      <c r="D7" s="11" t="s">
        <v>45</v>
      </c>
      <c r="E7" s="11">
        <v>31</v>
      </c>
      <c r="F7" s="11">
        <v>39465</v>
      </c>
      <c r="G7" s="11">
        <v>5</v>
      </c>
      <c r="H7" s="11">
        <v>28</v>
      </c>
      <c r="I7" s="11">
        <v>1487672.64</v>
      </c>
      <c r="J7" s="11" t="s">
        <v>15</v>
      </c>
      <c r="K7" s="11" t="s">
        <v>33</v>
      </c>
      <c r="L7" s="14">
        <f t="shared" si="0"/>
        <v>526588</v>
      </c>
    </row>
    <row r="8" spans="1:12" x14ac:dyDescent="0.3">
      <c r="A8" s="12" t="s">
        <v>159</v>
      </c>
      <c r="B8" s="13" t="s">
        <v>58</v>
      </c>
      <c r="C8" s="13" t="s">
        <v>24</v>
      </c>
      <c r="D8" s="13" t="s">
        <v>40</v>
      </c>
      <c r="E8" s="13">
        <v>16</v>
      </c>
      <c r="F8" s="13">
        <v>20672</v>
      </c>
      <c r="G8" s="13">
        <v>10</v>
      </c>
      <c r="H8" s="13">
        <v>18</v>
      </c>
      <c r="I8" s="13">
        <v>351258.62</v>
      </c>
      <c r="J8" s="13" t="s">
        <v>37</v>
      </c>
      <c r="K8" s="13" t="s">
        <v>38</v>
      </c>
      <c r="L8" s="15">
        <f t="shared" si="0"/>
        <v>1007515</v>
      </c>
    </row>
    <row r="9" spans="1:12" x14ac:dyDescent="0.3">
      <c r="A9" s="10" t="s">
        <v>169</v>
      </c>
      <c r="B9" s="11" t="s">
        <v>58</v>
      </c>
      <c r="C9" s="11" t="s">
        <v>44</v>
      </c>
      <c r="D9" s="11" t="s">
        <v>45</v>
      </c>
      <c r="E9" s="11">
        <v>12</v>
      </c>
      <c r="F9" s="11">
        <v>10272</v>
      </c>
      <c r="G9" s="11">
        <v>10</v>
      </c>
      <c r="H9" s="11">
        <v>28</v>
      </c>
      <c r="I9" s="11">
        <v>142000.13</v>
      </c>
      <c r="J9" s="11" t="s">
        <v>15</v>
      </c>
      <c r="K9" s="11" t="s">
        <v>16</v>
      </c>
      <c r="L9" s="14">
        <f t="shared" si="0"/>
        <v>526588</v>
      </c>
    </row>
    <row r="10" spans="1:12" x14ac:dyDescent="0.3">
      <c r="A10" s="12" t="s">
        <v>117</v>
      </c>
      <c r="B10" s="13" t="s">
        <v>58</v>
      </c>
      <c r="C10" s="13" t="s">
        <v>13</v>
      </c>
      <c r="D10" s="13" t="s">
        <v>14</v>
      </c>
      <c r="E10" s="13">
        <v>11</v>
      </c>
      <c r="F10" s="13">
        <v>2188</v>
      </c>
      <c r="G10" s="13">
        <v>12</v>
      </c>
      <c r="H10" s="13">
        <v>12</v>
      </c>
      <c r="I10" s="13">
        <v>23721.42</v>
      </c>
      <c r="J10" s="13" t="s">
        <v>15</v>
      </c>
      <c r="K10" s="13" t="s">
        <v>26</v>
      </c>
      <c r="L10" s="15">
        <f t="shared" si="0"/>
        <v>640842</v>
      </c>
    </row>
    <row r="11" spans="1:12" x14ac:dyDescent="0.3">
      <c r="A11" s="10" t="s">
        <v>119</v>
      </c>
      <c r="B11" s="11" t="s">
        <v>58</v>
      </c>
      <c r="C11" s="11" t="s">
        <v>24</v>
      </c>
      <c r="D11" s="11" t="s">
        <v>76</v>
      </c>
      <c r="E11" s="11">
        <v>18</v>
      </c>
      <c r="F11" s="11">
        <v>70011</v>
      </c>
      <c r="G11" s="11">
        <v>5</v>
      </c>
      <c r="H11" s="11">
        <v>12</v>
      </c>
      <c r="I11" s="11">
        <v>1340850.67</v>
      </c>
      <c r="J11" s="11" t="s">
        <v>15</v>
      </c>
      <c r="K11" s="11" t="s">
        <v>33</v>
      </c>
      <c r="L11" s="14">
        <f t="shared" si="0"/>
        <v>1007515</v>
      </c>
    </row>
    <row r="12" spans="1:12" x14ac:dyDescent="0.3">
      <c r="A12" s="12" t="s">
        <v>227</v>
      </c>
      <c r="B12" s="13" t="s">
        <v>58</v>
      </c>
      <c r="C12" s="13" t="s">
        <v>62</v>
      </c>
      <c r="D12" s="13" t="s">
        <v>63</v>
      </c>
      <c r="E12" s="13">
        <v>12</v>
      </c>
      <c r="F12" s="13">
        <v>13360</v>
      </c>
      <c r="G12" s="13">
        <v>10</v>
      </c>
      <c r="H12" s="13">
        <v>28</v>
      </c>
      <c r="I12" s="13">
        <v>184688.64000000001</v>
      </c>
      <c r="J12" s="13" t="s">
        <v>15</v>
      </c>
      <c r="K12" s="13" t="s">
        <v>33</v>
      </c>
      <c r="L12" s="15">
        <f t="shared" si="0"/>
        <v>420781</v>
      </c>
    </row>
    <row r="13" spans="1:12" x14ac:dyDescent="0.3">
      <c r="A13" s="10" t="s">
        <v>118</v>
      </c>
      <c r="B13" s="11" t="s">
        <v>58</v>
      </c>
      <c r="C13" s="11" t="s">
        <v>24</v>
      </c>
      <c r="D13" s="11" t="s">
        <v>25</v>
      </c>
      <c r="E13" s="11">
        <v>2</v>
      </c>
      <c r="F13" s="11">
        <v>31517</v>
      </c>
      <c r="G13" s="11">
        <v>12</v>
      </c>
      <c r="H13" s="11">
        <v>12</v>
      </c>
      <c r="I13" s="11">
        <v>62126.31</v>
      </c>
      <c r="J13" s="11" t="s">
        <v>15</v>
      </c>
      <c r="K13" s="11" t="s">
        <v>33</v>
      </c>
      <c r="L13" s="14">
        <f t="shared" si="0"/>
        <v>1007515</v>
      </c>
    </row>
    <row r="14" spans="1:12" x14ac:dyDescent="0.3">
      <c r="A14" s="12" t="s">
        <v>67</v>
      </c>
      <c r="B14" s="13" t="s">
        <v>58</v>
      </c>
      <c r="C14" s="13" t="s">
        <v>35</v>
      </c>
      <c r="D14" s="13" t="s">
        <v>77</v>
      </c>
      <c r="E14" s="13">
        <v>11</v>
      </c>
      <c r="F14" s="13">
        <v>60601</v>
      </c>
      <c r="G14" s="13">
        <v>0</v>
      </c>
      <c r="H14" s="13">
        <v>12</v>
      </c>
      <c r="I14" s="13">
        <v>746604.32</v>
      </c>
      <c r="J14" s="13" t="s">
        <v>37</v>
      </c>
      <c r="K14" s="13" t="s">
        <v>38</v>
      </c>
      <c r="L14" s="15">
        <f t="shared" si="0"/>
        <v>1152915</v>
      </c>
    </row>
    <row r="15" spans="1:12" x14ac:dyDescent="0.3">
      <c r="A15" s="10" t="s">
        <v>210</v>
      </c>
      <c r="B15" s="11" t="s">
        <v>58</v>
      </c>
      <c r="C15" s="11" t="s">
        <v>62</v>
      </c>
      <c r="D15" s="11" t="s">
        <v>92</v>
      </c>
      <c r="E15" s="11">
        <v>25</v>
      </c>
      <c r="F15" s="11">
        <v>14517</v>
      </c>
      <c r="G15" s="11">
        <v>10</v>
      </c>
      <c r="H15" s="11">
        <v>18</v>
      </c>
      <c r="I15" s="11">
        <v>385426.35</v>
      </c>
      <c r="J15" s="11" t="s">
        <v>37</v>
      </c>
      <c r="K15" s="11" t="s">
        <v>38</v>
      </c>
      <c r="L15" s="14">
        <f t="shared" si="0"/>
        <v>420781</v>
      </c>
    </row>
    <row r="16" spans="1:12" x14ac:dyDescent="0.3">
      <c r="A16" s="12" t="s">
        <v>31</v>
      </c>
      <c r="B16" s="13" t="s">
        <v>58</v>
      </c>
      <c r="C16" s="13" t="s">
        <v>13</v>
      </c>
      <c r="D16" s="13" t="s">
        <v>32</v>
      </c>
      <c r="E16" s="13">
        <v>38</v>
      </c>
      <c r="F16" s="13">
        <v>39203</v>
      </c>
      <c r="G16" s="13">
        <v>0</v>
      </c>
      <c r="H16" s="13">
        <v>18</v>
      </c>
      <c r="I16" s="13">
        <v>1757862.52</v>
      </c>
      <c r="J16" s="13" t="s">
        <v>15</v>
      </c>
      <c r="K16" s="13" t="s">
        <v>38</v>
      </c>
      <c r="L16" s="15">
        <f t="shared" si="0"/>
        <v>640842</v>
      </c>
    </row>
    <row r="17" spans="1:12" x14ac:dyDescent="0.3">
      <c r="A17" s="10" t="s">
        <v>116</v>
      </c>
      <c r="B17" s="11" t="s">
        <v>58</v>
      </c>
      <c r="C17" s="11" t="s">
        <v>48</v>
      </c>
      <c r="D17" s="11" t="s">
        <v>59</v>
      </c>
      <c r="E17" s="11">
        <v>6</v>
      </c>
      <c r="F17" s="11">
        <v>2511</v>
      </c>
      <c r="G17" s="11">
        <v>5</v>
      </c>
      <c r="H17" s="11">
        <v>18</v>
      </c>
      <c r="I17" s="11">
        <v>16888.990000000002</v>
      </c>
      <c r="J17" s="11" t="s">
        <v>46</v>
      </c>
      <c r="K17" s="11" t="s">
        <v>16</v>
      </c>
      <c r="L17" s="14">
        <f t="shared" si="0"/>
        <v>499714</v>
      </c>
    </row>
    <row r="18" spans="1:12" x14ac:dyDescent="0.3">
      <c r="A18" s="12" t="s">
        <v>221</v>
      </c>
      <c r="B18" s="13" t="s">
        <v>58</v>
      </c>
      <c r="C18" s="13" t="s">
        <v>35</v>
      </c>
      <c r="D18" s="13" t="s">
        <v>36</v>
      </c>
      <c r="E18" s="13">
        <v>6</v>
      </c>
      <c r="F18" s="13">
        <v>66568</v>
      </c>
      <c r="G18" s="13">
        <v>5</v>
      </c>
      <c r="H18" s="13">
        <v>18</v>
      </c>
      <c r="I18" s="13">
        <v>447736.37</v>
      </c>
      <c r="J18" s="13" t="s">
        <v>37</v>
      </c>
      <c r="K18" s="13" t="s">
        <v>16</v>
      </c>
      <c r="L18" s="15">
        <f t="shared" si="0"/>
        <v>1152915</v>
      </c>
    </row>
    <row r="19" spans="1:12" x14ac:dyDescent="0.3">
      <c r="A19" s="10" t="s">
        <v>96</v>
      </c>
      <c r="B19" s="11" t="s">
        <v>58</v>
      </c>
      <c r="C19" s="11" t="s">
        <v>48</v>
      </c>
      <c r="D19" s="11" t="s">
        <v>49</v>
      </c>
      <c r="E19" s="11">
        <v>30</v>
      </c>
      <c r="F19" s="11">
        <v>15600</v>
      </c>
      <c r="G19" s="11">
        <v>10</v>
      </c>
      <c r="H19" s="11">
        <v>12</v>
      </c>
      <c r="I19" s="11">
        <v>471744</v>
      </c>
      <c r="J19" s="11" t="s">
        <v>21</v>
      </c>
      <c r="K19" s="11" t="s">
        <v>26</v>
      </c>
      <c r="L19" s="14">
        <f t="shared" si="0"/>
        <v>499714</v>
      </c>
    </row>
    <row r="20" spans="1:12" x14ac:dyDescent="0.3">
      <c r="A20" s="12" t="s">
        <v>41</v>
      </c>
      <c r="B20" s="13" t="s">
        <v>58</v>
      </c>
      <c r="C20" s="13" t="s">
        <v>44</v>
      </c>
      <c r="D20" s="13" t="s">
        <v>45</v>
      </c>
      <c r="E20" s="13">
        <v>3</v>
      </c>
      <c r="F20" s="13">
        <v>81374</v>
      </c>
      <c r="G20" s="13">
        <v>12</v>
      </c>
      <c r="H20" s="13">
        <v>12</v>
      </c>
      <c r="I20" s="13">
        <v>240606.64</v>
      </c>
      <c r="J20" s="13" t="s">
        <v>21</v>
      </c>
      <c r="K20" s="13" t="s">
        <v>33</v>
      </c>
      <c r="L20" s="15">
        <f t="shared" si="0"/>
        <v>526588</v>
      </c>
    </row>
    <row r="21" spans="1:12" x14ac:dyDescent="0.3">
      <c r="A21" s="10" t="s">
        <v>216</v>
      </c>
      <c r="B21" s="11" t="s">
        <v>58</v>
      </c>
      <c r="C21" s="11" t="s">
        <v>35</v>
      </c>
      <c r="D21" s="11" t="s">
        <v>36</v>
      </c>
      <c r="E21" s="11">
        <v>40</v>
      </c>
      <c r="F21" s="11">
        <v>20857</v>
      </c>
      <c r="G21" s="11">
        <v>12</v>
      </c>
      <c r="H21" s="11">
        <v>28</v>
      </c>
      <c r="I21" s="11">
        <v>939732.99</v>
      </c>
      <c r="J21" s="11" t="s">
        <v>21</v>
      </c>
      <c r="K21" s="11" t="s">
        <v>33</v>
      </c>
      <c r="L21" s="14">
        <f t="shared" si="0"/>
        <v>1152915</v>
      </c>
    </row>
    <row r="22" spans="1:12" x14ac:dyDescent="0.3">
      <c r="A22" s="12" t="s">
        <v>229</v>
      </c>
      <c r="B22" s="13" t="s">
        <v>58</v>
      </c>
      <c r="C22" s="13" t="s">
        <v>24</v>
      </c>
      <c r="D22" s="13" t="s">
        <v>25</v>
      </c>
      <c r="E22" s="13">
        <v>24</v>
      </c>
      <c r="F22" s="13">
        <v>24402</v>
      </c>
      <c r="G22" s="13">
        <v>10</v>
      </c>
      <c r="H22" s="13">
        <v>12</v>
      </c>
      <c r="I22" s="13">
        <v>590333.18000000005</v>
      </c>
      <c r="J22" s="13" t="s">
        <v>37</v>
      </c>
      <c r="K22" s="13" t="s">
        <v>38</v>
      </c>
      <c r="L22" s="15">
        <f t="shared" si="0"/>
        <v>1007515</v>
      </c>
    </row>
    <row r="23" spans="1:12" x14ac:dyDescent="0.3">
      <c r="A23" s="10" t="s">
        <v>147</v>
      </c>
      <c r="B23" s="11" t="s">
        <v>58</v>
      </c>
      <c r="C23" s="11" t="s">
        <v>13</v>
      </c>
      <c r="D23" s="11" t="s">
        <v>32</v>
      </c>
      <c r="E23" s="11">
        <v>16</v>
      </c>
      <c r="F23" s="11">
        <v>64811</v>
      </c>
      <c r="G23" s="11">
        <v>5</v>
      </c>
      <c r="H23" s="11">
        <v>12</v>
      </c>
      <c r="I23" s="11">
        <v>1103342.46</v>
      </c>
      <c r="J23" s="11" t="s">
        <v>21</v>
      </c>
      <c r="K23" s="11" t="s">
        <v>16</v>
      </c>
      <c r="L23" s="14">
        <f t="shared" si="0"/>
        <v>640842</v>
      </c>
    </row>
    <row r="24" spans="1:12" x14ac:dyDescent="0.3">
      <c r="A24" s="12" t="s">
        <v>220</v>
      </c>
      <c r="B24" s="13" t="s">
        <v>58</v>
      </c>
      <c r="C24" s="13" t="s">
        <v>44</v>
      </c>
      <c r="D24" s="13" t="s">
        <v>51</v>
      </c>
      <c r="E24" s="13">
        <v>3</v>
      </c>
      <c r="F24" s="13">
        <v>36313</v>
      </c>
      <c r="G24" s="13">
        <v>10</v>
      </c>
      <c r="H24" s="13">
        <v>12</v>
      </c>
      <c r="I24" s="13">
        <v>109810.51</v>
      </c>
      <c r="J24" s="13" t="s">
        <v>15</v>
      </c>
      <c r="K24" s="13" t="s">
        <v>33</v>
      </c>
      <c r="L24" s="15">
        <f t="shared" si="0"/>
        <v>526588</v>
      </c>
    </row>
    <row r="25" spans="1:12" x14ac:dyDescent="0.3">
      <c r="A25" s="10" t="s">
        <v>220</v>
      </c>
      <c r="B25" s="11" t="s">
        <v>58</v>
      </c>
      <c r="C25" s="11" t="s">
        <v>48</v>
      </c>
      <c r="D25" s="11" t="s">
        <v>59</v>
      </c>
      <c r="E25" s="11">
        <v>11</v>
      </c>
      <c r="F25" s="11">
        <v>48340</v>
      </c>
      <c r="G25" s="11">
        <v>12</v>
      </c>
      <c r="H25" s="11">
        <v>28</v>
      </c>
      <c r="I25" s="11">
        <v>598951.93999999994</v>
      </c>
      <c r="J25" s="11" t="s">
        <v>37</v>
      </c>
      <c r="K25" s="11" t="s">
        <v>16</v>
      </c>
      <c r="L25" s="14">
        <f t="shared" si="0"/>
        <v>499714</v>
      </c>
    </row>
    <row r="26" spans="1:12" x14ac:dyDescent="0.3">
      <c r="A26" s="12" t="s">
        <v>214</v>
      </c>
      <c r="B26" s="13" t="s">
        <v>58</v>
      </c>
      <c r="C26" s="13" t="s">
        <v>24</v>
      </c>
      <c r="D26" s="13" t="s">
        <v>76</v>
      </c>
      <c r="E26" s="13">
        <v>25</v>
      </c>
      <c r="F26" s="13">
        <v>40942</v>
      </c>
      <c r="G26" s="13">
        <v>5</v>
      </c>
      <c r="H26" s="13">
        <v>18</v>
      </c>
      <c r="I26" s="13">
        <v>1147399.55</v>
      </c>
      <c r="J26" s="13" t="s">
        <v>46</v>
      </c>
      <c r="K26" s="13" t="s">
        <v>26</v>
      </c>
      <c r="L26" s="15">
        <f t="shared" si="0"/>
        <v>1007515</v>
      </c>
    </row>
    <row r="27" spans="1:12" x14ac:dyDescent="0.3">
      <c r="A27" s="10" t="s">
        <v>207</v>
      </c>
      <c r="B27" s="11" t="s">
        <v>58</v>
      </c>
      <c r="C27" s="11" t="s">
        <v>24</v>
      </c>
      <c r="D27" s="11" t="s">
        <v>76</v>
      </c>
      <c r="E27" s="11">
        <v>23</v>
      </c>
      <c r="F27" s="11">
        <v>38873</v>
      </c>
      <c r="G27" s="11">
        <v>12</v>
      </c>
      <c r="H27" s="11">
        <v>18</v>
      </c>
      <c r="I27" s="11">
        <v>928411.63</v>
      </c>
      <c r="J27" s="11" t="s">
        <v>46</v>
      </c>
      <c r="K27" s="11" t="s">
        <v>26</v>
      </c>
      <c r="L27" s="14">
        <f t="shared" si="0"/>
        <v>1007515</v>
      </c>
    </row>
    <row r="28" spans="1:12" x14ac:dyDescent="0.3">
      <c r="A28" s="12" t="s">
        <v>199</v>
      </c>
      <c r="B28" s="13" t="s">
        <v>58</v>
      </c>
      <c r="C28" s="13" t="s">
        <v>44</v>
      </c>
      <c r="D28" s="13" t="s">
        <v>51</v>
      </c>
      <c r="E28" s="13">
        <v>4</v>
      </c>
      <c r="F28" s="13">
        <v>13423</v>
      </c>
      <c r="G28" s="13">
        <v>12</v>
      </c>
      <c r="H28" s="13">
        <v>28</v>
      </c>
      <c r="I28" s="13">
        <v>60478.67</v>
      </c>
      <c r="J28" s="13" t="s">
        <v>15</v>
      </c>
      <c r="K28" s="13" t="s">
        <v>33</v>
      </c>
      <c r="L28" s="15">
        <f t="shared" si="0"/>
        <v>526588</v>
      </c>
    </row>
    <row r="29" spans="1:12" x14ac:dyDescent="0.3">
      <c r="A29" s="10" t="s">
        <v>98</v>
      </c>
      <c r="B29" s="11" t="s">
        <v>58</v>
      </c>
      <c r="C29" s="11" t="s">
        <v>13</v>
      </c>
      <c r="D29" s="11" t="s">
        <v>32</v>
      </c>
      <c r="E29" s="11">
        <v>23</v>
      </c>
      <c r="F29" s="11">
        <v>22435</v>
      </c>
      <c r="G29" s="11">
        <v>12</v>
      </c>
      <c r="H29" s="11">
        <v>12</v>
      </c>
      <c r="I29" s="11">
        <v>508574.53</v>
      </c>
      <c r="J29" s="11" t="s">
        <v>37</v>
      </c>
      <c r="K29" s="11" t="s">
        <v>33</v>
      </c>
      <c r="L29" s="14">
        <f t="shared" si="0"/>
        <v>640842</v>
      </c>
    </row>
    <row r="30" spans="1:12" x14ac:dyDescent="0.3">
      <c r="A30" s="12" t="s">
        <v>153</v>
      </c>
      <c r="B30" s="13" t="s">
        <v>58</v>
      </c>
      <c r="C30" s="13" t="s">
        <v>35</v>
      </c>
      <c r="D30" s="13" t="s">
        <v>56</v>
      </c>
      <c r="E30" s="13">
        <v>23</v>
      </c>
      <c r="F30" s="13">
        <v>51837</v>
      </c>
      <c r="G30" s="13">
        <v>0</v>
      </c>
      <c r="H30" s="13">
        <v>12</v>
      </c>
      <c r="I30" s="13">
        <v>1335321.1200000001</v>
      </c>
      <c r="J30" s="13" t="s">
        <v>21</v>
      </c>
      <c r="K30" s="13" t="s">
        <v>26</v>
      </c>
      <c r="L30" s="15">
        <f t="shared" si="0"/>
        <v>1152915</v>
      </c>
    </row>
    <row r="31" spans="1:12" x14ac:dyDescent="0.3">
      <c r="A31" s="10" t="s">
        <v>121</v>
      </c>
      <c r="B31" s="11" t="s">
        <v>58</v>
      </c>
      <c r="C31" s="11" t="s">
        <v>48</v>
      </c>
      <c r="D31" s="11" t="s">
        <v>49</v>
      </c>
      <c r="E31" s="11">
        <v>12</v>
      </c>
      <c r="F31" s="11">
        <v>44716</v>
      </c>
      <c r="G31" s="11">
        <v>10</v>
      </c>
      <c r="H31" s="11">
        <v>18</v>
      </c>
      <c r="I31" s="11">
        <v>569860.69999999995</v>
      </c>
      <c r="J31" s="11" t="s">
        <v>21</v>
      </c>
      <c r="K31" s="11" t="s">
        <v>26</v>
      </c>
      <c r="L31" s="14">
        <f t="shared" si="0"/>
        <v>499714</v>
      </c>
    </row>
    <row r="32" spans="1:12" x14ac:dyDescent="0.3">
      <c r="A32" s="12" t="s">
        <v>129</v>
      </c>
      <c r="B32" s="13" t="s">
        <v>58</v>
      </c>
      <c r="C32" s="13" t="s">
        <v>35</v>
      </c>
      <c r="D32" s="13" t="s">
        <v>56</v>
      </c>
      <c r="E32" s="13">
        <v>8</v>
      </c>
      <c r="F32" s="13">
        <v>62070</v>
      </c>
      <c r="G32" s="13">
        <v>10</v>
      </c>
      <c r="H32" s="13">
        <v>28</v>
      </c>
      <c r="I32" s="13">
        <v>572037.12</v>
      </c>
      <c r="J32" s="13" t="s">
        <v>46</v>
      </c>
      <c r="K32" s="13" t="s">
        <v>26</v>
      </c>
      <c r="L32" s="15">
        <f t="shared" si="0"/>
        <v>1152915</v>
      </c>
    </row>
    <row r="33" spans="1:12" x14ac:dyDescent="0.3">
      <c r="A33" s="10" t="s">
        <v>97</v>
      </c>
      <c r="B33" s="11" t="s">
        <v>58</v>
      </c>
      <c r="C33" s="11" t="s">
        <v>35</v>
      </c>
      <c r="D33" s="11" t="s">
        <v>56</v>
      </c>
      <c r="E33" s="11">
        <v>13</v>
      </c>
      <c r="F33" s="11">
        <v>34093</v>
      </c>
      <c r="G33" s="11">
        <v>0</v>
      </c>
      <c r="H33" s="11">
        <v>18</v>
      </c>
      <c r="I33" s="11">
        <v>522986.62</v>
      </c>
      <c r="J33" s="11" t="s">
        <v>15</v>
      </c>
      <c r="K33" s="11" t="s">
        <v>26</v>
      </c>
      <c r="L33" s="14">
        <f t="shared" si="0"/>
        <v>1152915</v>
      </c>
    </row>
    <row r="34" spans="1:12" x14ac:dyDescent="0.3">
      <c r="A34" s="12" t="s">
        <v>194</v>
      </c>
      <c r="B34" s="13" t="s">
        <v>58</v>
      </c>
      <c r="C34" s="13" t="s">
        <v>24</v>
      </c>
      <c r="D34" s="13" t="s">
        <v>25</v>
      </c>
      <c r="E34" s="13">
        <v>16</v>
      </c>
      <c r="F34" s="13">
        <v>56040</v>
      </c>
      <c r="G34" s="13">
        <v>10</v>
      </c>
      <c r="H34" s="13">
        <v>18</v>
      </c>
      <c r="I34" s="13">
        <v>952231.68</v>
      </c>
      <c r="J34" s="13" t="s">
        <v>21</v>
      </c>
      <c r="K34" s="13" t="s">
        <v>16</v>
      </c>
      <c r="L34" s="15">
        <f t="shared" si="0"/>
        <v>1007515</v>
      </c>
    </row>
    <row r="35" spans="1:12" x14ac:dyDescent="0.3">
      <c r="A35" s="10" t="s">
        <v>103</v>
      </c>
      <c r="B35" s="11" t="s">
        <v>58</v>
      </c>
      <c r="C35" s="11" t="s">
        <v>35</v>
      </c>
      <c r="D35" s="11" t="s">
        <v>36</v>
      </c>
      <c r="E35" s="11">
        <v>28</v>
      </c>
      <c r="F35" s="11">
        <v>51378</v>
      </c>
      <c r="G35" s="11">
        <v>10</v>
      </c>
      <c r="H35" s="11">
        <v>18</v>
      </c>
      <c r="I35" s="11">
        <v>1527776.21</v>
      </c>
      <c r="J35" s="11" t="s">
        <v>15</v>
      </c>
      <c r="K35" s="11" t="s">
        <v>38</v>
      </c>
      <c r="L35" s="14">
        <f t="shared" si="0"/>
        <v>1152915</v>
      </c>
    </row>
    <row r="36" spans="1:12" x14ac:dyDescent="0.3">
      <c r="A36" s="12" t="s">
        <v>124</v>
      </c>
      <c r="B36" s="13" t="s">
        <v>58</v>
      </c>
      <c r="C36" s="13" t="s">
        <v>44</v>
      </c>
      <c r="D36" s="13" t="s">
        <v>45</v>
      </c>
      <c r="E36" s="13">
        <v>24</v>
      </c>
      <c r="F36" s="13">
        <v>56084</v>
      </c>
      <c r="G36" s="13">
        <v>10</v>
      </c>
      <c r="H36" s="13">
        <v>28</v>
      </c>
      <c r="I36" s="13">
        <v>1550610.43</v>
      </c>
      <c r="J36" s="13" t="s">
        <v>37</v>
      </c>
      <c r="K36" s="13" t="s">
        <v>38</v>
      </c>
      <c r="L36" s="15">
        <f t="shared" si="0"/>
        <v>526588</v>
      </c>
    </row>
    <row r="37" spans="1:12" x14ac:dyDescent="0.3">
      <c r="A37" s="10" t="s">
        <v>43</v>
      </c>
      <c r="B37" s="11" t="s">
        <v>58</v>
      </c>
      <c r="C37" s="11" t="s">
        <v>62</v>
      </c>
      <c r="D37" s="11" t="s">
        <v>63</v>
      </c>
      <c r="E37" s="11">
        <v>13</v>
      </c>
      <c r="F37" s="11">
        <v>48265</v>
      </c>
      <c r="G37" s="11">
        <v>10</v>
      </c>
      <c r="H37" s="11">
        <v>12</v>
      </c>
      <c r="I37" s="11">
        <v>632464.56000000006</v>
      </c>
      <c r="J37" s="11" t="s">
        <v>15</v>
      </c>
      <c r="K37" s="11" t="s">
        <v>38</v>
      </c>
      <c r="L37" s="14">
        <f t="shared" si="0"/>
        <v>420781</v>
      </c>
    </row>
    <row r="38" spans="1:12" x14ac:dyDescent="0.3">
      <c r="A38" s="12" t="s">
        <v>199</v>
      </c>
      <c r="B38" s="13" t="s">
        <v>58</v>
      </c>
      <c r="C38" s="13" t="s">
        <v>62</v>
      </c>
      <c r="D38" s="13" t="s">
        <v>92</v>
      </c>
      <c r="E38" s="13">
        <v>32</v>
      </c>
      <c r="F38" s="13">
        <v>61505</v>
      </c>
      <c r="G38" s="13">
        <v>10</v>
      </c>
      <c r="H38" s="13">
        <v>28</v>
      </c>
      <c r="I38" s="13">
        <v>2267320.3199999998</v>
      </c>
      <c r="J38" s="13" t="s">
        <v>37</v>
      </c>
      <c r="K38" s="13" t="s">
        <v>33</v>
      </c>
      <c r="L38" s="15">
        <f t="shared" si="0"/>
        <v>420781</v>
      </c>
    </row>
    <row r="39" spans="1:12" x14ac:dyDescent="0.3">
      <c r="A39" s="10" t="s">
        <v>125</v>
      </c>
      <c r="B39" s="11" t="s">
        <v>58</v>
      </c>
      <c r="C39" s="11" t="s">
        <v>44</v>
      </c>
      <c r="D39" s="11" t="s">
        <v>45</v>
      </c>
      <c r="E39" s="11">
        <v>2</v>
      </c>
      <c r="F39" s="11">
        <v>81797</v>
      </c>
      <c r="G39" s="11">
        <v>12</v>
      </c>
      <c r="H39" s="11">
        <v>18</v>
      </c>
      <c r="I39" s="11">
        <v>169876.01</v>
      </c>
      <c r="J39" s="11" t="s">
        <v>15</v>
      </c>
      <c r="K39" s="11" t="s">
        <v>16</v>
      </c>
      <c r="L39" s="14">
        <f t="shared" si="0"/>
        <v>526588</v>
      </c>
    </row>
    <row r="40" spans="1:12" x14ac:dyDescent="0.3">
      <c r="A40" s="12" t="s">
        <v>156</v>
      </c>
      <c r="B40" s="13" t="s">
        <v>58</v>
      </c>
      <c r="C40" s="13" t="s">
        <v>13</v>
      </c>
      <c r="D40" s="13" t="s">
        <v>14</v>
      </c>
      <c r="E40" s="13">
        <v>24</v>
      </c>
      <c r="F40" s="13">
        <v>41065</v>
      </c>
      <c r="G40" s="13">
        <v>0</v>
      </c>
      <c r="H40" s="13">
        <v>18</v>
      </c>
      <c r="I40" s="13">
        <v>1162960.8</v>
      </c>
      <c r="J40" s="13" t="s">
        <v>15</v>
      </c>
      <c r="K40" s="13" t="s">
        <v>26</v>
      </c>
      <c r="L40" s="15">
        <f t="shared" si="0"/>
        <v>640842</v>
      </c>
    </row>
    <row r="41" spans="1:12" x14ac:dyDescent="0.3">
      <c r="A41" s="10" t="s">
        <v>41</v>
      </c>
      <c r="B41" s="11" t="s">
        <v>58</v>
      </c>
      <c r="C41" s="11" t="s">
        <v>13</v>
      </c>
      <c r="D41" s="11" t="s">
        <v>14</v>
      </c>
      <c r="E41" s="11">
        <v>31</v>
      </c>
      <c r="F41" s="11">
        <v>52367</v>
      </c>
      <c r="G41" s="11">
        <v>10</v>
      </c>
      <c r="H41" s="11">
        <v>18</v>
      </c>
      <c r="I41" s="11">
        <v>1724026.37</v>
      </c>
      <c r="J41" s="11" t="s">
        <v>15</v>
      </c>
      <c r="K41" s="11" t="s">
        <v>26</v>
      </c>
      <c r="L41" s="14">
        <f t="shared" si="0"/>
        <v>640842</v>
      </c>
    </row>
    <row r="42" spans="1:12" x14ac:dyDescent="0.3">
      <c r="A42" s="12" t="s">
        <v>214</v>
      </c>
      <c r="B42" s="13" t="s">
        <v>58</v>
      </c>
      <c r="C42" s="13" t="s">
        <v>35</v>
      </c>
      <c r="D42" s="13" t="s">
        <v>56</v>
      </c>
      <c r="E42" s="13">
        <v>16</v>
      </c>
      <c r="F42" s="13">
        <v>28355</v>
      </c>
      <c r="G42" s="13">
        <v>5</v>
      </c>
      <c r="H42" s="13">
        <v>12</v>
      </c>
      <c r="I42" s="13">
        <v>482715.52</v>
      </c>
      <c r="J42" s="13" t="s">
        <v>37</v>
      </c>
      <c r="K42" s="13" t="s">
        <v>16</v>
      </c>
      <c r="L42" s="15">
        <f t="shared" si="0"/>
        <v>1152915</v>
      </c>
    </row>
    <row r="43" spans="1:12" x14ac:dyDescent="0.3">
      <c r="A43" s="10" t="s">
        <v>101</v>
      </c>
      <c r="B43" s="11" t="s">
        <v>58</v>
      </c>
      <c r="C43" s="11" t="s">
        <v>13</v>
      </c>
      <c r="D43" s="11" t="s">
        <v>14</v>
      </c>
      <c r="E43" s="11">
        <v>28</v>
      </c>
      <c r="F43" s="11">
        <v>1588</v>
      </c>
      <c r="G43" s="11">
        <v>12</v>
      </c>
      <c r="H43" s="11">
        <v>28</v>
      </c>
      <c r="I43" s="11">
        <v>50084.25</v>
      </c>
      <c r="J43" s="11" t="s">
        <v>46</v>
      </c>
      <c r="K43" s="11" t="s">
        <v>16</v>
      </c>
      <c r="L43" s="14">
        <f t="shared" si="0"/>
        <v>640842</v>
      </c>
    </row>
    <row r="44" spans="1:12" x14ac:dyDescent="0.3">
      <c r="A44" s="12" t="s">
        <v>132</v>
      </c>
      <c r="B44" s="13" t="s">
        <v>58</v>
      </c>
      <c r="C44" s="13" t="s">
        <v>44</v>
      </c>
      <c r="D44" s="13" t="s">
        <v>45</v>
      </c>
      <c r="E44" s="13">
        <v>2</v>
      </c>
      <c r="F44" s="13">
        <v>37094</v>
      </c>
      <c r="G44" s="13">
        <v>12</v>
      </c>
      <c r="H44" s="13">
        <v>18</v>
      </c>
      <c r="I44" s="13">
        <v>77036.820000000007</v>
      </c>
      <c r="J44" s="13" t="s">
        <v>15</v>
      </c>
      <c r="K44" s="13" t="s">
        <v>33</v>
      </c>
      <c r="L44" s="15">
        <f t="shared" si="0"/>
        <v>526588</v>
      </c>
    </row>
    <row r="45" spans="1:12" x14ac:dyDescent="0.3">
      <c r="A45" s="10" t="s">
        <v>136</v>
      </c>
      <c r="B45" s="11" t="s">
        <v>58</v>
      </c>
      <c r="C45" s="11" t="s">
        <v>24</v>
      </c>
      <c r="D45" s="11" t="s">
        <v>25</v>
      </c>
      <c r="E45" s="11">
        <v>1</v>
      </c>
      <c r="F45" s="11">
        <v>49781</v>
      </c>
      <c r="G45" s="11">
        <v>5</v>
      </c>
      <c r="H45" s="11">
        <v>28</v>
      </c>
      <c r="I45" s="11">
        <v>60533.7</v>
      </c>
      <c r="J45" s="11" t="s">
        <v>46</v>
      </c>
      <c r="K45" s="11" t="s">
        <v>38</v>
      </c>
      <c r="L45" s="14">
        <f t="shared" si="0"/>
        <v>1007515</v>
      </c>
    </row>
    <row r="46" spans="1:12" x14ac:dyDescent="0.3">
      <c r="A46" s="12" t="s">
        <v>216</v>
      </c>
      <c r="B46" s="13" t="s">
        <v>58</v>
      </c>
      <c r="C46" s="13" t="s">
        <v>35</v>
      </c>
      <c r="D46" s="13" t="s">
        <v>36</v>
      </c>
      <c r="E46" s="13">
        <v>30</v>
      </c>
      <c r="F46" s="13">
        <v>45231</v>
      </c>
      <c r="G46" s="13">
        <v>5</v>
      </c>
      <c r="H46" s="13">
        <v>18</v>
      </c>
      <c r="I46" s="13">
        <v>1521118.53</v>
      </c>
      <c r="J46" s="13" t="s">
        <v>46</v>
      </c>
      <c r="K46" s="13" t="s">
        <v>16</v>
      </c>
      <c r="L46" s="15">
        <f t="shared" si="0"/>
        <v>1152915</v>
      </c>
    </row>
    <row r="47" spans="1:12" x14ac:dyDescent="0.3">
      <c r="A47" s="10" t="s">
        <v>87</v>
      </c>
      <c r="B47" s="11" t="s">
        <v>58</v>
      </c>
      <c r="C47" s="11" t="s">
        <v>35</v>
      </c>
      <c r="D47" s="11" t="s">
        <v>56</v>
      </c>
      <c r="E47" s="11">
        <v>25</v>
      </c>
      <c r="F47" s="11">
        <v>78689</v>
      </c>
      <c r="G47" s="11">
        <v>5</v>
      </c>
      <c r="H47" s="11">
        <v>12</v>
      </c>
      <c r="I47" s="11">
        <v>2093127.4</v>
      </c>
      <c r="J47" s="11" t="s">
        <v>46</v>
      </c>
      <c r="K47" s="11" t="s">
        <v>16</v>
      </c>
      <c r="L47" s="14">
        <f t="shared" si="0"/>
        <v>1152915</v>
      </c>
    </row>
    <row r="48" spans="1:12" x14ac:dyDescent="0.3">
      <c r="A48" s="12" t="s">
        <v>174</v>
      </c>
      <c r="B48" s="13" t="s">
        <v>58</v>
      </c>
      <c r="C48" s="13" t="s">
        <v>13</v>
      </c>
      <c r="D48" s="13" t="s">
        <v>14</v>
      </c>
      <c r="E48" s="13">
        <v>26</v>
      </c>
      <c r="F48" s="13">
        <v>61878</v>
      </c>
      <c r="G48" s="13">
        <v>5</v>
      </c>
      <c r="H48" s="13">
        <v>28</v>
      </c>
      <c r="I48" s="13">
        <v>1956334.85</v>
      </c>
      <c r="J48" s="13" t="s">
        <v>21</v>
      </c>
      <c r="K48" s="13" t="s">
        <v>16</v>
      </c>
      <c r="L48" s="15">
        <f t="shared" si="0"/>
        <v>640842</v>
      </c>
    </row>
    <row r="49" spans="1:12" x14ac:dyDescent="0.3">
      <c r="A49" s="10" t="s">
        <v>74</v>
      </c>
      <c r="B49" s="11" t="s">
        <v>58</v>
      </c>
      <c r="C49" s="11" t="s">
        <v>35</v>
      </c>
      <c r="D49" s="11" t="s">
        <v>56</v>
      </c>
      <c r="E49" s="11">
        <v>37</v>
      </c>
      <c r="F49" s="11">
        <v>12194</v>
      </c>
      <c r="G49" s="11">
        <v>0</v>
      </c>
      <c r="H49" s="11">
        <v>18</v>
      </c>
      <c r="I49" s="11">
        <v>532390.04</v>
      </c>
      <c r="J49" s="11" t="s">
        <v>21</v>
      </c>
      <c r="K49" s="11" t="s">
        <v>33</v>
      </c>
      <c r="L49" s="14">
        <f t="shared" si="0"/>
        <v>1152915</v>
      </c>
    </row>
    <row r="50" spans="1:12" x14ac:dyDescent="0.3">
      <c r="A50" s="12" t="s">
        <v>127</v>
      </c>
      <c r="B50" s="13" t="s">
        <v>58</v>
      </c>
      <c r="C50" s="13" t="s">
        <v>44</v>
      </c>
      <c r="D50" s="13" t="s">
        <v>51</v>
      </c>
      <c r="E50" s="13">
        <v>31</v>
      </c>
      <c r="F50" s="13">
        <v>38425</v>
      </c>
      <c r="G50" s="13">
        <v>0</v>
      </c>
      <c r="H50" s="13">
        <v>18</v>
      </c>
      <c r="I50" s="13">
        <v>1405586.5</v>
      </c>
      <c r="J50" s="13" t="s">
        <v>21</v>
      </c>
      <c r="K50" s="13" t="s">
        <v>38</v>
      </c>
      <c r="L50" s="15">
        <f t="shared" si="0"/>
        <v>526588</v>
      </c>
    </row>
    <row r="51" spans="1:12" x14ac:dyDescent="0.3">
      <c r="A51" s="10" t="s">
        <v>34</v>
      </c>
      <c r="B51" s="11" t="s">
        <v>58</v>
      </c>
      <c r="C51" s="11" t="s">
        <v>24</v>
      </c>
      <c r="D51" s="11" t="s">
        <v>40</v>
      </c>
      <c r="E51" s="11">
        <v>22</v>
      </c>
      <c r="F51" s="11">
        <v>27159</v>
      </c>
      <c r="G51" s="11">
        <v>12</v>
      </c>
      <c r="H51" s="11">
        <v>12</v>
      </c>
      <c r="I51" s="11">
        <v>588894.03</v>
      </c>
      <c r="J51" s="11" t="s">
        <v>37</v>
      </c>
      <c r="K51" s="11" t="s">
        <v>33</v>
      </c>
      <c r="L51" s="14">
        <f t="shared" si="0"/>
        <v>1007515</v>
      </c>
    </row>
    <row r="52" spans="1:12" x14ac:dyDescent="0.3">
      <c r="A52" s="12" t="s">
        <v>114</v>
      </c>
      <c r="B52" s="13" t="s">
        <v>58</v>
      </c>
      <c r="C52" s="13" t="s">
        <v>48</v>
      </c>
      <c r="D52" s="13" t="s">
        <v>49</v>
      </c>
      <c r="E52" s="13">
        <v>33</v>
      </c>
      <c r="F52" s="13">
        <v>78610</v>
      </c>
      <c r="G52" s="13">
        <v>12</v>
      </c>
      <c r="H52" s="13">
        <v>12</v>
      </c>
      <c r="I52" s="13">
        <v>2556774.5299999998</v>
      </c>
      <c r="J52" s="13" t="s">
        <v>37</v>
      </c>
      <c r="K52" s="13" t="s">
        <v>33</v>
      </c>
      <c r="L52" s="15">
        <f t="shared" si="0"/>
        <v>499714</v>
      </c>
    </row>
    <row r="53" spans="1:12" x14ac:dyDescent="0.3">
      <c r="A53" s="10" t="s">
        <v>105</v>
      </c>
      <c r="B53" s="11" t="s">
        <v>58</v>
      </c>
      <c r="C53" s="11" t="s">
        <v>35</v>
      </c>
      <c r="D53" s="11" t="s">
        <v>56</v>
      </c>
      <c r="E53" s="11">
        <v>32</v>
      </c>
      <c r="F53" s="11">
        <v>65002</v>
      </c>
      <c r="G53" s="11">
        <v>12</v>
      </c>
      <c r="H53" s="11">
        <v>12</v>
      </c>
      <c r="I53" s="11">
        <v>2050111.08</v>
      </c>
      <c r="J53" s="11" t="s">
        <v>21</v>
      </c>
      <c r="K53" s="11" t="s">
        <v>16</v>
      </c>
      <c r="L53" s="14">
        <f t="shared" si="0"/>
        <v>1152915</v>
      </c>
    </row>
    <row r="54" spans="1:12" x14ac:dyDescent="0.3">
      <c r="A54" s="12" t="s">
        <v>193</v>
      </c>
      <c r="B54" s="13" t="s">
        <v>58</v>
      </c>
      <c r="C54" s="13" t="s">
        <v>19</v>
      </c>
      <c r="D54" s="13" t="s">
        <v>20</v>
      </c>
      <c r="E54" s="13">
        <v>17</v>
      </c>
      <c r="F54" s="13">
        <v>39618</v>
      </c>
      <c r="G54" s="13">
        <v>10</v>
      </c>
      <c r="H54" s="13">
        <v>28</v>
      </c>
      <c r="I54" s="13">
        <v>775878.91</v>
      </c>
      <c r="J54" s="13" t="s">
        <v>37</v>
      </c>
      <c r="K54" s="13" t="s">
        <v>38</v>
      </c>
      <c r="L54" s="15">
        <f t="shared" si="0"/>
        <v>159311</v>
      </c>
    </row>
    <row r="55" spans="1:12" x14ac:dyDescent="0.3">
      <c r="A55" s="10" t="s">
        <v>123</v>
      </c>
      <c r="B55" s="11" t="s">
        <v>58</v>
      </c>
      <c r="C55" s="11" t="s">
        <v>35</v>
      </c>
      <c r="D55" s="11" t="s">
        <v>56</v>
      </c>
      <c r="E55" s="11">
        <v>26</v>
      </c>
      <c r="F55" s="11">
        <v>24473</v>
      </c>
      <c r="G55" s="11">
        <v>12</v>
      </c>
      <c r="H55" s="11">
        <v>28</v>
      </c>
      <c r="I55" s="11">
        <v>716726.07</v>
      </c>
      <c r="J55" s="11" t="s">
        <v>37</v>
      </c>
      <c r="K55" s="11" t="s">
        <v>38</v>
      </c>
      <c r="L55" s="14">
        <f t="shared" si="0"/>
        <v>1152915</v>
      </c>
    </row>
    <row r="56" spans="1:12" x14ac:dyDescent="0.3">
      <c r="A56" s="12" t="s">
        <v>79</v>
      </c>
      <c r="B56" s="13" t="s">
        <v>58</v>
      </c>
      <c r="C56" s="13" t="s">
        <v>24</v>
      </c>
      <c r="D56" s="13" t="s">
        <v>25</v>
      </c>
      <c r="E56" s="13">
        <v>3</v>
      </c>
      <c r="F56" s="13">
        <v>75397</v>
      </c>
      <c r="G56" s="13">
        <v>10</v>
      </c>
      <c r="H56" s="13">
        <v>12</v>
      </c>
      <c r="I56" s="13">
        <v>228000.53</v>
      </c>
      <c r="J56" s="13" t="s">
        <v>15</v>
      </c>
      <c r="K56" s="13" t="s">
        <v>33</v>
      </c>
      <c r="L56" s="15">
        <f t="shared" si="0"/>
        <v>1007515</v>
      </c>
    </row>
    <row r="57" spans="1:12" x14ac:dyDescent="0.3">
      <c r="A57" s="10" t="s">
        <v>132</v>
      </c>
      <c r="B57" s="11" t="s">
        <v>58</v>
      </c>
      <c r="C57" s="11" t="s">
        <v>35</v>
      </c>
      <c r="D57" s="11" t="s">
        <v>56</v>
      </c>
      <c r="E57" s="11">
        <v>30</v>
      </c>
      <c r="F57" s="11">
        <v>42603</v>
      </c>
      <c r="G57" s="11">
        <v>5</v>
      </c>
      <c r="H57" s="11">
        <v>18</v>
      </c>
      <c r="I57" s="11">
        <v>1432738.89</v>
      </c>
      <c r="J57" s="11" t="s">
        <v>21</v>
      </c>
      <c r="K57" s="11" t="s">
        <v>16</v>
      </c>
      <c r="L57" s="14">
        <f t="shared" si="0"/>
        <v>1152915</v>
      </c>
    </row>
    <row r="58" spans="1:12" x14ac:dyDescent="0.3">
      <c r="A58" s="12" t="s">
        <v>231</v>
      </c>
      <c r="B58" s="13" t="s">
        <v>58</v>
      </c>
      <c r="C58" s="13" t="s">
        <v>44</v>
      </c>
      <c r="D58" s="13" t="s">
        <v>45</v>
      </c>
      <c r="E58" s="13">
        <v>27</v>
      </c>
      <c r="F58" s="13">
        <v>50267</v>
      </c>
      <c r="G58" s="13">
        <v>0</v>
      </c>
      <c r="H58" s="13">
        <v>28</v>
      </c>
      <c r="I58" s="13">
        <v>1737227.52</v>
      </c>
      <c r="J58" s="13" t="s">
        <v>37</v>
      </c>
      <c r="K58" s="13" t="s">
        <v>33</v>
      </c>
      <c r="L58" s="15">
        <f t="shared" si="0"/>
        <v>526588</v>
      </c>
    </row>
    <row r="59" spans="1:12" x14ac:dyDescent="0.3">
      <c r="A59" s="10" t="s">
        <v>185</v>
      </c>
      <c r="B59" s="11" t="s">
        <v>58</v>
      </c>
      <c r="C59" s="11" t="s">
        <v>48</v>
      </c>
      <c r="D59" s="11" t="s">
        <v>59</v>
      </c>
      <c r="E59" s="11">
        <v>9</v>
      </c>
      <c r="F59" s="11">
        <v>23805</v>
      </c>
      <c r="G59" s="11">
        <v>0</v>
      </c>
      <c r="H59" s="11">
        <v>18</v>
      </c>
      <c r="I59" s="11">
        <v>252809.1</v>
      </c>
      <c r="J59" s="11" t="s">
        <v>37</v>
      </c>
      <c r="K59" s="11" t="s">
        <v>33</v>
      </c>
      <c r="L59" s="14">
        <f t="shared" si="0"/>
        <v>499714</v>
      </c>
    </row>
    <row r="60" spans="1:12" x14ac:dyDescent="0.3">
      <c r="A60" s="12" t="s">
        <v>174</v>
      </c>
      <c r="B60" s="13" t="s">
        <v>58</v>
      </c>
      <c r="C60" s="13" t="s">
        <v>48</v>
      </c>
      <c r="D60" s="13" t="s">
        <v>49</v>
      </c>
      <c r="E60" s="13">
        <v>7</v>
      </c>
      <c r="F60" s="13">
        <v>36553</v>
      </c>
      <c r="G60" s="13">
        <v>0</v>
      </c>
      <c r="H60" s="13">
        <v>28</v>
      </c>
      <c r="I60" s="13">
        <v>327514.88</v>
      </c>
      <c r="J60" s="13" t="s">
        <v>15</v>
      </c>
      <c r="K60" s="13" t="s">
        <v>16</v>
      </c>
      <c r="L60" s="15">
        <f t="shared" si="0"/>
        <v>499714</v>
      </c>
    </row>
    <row r="61" spans="1:12" x14ac:dyDescent="0.3">
      <c r="A61" s="10" t="s">
        <v>110</v>
      </c>
      <c r="B61" s="11" t="s">
        <v>58</v>
      </c>
      <c r="C61" s="11" t="s">
        <v>24</v>
      </c>
      <c r="D61" s="11" t="s">
        <v>76</v>
      </c>
      <c r="E61" s="11">
        <v>19</v>
      </c>
      <c r="F61" s="11">
        <v>79563</v>
      </c>
      <c r="G61" s="11">
        <v>5</v>
      </c>
      <c r="H61" s="11">
        <v>12</v>
      </c>
      <c r="I61" s="11">
        <v>1608445.61</v>
      </c>
      <c r="J61" s="11" t="s">
        <v>21</v>
      </c>
      <c r="K61" s="11" t="s">
        <v>26</v>
      </c>
      <c r="L61" s="14">
        <f t="shared" si="0"/>
        <v>1007515</v>
      </c>
    </row>
    <row r="62" spans="1:12" x14ac:dyDescent="0.3">
      <c r="A62" s="12" t="s">
        <v>199</v>
      </c>
      <c r="B62" s="13" t="s">
        <v>58</v>
      </c>
      <c r="C62" s="13" t="s">
        <v>35</v>
      </c>
      <c r="D62" s="13" t="s">
        <v>77</v>
      </c>
      <c r="E62" s="13">
        <v>15</v>
      </c>
      <c r="F62" s="13">
        <v>71758</v>
      </c>
      <c r="G62" s="13">
        <v>0</v>
      </c>
      <c r="H62" s="13">
        <v>12</v>
      </c>
      <c r="I62" s="13">
        <v>1205534.3999999999</v>
      </c>
      <c r="J62" s="13" t="s">
        <v>46</v>
      </c>
      <c r="K62" s="13" t="s">
        <v>33</v>
      </c>
      <c r="L62" s="15">
        <f t="shared" si="0"/>
        <v>1152915</v>
      </c>
    </row>
    <row r="63" spans="1:12" x14ac:dyDescent="0.3">
      <c r="A63" s="10" t="s">
        <v>219</v>
      </c>
      <c r="B63" s="11" t="s">
        <v>58</v>
      </c>
      <c r="C63" s="11" t="s">
        <v>62</v>
      </c>
      <c r="D63" s="11" t="s">
        <v>92</v>
      </c>
      <c r="E63" s="11">
        <v>21</v>
      </c>
      <c r="F63" s="11">
        <v>55537</v>
      </c>
      <c r="G63" s="11">
        <v>5</v>
      </c>
      <c r="H63" s="11">
        <v>18</v>
      </c>
      <c r="I63" s="11">
        <v>1307396.52</v>
      </c>
      <c r="J63" s="11" t="s">
        <v>46</v>
      </c>
      <c r="K63" s="11" t="s">
        <v>38</v>
      </c>
      <c r="L63" s="14">
        <f t="shared" si="0"/>
        <v>420781</v>
      </c>
    </row>
    <row r="64" spans="1:12" x14ac:dyDescent="0.3">
      <c r="A64" s="12" t="s">
        <v>22</v>
      </c>
      <c r="B64" s="13" t="s">
        <v>58</v>
      </c>
      <c r="C64" s="13" t="s">
        <v>13</v>
      </c>
      <c r="D64" s="13" t="s">
        <v>14</v>
      </c>
      <c r="E64" s="13">
        <v>13</v>
      </c>
      <c r="F64" s="13">
        <v>5508</v>
      </c>
      <c r="G64" s="13">
        <v>10</v>
      </c>
      <c r="H64" s="13">
        <v>18</v>
      </c>
      <c r="I64" s="13">
        <v>76043.45</v>
      </c>
      <c r="J64" s="13" t="s">
        <v>46</v>
      </c>
      <c r="K64" s="13" t="s">
        <v>38</v>
      </c>
      <c r="L64" s="15">
        <f t="shared" si="0"/>
        <v>640842</v>
      </c>
    </row>
    <row r="65" spans="1:12" x14ac:dyDescent="0.3">
      <c r="A65" s="10" t="s">
        <v>68</v>
      </c>
      <c r="B65" s="11" t="s">
        <v>58</v>
      </c>
      <c r="C65" s="11" t="s">
        <v>44</v>
      </c>
      <c r="D65" s="11" t="s">
        <v>45</v>
      </c>
      <c r="E65" s="11">
        <v>30</v>
      </c>
      <c r="F65" s="11">
        <v>2430</v>
      </c>
      <c r="G65" s="11">
        <v>12</v>
      </c>
      <c r="H65" s="11">
        <v>12</v>
      </c>
      <c r="I65" s="11">
        <v>71850.240000000005</v>
      </c>
      <c r="J65" s="11" t="s">
        <v>21</v>
      </c>
      <c r="K65" s="11" t="s">
        <v>16</v>
      </c>
      <c r="L65" s="14">
        <f t="shared" ref="L65:L112" si="1">SUMIF(C:C,C65,F:F)</f>
        <v>526588</v>
      </c>
    </row>
    <row r="66" spans="1:12" x14ac:dyDescent="0.3">
      <c r="A66" s="12" t="s">
        <v>156</v>
      </c>
      <c r="B66" s="13" t="s">
        <v>58</v>
      </c>
      <c r="C66" s="13" t="s">
        <v>35</v>
      </c>
      <c r="D66" s="13" t="s">
        <v>36</v>
      </c>
      <c r="E66" s="13">
        <v>9</v>
      </c>
      <c r="F66" s="13">
        <v>33125</v>
      </c>
      <c r="G66" s="13">
        <v>12</v>
      </c>
      <c r="H66" s="13">
        <v>28</v>
      </c>
      <c r="I66" s="13">
        <v>335808</v>
      </c>
      <c r="J66" s="13" t="s">
        <v>21</v>
      </c>
      <c r="K66" s="13" t="s">
        <v>33</v>
      </c>
      <c r="L66" s="15">
        <f t="shared" si="1"/>
        <v>1152915</v>
      </c>
    </row>
    <row r="67" spans="1:12" x14ac:dyDescent="0.3">
      <c r="A67" s="10" t="s">
        <v>174</v>
      </c>
      <c r="B67" s="11" t="s">
        <v>58</v>
      </c>
      <c r="C67" s="11" t="s">
        <v>24</v>
      </c>
      <c r="D67" s="11" t="s">
        <v>76</v>
      </c>
      <c r="E67" s="11">
        <v>24</v>
      </c>
      <c r="F67" s="11">
        <v>81231</v>
      </c>
      <c r="G67" s="11">
        <v>0</v>
      </c>
      <c r="H67" s="11">
        <v>18</v>
      </c>
      <c r="I67" s="11">
        <v>2300461.92</v>
      </c>
      <c r="J67" s="11" t="s">
        <v>21</v>
      </c>
      <c r="K67" s="11" t="s">
        <v>26</v>
      </c>
      <c r="L67" s="14">
        <f t="shared" si="1"/>
        <v>1007515</v>
      </c>
    </row>
    <row r="68" spans="1:12" x14ac:dyDescent="0.3">
      <c r="A68" s="12" t="s">
        <v>191</v>
      </c>
      <c r="B68" s="13" t="s">
        <v>58</v>
      </c>
      <c r="C68" s="13" t="s">
        <v>24</v>
      </c>
      <c r="D68" s="13" t="s">
        <v>76</v>
      </c>
      <c r="E68" s="13">
        <v>31</v>
      </c>
      <c r="F68" s="13">
        <v>67400</v>
      </c>
      <c r="G68" s="13">
        <v>0</v>
      </c>
      <c r="H68" s="13">
        <v>12</v>
      </c>
      <c r="I68" s="13">
        <v>2340128</v>
      </c>
      <c r="J68" s="13" t="s">
        <v>15</v>
      </c>
      <c r="K68" s="13" t="s">
        <v>26</v>
      </c>
      <c r="L68" s="15">
        <f t="shared" si="1"/>
        <v>1007515</v>
      </c>
    </row>
    <row r="69" spans="1:12" x14ac:dyDescent="0.3">
      <c r="A69" s="10" t="s">
        <v>219</v>
      </c>
      <c r="B69" s="11" t="s">
        <v>58</v>
      </c>
      <c r="C69" s="11" t="s">
        <v>24</v>
      </c>
      <c r="D69" s="11" t="s">
        <v>40</v>
      </c>
      <c r="E69" s="11">
        <v>40</v>
      </c>
      <c r="F69" s="11">
        <v>51633</v>
      </c>
      <c r="G69" s="11">
        <v>5</v>
      </c>
      <c r="H69" s="11">
        <v>28</v>
      </c>
      <c r="I69" s="11">
        <v>2511429.12</v>
      </c>
      <c r="J69" s="11" t="s">
        <v>37</v>
      </c>
      <c r="K69" s="11" t="s">
        <v>38</v>
      </c>
      <c r="L69" s="14">
        <f t="shared" si="1"/>
        <v>1007515</v>
      </c>
    </row>
    <row r="70" spans="1:12" x14ac:dyDescent="0.3">
      <c r="A70" s="12" t="s">
        <v>73</v>
      </c>
      <c r="B70" s="13" t="s">
        <v>58</v>
      </c>
      <c r="C70" s="13" t="s">
        <v>19</v>
      </c>
      <c r="D70" s="13" t="s">
        <v>20</v>
      </c>
      <c r="E70" s="13">
        <v>28</v>
      </c>
      <c r="F70" s="13">
        <v>13933</v>
      </c>
      <c r="G70" s="13">
        <v>5</v>
      </c>
      <c r="H70" s="13">
        <v>18</v>
      </c>
      <c r="I70" s="13">
        <v>437329</v>
      </c>
      <c r="J70" s="13" t="s">
        <v>37</v>
      </c>
      <c r="K70" s="13" t="s">
        <v>16</v>
      </c>
      <c r="L70" s="15">
        <f t="shared" si="1"/>
        <v>159311</v>
      </c>
    </row>
    <row r="71" spans="1:12" x14ac:dyDescent="0.3">
      <c r="A71" s="10" t="s">
        <v>213</v>
      </c>
      <c r="B71" s="11" t="s">
        <v>58</v>
      </c>
      <c r="C71" s="11" t="s">
        <v>48</v>
      </c>
      <c r="D71" s="11" t="s">
        <v>59</v>
      </c>
      <c r="E71" s="11">
        <v>37</v>
      </c>
      <c r="F71" s="11">
        <v>21077</v>
      </c>
      <c r="G71" s="11">
        <v>0</v>
      </c>
      <c r="H71" s="11">
        <v>18</v>
      </c>
      <c r="I71" s="11">
        <v>920221.82</v>
      </c>
      <c r="J71" s="11" t="s">
        <v>15</v>
      </c>
      <c r="K71" s="11" t="s">
        <v>26</v>
      </c>
      <c r="L71" s="14">
        <f t="shared" si="1"/>
        <v>499714</v>
      </c>
    </row>
    <row r="72" spans="1:12" x14ac:dyDescent="0.3">
      <c r="A72" s="12" t="s">
        <v>173</v>
      </c>
      <c r="B72" s="13" t="s">
        <v>58</v>
      </c>
      <c r="C72" s="13" t="s">
        <v>44</v>
      </c>
      <c r="D72" s="13" t="s">
        <v>45</v>
      </c>
      <c r="E72" s="13">
        <v>32</v>
      </c>
      <c r="F72" s="13">
        <v>7459</v>
      </c>
      <c r="G72" s="13">
        <v>5</v>
      </c>
      <c r="H72" s="13">
        <v>18</v>
      </c>
      <c r="I72" s="13">
        <v>267569.25</v>
      </c>
      <c r="J72" s="13" t="s">
        <v>37</v>
      </c>
      <c r="K72" s="13" t="s">
        <v>26</v>
      </c>
      <c r="L72" s="15">
        <f t="shared" si="1"/>
        <v>526588</v>
      </c>
    </row>
    <row r="73" spans="1:12" x14ac:dyDescent="0.3">
      <c r="A73" s="10" t="s">
        <v>137</v>
      </c>
      <c r="B73" s="11" t="s">
        <v>58</v>
      </c>
      <c r="C73" s="11" t="s">
        <v>35</v>
      </c>
      <c r="D73" s="11" t="s">
        <v>56</v>
      </c>
      <c r="E73" s="11">
        <v>40</v>
      </c>
      <c r="F73" s="11">
        <v>83223</v>
      </c>
      <c r="G73" s="11">
        <v>12</v>
      </c>
      <c r="H73" s="11">
        <v>18</v>
      </c>
      <c r="I73" s="11">
        <v>3456750.53</v>
      </c>
      <c r="J73" s="11" t="s">
        <v>46</v>
      </c>
      <c r="K73" s="11" t="s">
        <v>16</v>
      </c>
      <c r="L73" s="14">
        <f t="shared" si="1"/>
        <v>1152915</v>
      </c>
    </row>
    <row r="74" spans="1:12" x14ac:dyDescent="0.3">
      <c r="A74" s="12" t="s">
        <v>100</v>
      </c>
      <c r="B74" s="13" t="s">
        <v>58</v>
      </c>
      <c r="C74" s="13" t="s">
        <v>24</v>
      </c>
      <c r="D74" s="13" t="s">
        <v>40</v>
      </c>
      <c r="E74" s="13">
        <v>32</v>
      </c>
      <c r="F74" s="13">
        <v>19769</v>
      </c>
      <c r="G74" s="13">
        <v>12</v>
      </c>
      <c r="H74" s="13">
        <v>28</v>
      </c>
      <c r="I74" s="13">
        <v>712569.65</v>
      </c>
      <c r="J74" s="13" t="s">
        <v>21</v>
      </c>
      <c r="K74" s="13" t="s">
        <v>38</v>
      </c>
      <c r="L74" s="15">
        <f t="shared" si="1"/>
        <v>1007515</v>
      </c>
    </row>
    <row r="75" spans="1:12" x14ac:dyDescent="0.3">
      <c r="A75" s="10" t="s">
        <v>225</v>
      </c>
      <c r="B75" s="11" t="s">
        <v>58</v>
      </c>
      <c r="C75" s="11" t="s">
        <v>62</v>
      </c>
      <c r="D75" s="11" t="s">
        <v>63</v>
      </c>
      <c r="E75" s="11">
        <v>4</v>
      </c>
      <c r="F75" s="11">
        <v>82827</v>
      </c>
      <c r="G75" s="11">
        <v>12</v>
      </c>
      <c r="H75" s="11">
        <v>18</v>
      </c>
      <c r="I75" s="11">
        <v>344030.23</v>
      </c>
      <c r="J75" s="11" t="s">
        <v>37</v>
      </c>
      <c r="K75" s="11" t="s">
        <v>26</v>
      </c>
      <c r="L75" s="14">
        <f t="shared" si="1"/>
        <v>420781</v>
      </c>
    </row>
    <row r="76" spans="1:12" x14ac:dyDescent="0.3">
      <c r="A76" s="12" t="s">
        <v>83</v>
      </c>
      <c r="B76" s="13" t="s">
        <v>58</v>
      </c>
      <c r="C76" s="13" t="s">
        <v>48</v>
      </c>
      <c r="D76" s="13" t="s">
        <v>59</v>
      </c>
      <c r="E76" s="13">
        <v>1</v>
      </c>
      <c r="F76" s="13">
        <v>81930</v>
      </c>
      <c r="G76" s="13">
        <v>12</v>
      </c>
      <c r="H76" s="13">
        <v>28</v>
      </c>
      <c r="I76" s="13">
        <v>92285.95</v>
      </c>
      <c r="J76" s="13" t="s">
        <v>15</v>
      </c>
      <c r="K76" s="13" t="s">
        <v>26</v>
      </c>
      <c r="L76" s="15">
        <f t="shared" si="1"/>
        <v>499714</v>
      </c>
    </row>
    <row r="77" spans="1:12" x14ac:dyDescent="0.3">
      <c r="A77" s="10" t="s">
        <v>179</v>
      </c>
      <c r="B77" s="11" t="s">
        <v>58</v>
      </c>
      <c r="C77" s="11" t="s">
        <v>19</v>
      </c>
      <c r="D77" s="11" t="s">
        <v>20</v>
      </c>
      <c r="E77" s="11">
        <v>2</v>
      </c>
      <c r="F77" s="11">
        <v>8817</v>
      </c>
      <c r="G77" s="11">
        <v>5</v>
      </c>
      <c r="H77" s="11">
        <v>28</v>
      </c>
      <c r="I77" s="11">
        <v>21442.94</v>
      </c>
      <c r="J77" s="11" t="s">
        <v>37</v>
      </c>
      <c r="K77" s="11" t="s">
        <v>38</v>
      </c>
      <c r="L77" s="14">
        <f t="shared" si="1"/>
        <v>159311</v>
      </c>
    </row>
    <row r="78" spans="1:12" x14ac:dyDescent="0.3">
      <c r="A78" s="12" t="s">
        <v>187</v>
      </c>
      <c r="B78" s="13" t="s">
        <v>58</v>
      </c>
      <c r="C78" s="13" t="s">
        <v>13</v>
      </c>
      <c r="D78" s="13" t="s">
        <v>32</v>
      </c>
      <c r="E78" s="13">
        <v>4</v>
      </c>
      <c r="F78" s="13">
        <v>12085</v>
      </c>
      <c r="G78" s="13">
        <v>12</v>
      </c>
      <c r="H78" s="13">
        <v>12</v>
      </c>
      <c r="I78" s="13">
        <v>47643.9</v>
      </c>
      <c r="J78" s="13" t="s">
        <v>46</v>
      </c>
      <c r="K78" s="13" t="s">
        <v>26</v>
      </c>
      <c r="L78" s="15">
        <f t="shared" si="1"/>
        <v>640842</v>
      </c>
    </row>
    <row r="79" spans="1:12" x14ac:dyDescent="0.3">
      <c r="A79" s="10" t="s">
        <v>220</v>
      </c>
      <c r="B79" s="11" t="s">
        <v>58</v>
      </c>
      <c r="C79" s="11" t="s">
        <v>24</v>
      </c>
      <c r="D79" s="11" t="s">
        <v>40</v>
      </c>
      <c r="E79" s="11">
        <v>4</v>
      </c>
      <c r="F79" s="11">
        <v>17517</v>
      </c>
      <c r="G79" s="11">
        <v>10</v>
      </c>
      <c r="H79" s="11">
        <v>12</v>
      </c>
      <c r="I79" s="11">
        <v>70628.539999999994</v>
      </c>
      <c r="J79" s="11" t="s">
        <v>46</v>
      </c>
      <c r="K79" s="11" t="s">
        <v>26</v>
      </c>
      <c r="L79" s="14">
        <f t="shared" si="1"/>
        <v>1007515</v>
      </c>
    </row>
    <row r="80" spans="1:12" x14ac:dyDescent="0.3">
      <c r="A80" s="12" t="s">
        <v>151</v>
      </c>
      <c r="B80" s="13" t="s">
        <v>58</v>
      </c>
      <c r="C80" s="13" t="s">
        <v>35</v>
      </c>
      <c r="D80" s="13" t="s">
        <v>77</v>
      </c>
      <c r="E80" s="13">
        <v>20</v>
      </c>
      <c r="F80" s="13">
        <v>84374</v>
      </c>
      <c r="G80" s="13">
        <v>5</v>
      </c>
      <c r="H80" s="13">
        <v>12</v>
      </c>
      <c r="I80" s="13">
        <v>1795478.72</v>
      </c>
      <c r="J80" s="13" t="s">
        <v>46</v>
      </c>
      <c r="K80" s="13" t="s">
        <v>16</v>
      </c>
      <c r="L80" s="15">
        <f t="shared" si="1"/>
        <v>1152915</v>
      </c>
    </row>
    <row r="81" spans="1:12" x14ac:dyDescent="0.3">
      <c r="A81" s="10" t="s">
        <v>99</v>
      </c>
      <c r="B81" s="11" t="s">
        <v>58</v>
      </c>
      <c r="C81" s="11" t="s">
        <v>13</v>
      </c>
      <c r="D81" s="11" t="s">
        <v>14</v>
      </c>
      <c r="E81" s="11">
        <v>34</v>
      </c>
      <c r="F81" s="11">
        <v>31659</v>
      </c>
      <c r="G81" s="11">
        <v>10</v>
      </c>
      <c r="H81" s="11">
        <v>18</v>
      </c>
      <c r="I81" s="11">
        <v>1143143.17</v>
      </c>
      <c r="J81" s="11" t="s">
        <v>46</v>
      </c>
      <c r="K81" s="11" t="s">
        <v>26</v>
      </c>
      <c r="L81" s="14">
        <f t="shared" si="1"/>
        <v>640842</v>
      </c>
    </row>
    <row r="82" spans="1:12" x14ac:dyDescent="0.3">
      <c r="A82" s="12" t="s">
        <v>200</v>
      </c>
      <c r="B82" s="13" t="s">
        <v>58</v>
      </c>
      <c r="C82" s="13" t="s">
        <v>44</v>
      </c>
      <c r="D82" s="13" t="s">
        <v>51</v>
      </c>
      <c r="E82" s="13">
        <v>25</v>
      </c>
      <c r="F82" s="13">
        <v>10880</v>
      </c>
      <c r="G82" s="13">
        <v>12</v>
      </c>
      <c r="H82" s="13">
        <v>28</v>
      </c>
      <c r="I82" s="13">
        <v>306380.79999999999</v>
      </c>
      <c r="J82" s="13" t="s">
        <v>15</v>
      </c>
      <c r="K82" s="13" t="s">
        <v>16</v>
      </c>
      <c r="L82" s="15">
        <f t="shared" si="1"/>
        <v>526588</v>
      </c>
    </row>
    <row r="83" spans="1:12" x14ac:dyDescent="0.3">
      <c r="A83" s="10" t="s">
        <v>160</v>
      </c>
      <c r="B83" s="11" t="s">
        <v>58</v>
      </c>
      <c r="C83" s="11" t="s">
        <v>24</v>
      </c>
      <c r="D83" s="11" t="s">
        <v>25</v>
      </c>
      <c r="E83" s="11">
        <v>30</v>
      </c>
      <c r="F83" s="11">
        <v>37509</v>
      </c>
      <c r="G83" s="11">
        <v>10</v>
      </c>
      <c r="H83" s="11">
        <v>12</v>
      </c>
      <c r="I83" s="11">
        <v>1134272.1599999999</v>
      </c>
      <c r="J83" s="11" t="s">
        <v>15</v>
      </c>
      <c r="K83" s="11" t="s">
        <v>26</v>
      </c>
      <c r="L83" s="14">
        <f t="shared" si="1"/>
        <v>1007515</v>
      </c>
    </row>
    <row r="84" spans="1:12" x14ac:dyDescent="0.3">
      <c r="A84" s="12" t="s">
        <v>159</v>
      </c>
      <c r="B84" s="13" t="s">
        <v>58</v>
      </c>
      <c r="C84" s="13" t="s">
        <v>29</v>
      </c>
      <c r="D84" s="13" t="s">
        <v>30</v>
      </c>
      <c r="E84" s="13">
        <v>3</v>
      </c>
      <c r="F84" s="13">
        <v>15762</v>
      </c>
      <c r="G84" s="13">
        <v>0</v>
      </c>
      <c r="H84" s="13">
        <v>12</v>
      </c>
      <c r="I84" s="13">
        <v>52960.32</v>
      </c>
      <c r="J84" s="13" t="s">
        <v>15</v>
      </c>
      <c r="K84" s="13" t="s">
        <v>33</v>
      </c>
      <c r="L84" s="15">
        <f t="shared" si="1"/>
        <v>143383</v>
      </c>
    </row>
    <row r="85" spans="1:12" x14ac:dyDescent="0.3">
      <c r="A85" s="10" t="s">
        <v>90</v>
      </c>
      <c r="B85" s="11" t="s">
        <v>58</v>
      </c>
      <c r="C85" s="11" t="s">
        <v>35</v>
      </c>
      <c r="D85" s="11" t="s">
        <v>56</v>
      </c>
      <c r="E85" s="11">
        <v>37</v>
      </c>
      <c r="F85" s="11">
        <v>39165</v>
      </c>
      <c r="G85" s="11">
        <v>0</v>
      </c>
      <c r="H85" s="11">
        <v>18</v>
      </c>
      <c r="I85" s="11">
        <v>1709943.9</v>
      </c>
      <c r="J85" s="11" t="s">
        <v>46</v>
      </c>
      <c r="K85" s="11" t="s">
        <v>26</v>
      </c>
      <c r="L85" s="14">
        <f t="shared" si="1"/>
        <v>1152915</v>
      </c>
    </row>
    <row r="86" spans="1:12" x14ac:dyDescent="0.3">
      <c r="A86" s="12" t="s">
        <v>88</v>
      </c>
      <c r="B86" s="13" t="s">
        <v>58</v>
      </c>
      <c r="C86" s="13" t="s">
        <v>13</v>
      </c>
      <c r="D86" s="13" t="s">
        <v>14</v>
      </c>
      <c r="E86" s="13">
        <v>3</v>
      </c>
      <c r="F86" s="13">
        <v>4711</v>
      </c>
      <c r="G86" s="13">
        <v>5</v>
      </c>
      <c r="H86" s="13">
        <v>12</v>
      </c>
      <c r="I86" s="13">
        <v>15037.51</v>
      </c>
      <c r="J86" s="13" t="s">
        <v>46</v>
      </c>
      <c r="K86" s="13" t="s">
        <v>16</v>
      </c>
      <c r="L86" s="15">
        <f t="shared" si="1"/>
        <v>640842</v>
      </c>
    </row>
    <row r="87" spans="1:12" x14ac:dyDescent="0.3">
      <c r="A87" s="10" t="s">
        <v>207</v>
      </c>
      <c r="B87" s="11" t="s">
        <v>58</v>
      </c>
      <c r="C87" s="11" t="s">
        <v>29</v>
      </c>
      <c r="D87" s="11" t="s">
        <v>30</v>
      </c>
      <c r="E87" s="11">
        <v>28</v>
      </c>
      <c r="F87" s="11">
        <v>44475</v>
      </c>
      <c r="G87" s="11">
        <v>0</v>
      </c>
      <c r="H87" s="11">
        <v>12</v>
      </c>
      <c r="I87" s="11">
        <v>1394736</v>
      </c>
      <c r="J87" s="11" t="s">
        <v>37</v>
      </c>
      <c r="K87" s="11" t="s">
        <v>26</v>
      </c>
      <c r="L87" s="14">
        <f t="shared" si="1"/>
        <v>143383</v>
      </c>
    </row>
    <row r="88" spans="1:12" x14ac:dyDescent="0.3">
      <c r="A88" s="12" t="s">
        <v>222</v>
      </c>
      <c r="B88" s="13" t="s">
        <v>58</v>
      </c>
      <c r="C88" s="13" t="s">
        <v>62</v>
      </c>
      <c r="D88" s="13" t="s">
        <v>63</v>
      </c>
      <c r="E88" s="13">
        <v>17</v>
      </c>
      <c r="F88" s="13">
        <v>4042</v>
      </c>
      <c r="G88" s="13">
        <v>5</v>
      </c>
      <c r="H88" s="13">
        <v>28</v>
      </c>
      <c r="I88" s="13">
        <v>83556.22</v>
      </c>
      <c r="J88" s="13" t="s">
        <v>21</v>
      </c>
      <c r="K88" s="13" t="s">
        <v>26</v>
      </c>
      <c r="L88" s="15">
        <f t="shared" si="1"/>
        <v>420781</v>
      </c>
    </row>
    <row r="89" spans="1:12" x14ac:dyDescent="0.3">
      <c r="A89" s="10" t="s">
        <v>198</v>
      </c>
      <c r="B89" s="11" t="s">
        <v>58</v>
      </c>
      <c r="C89" s="11" t="s">
        <v>29</v>
      </c>
      <c r="D89" s="11" t="s">
        <v>30</v>
      </c>
      <c r="E89" s="11">
        <v>40</v>
      </c>
      <c r="F89" s="11">
        <v>78760</v>
      </c>
      <c r="G89" s="11">
        <v>12</v>
      </c>
      <c r="H89" s="11">
        <v>18</v>
      </c>
      <c r="I89" s="11">
        <v>3271375.36</v>
      </c>
      <c r="J89" s="11" t="s">
        <v>37</v>
      </c>
      <c r="K89" s="11" t="s">
        <v>16</v>
      </c>
      <c r="L89" s="14">
        <f t="shared" si="1"/>
        <v>143383</v>
      </c>
    </row>
    <row r="90" spans="1:12" x14ac:dyDescent="0.3">
      <c r="A90" s="12" t="s">
        <v>124</v>
      </c>
      <c r="B90" s="13" t="s">
        <v>58</v>
      </c>
      <c r="C90" s="13" t="s">
        <v>24</v>
      </c>
      <c r="D90" s="13" t="s">
        <v>40</v>
      </c>
      <c r="E90" s="13">
        <v>9</v>
      </c>
      <c r="F90" s="13">
        <v>67540</v>
      </c>
      <c r="G90" s="13">
        <v>5</v>
      </c>
      <c r="H90" s="13">
        <v>18</v>
      </c>
      <c r="I90" s="13">
        <v>681411.06</v>
      </c>
      <c r="J90" s="13" t="s">
        <v>21</v>
      </c>
      <c r="K90" s="13" t="s">
        <v>38</v>
      </c>
      <c r="L90" s="15">
        <f t="shared" si="1"/>
        <v>1007515</v>
      </c>
    </row>
    <row r="91" spans="1:12" x14ac:dyDescent="0.3">
      <c r="A91" s="10" t="s">
        <v>213</v>
      </c>
      <c r="B91" s="11" t="s">
        <v>58</v>
      </c>
      <c r="C91" s="11" t="s">
        <v>44</v>
      </c>
      <c r="D91" s="11" t="s">
        <v>45</v>
      </c>
      <c r="E91" s="11">
        <v>27</v>
      </c>
      <c r="F91" s="11">
        <v>16617</v>
      </c>
      <c r="G91" s="11">
        <v>10</v>
      </c>
      <c r="H91" s="11">
        <v>12</v>
      </c>
      <c r="I91" s="11">
        <v>452248.27</v>
      </c>
      <c r="J91" s="11" t="s">
        <v>15</v>
      </c>
      <c r="K91" s="11" t="s">
        <v>33</v>
      </c>
      <c r="L91" s="14">
        <f t="shared" si="1"/>
        <v>526588</v>
      </c>
    </row>
    <row r="92" spans="1:12" x14ac:dyDescent="0.3">
      <c r="A92" s="12" t="s">
        <v>65</v>
      </c>
      <c r="B92" s="13" t="s">
        <v>58</v>
      </c>
      <c r="C92" s="13" t="s">
        <v>35</v>
      </c>
      <c r="D92" s="13" t="s">
        <v>77</v>
      </c>
      <c r="E92" s="13">
        <v>32</v>
      </c>
      <c r="F92" s="13">
        <v>81141</v>
      </c>
      <c r="G92" s="13">
        <v>5</v>
      </c>
      <c r="H92" s="13">
        <v>28</v>
      </c>
      <c r="I92" s="13">
        <v>3157358.59</v>
      </c>
      <c r="J92" s="13" t="s">
        <v>46</v>
      </c>
      <c r="K92" s="13" t="s">
        <v>26</v>
      </c>
      <c r="L92" s="15">
        <f t="shared" si="1"/>
        <v>1152915</v>
      </c>
    </row>
    <row r="93" spans="1:12" x14ac:dyDescent="0.3">
      <c r="A93" s="10" t="s">
        <v>176</v>
      </c>
      <c r="B93" s="11" t="s">
        <v>58</v>
      </c>
      <c r="C93" s="11" t="s">
        <v>13</v>
      </c>
      <c r="D93" s="11" t="s">
        <v>32</v>
      </c>
      <c r="E93" s="11">
        <v>39</v>
      </c>
      <c r="F93" s="11">
        <v>70098</v>
      </c>
      <c r="G93" s="11">
        <v>0</v>
      </c>
      <c r="H93" s="11">
        <v>28</v>
      </c>
      <c r="I93" s="11">
        <v>3499292.16</v>
      </c>
      <c r="J93" s="11" t="s">
        <v>21</v>
      </c>
      <c r="K93" s="11" t="s">
        <v>33</v>
      </c>
      <c r="L93" s="14">
        <f t="shared" si="1"/>
        <v>640842</v>
      </c>
    </row>
    <row r="94" spans="1:12" x14ac:dyDescent="0.3">
      <c r="A94" s="12" t="s">
        <v>97</v>
      </c>
      <c r="B94" s="13" t="s">
        <v>58</v>
      </c>
      <c r="C94" s="13" t="s">
        <v>13</v>
      </c>
      <c r="D94" s="13" t="s">
        <v>32</v>
      </c>
      <c r="E94" s="13">
        <v>6</v>
      </c>
      <c r="F94" s="13">
        <v>39660</v>
      </c>
      <c r="G94" s="13">
        <v>0</v>
      </c>
      <c r="H94" s="13">
        <v>12</v>
      </c>
      <c r="I94" s="13">
        <v>266515.20000000001</v>
      </c>
      <c r="J94" s="13" t="s">
        <v>21</v>
      </c>
      <c r="K94" s="13" t="s">
        <v>26</v>
      </c>
      <c r="L94" s="15">
        <f t="shared" si="1"/>
        <v>640842</v>
      </c>
    </row>
    <row r="95" spans="1:12" x14ac:dyDescent="0.3">
      <c r="A95" s="10" t="s">
        <v>138</v>
      </c>
      <c r="B95" s="11" t="s">
        <v>58</v>
      </c>
      <c r="C95" s="11" t="s">
        <v>48</v>
      </c>
      <c r="D95" s="11" t="s">
        <v>49</v>
      </c>
      <c r="E95" s="11">
        <v>31</v>
      </c>
      <c r="F95" s="11">
        <v>28771</v>
      </c>
      <c r="G95" s="11">
        <v>12</v>
      </c>
      <c r="H95" s="11">
        <v>28</v>
      </c>
      <c r="I95" s="11">
        <v>1004637.29</v>
      </c>
      <c r="J95" s="11" t="s">
        <v>21</v>
      </c>
      <c r="K95" s="11" t="s">
        <v>16</v>
      </c>
      <c r="L95" s="14">
        <f t="shared" si="1"/>
        <v>499714</v>
      </c>
    </row>
    <row r="96" spans="1:12" x14ac:dyDescent="0.3">
      <c r="A96" s="12" t="s">
        <v>152</v>
      </c>
      <c r="B96" s="13" t="s">
        <v>58</v>
      </c>
      <c r="C96" s="13" t="s">
        <v>19</v>
      </c>
      <c r="D96" s="13" t="s">
        <v>20</v>
      </c>
      <c r="E96" s="13">
        <v>1</v>
      </c>
      <c r="F96" s="13">
        <v>28597</v>
      </c>
      <c r="G96" s="13">
        <v>0</v>
      </c>
      <c r="H96" s="13">
        <v>18</v>
      </c>
      <c r="I96" s="13">
        <v>33744.46</v>
      </c>
      <c r="J96" s="13" t="s">
        <v>15</v>
      </c>
      <c r="K96" s="13" t="s">
        <v>26</v>
      </c>
      <c r="L96" s="15">
        <f t="shared" si="1"/>
        <v>159311</v>
      </c>
    </row>
    <row r="97" spans="1:12" x14ac:dyDescent="0.3">
      <c r="A97" s="10" t="s">
        <v>136</v>
      </c>
      <c r="B97" s="11" t="s">
        <v>58</v>
      </c>
      <c r="C97" s="11" t="s">
        <v>24</v>
      </c>
      <c r="D97" s="11" t="s">
        <v>25</v>
      </c>
      <c r="E97" s="11">
        <v>16</v>
      </c>
      <c r="F97" s="11">
        <v>4247</v>
      </c>
      <c r="G97" s="11">
        <v>10</v>
      </c>
      <c r="H97" s="11">
        <v>12</v>
      </c>
      <c r="I97" s="11">
        <v>68495.62</v>
      </c>
      <c r="J97" s="11" t="s">
        <v>15</v>
      </c>
      <c r="K97" s="11" t="s">
        <v>38</v>
      </c>
      <c r="L97" s="14">
        <f t="shared" si="1"/>
        <v>1007515</v>
      </c>
    </row>
    <row r="98" spans="1:12" x14ac:dyDescent="0.3">
      <c r="A98" s="12" t="s">
        <v>191</v>
      </c>
      <c r="B98" s="13" t="s">
        <v>58</v>
      </c>
      <c r="C98" s="13" t="s">
        <v>48</v>
      </c>
      <c r="D98" s="13" t="s">
        <v>59</v>
      </c>
      <c r="E98" s="13">
        <v>12</v>
      </c>
      <c r="F98" s="13">
        <v>6966</v>
      </c>
      <c r="G98" s="13">
        <v>5</v>
      </c>
      <c r="H98" s="13">
        <v>12</v>
      </c>
      <c r="I98" s="13">
        <v>88941.89</v>
      </c>
      <c r="J98" s="13" t="s">
        <v>46</v>
      </c>
      <c r="K98" s="13" t="s">
        <v>16</v>
      </c>
      <c r="L98" s="15">
        <f t="shared" si="1"/>
        <v>499714</v>
      </c>
    </row>
    <row r="99" spans="1:12" x14ac:dyDescent="0.3">
      <c r="A99" s="10" t="s">
        <v>156</v>
      </c>
      <c r="B99" s="11" t="s">
        <v>58</v>
      </c>
      <c r="C99" s="11" t="s">
        <v>24</v>
      </c>
      <c r="D99" s="11" t="s">
        <v>25</v>
      </c>
      <c r="E99" s="11">
        <v>39</v>
      </c>
      <c r="F99" s="11">
        <v>12270</v>
      </c>
      <c r="G99" s="11">
        <v>5</v>
      </c>
      <c r="H99" s="11">
        <v>18</v>
      </c>
      <c r="I99" s="11">
        <v>536432.13</v>
      </c>
      <c r="J99" s="11" t="s">
        <v>46</v>
      </c>
      <c r="K99" s="11" t="s">
        <v>16</v>
      </c>
      <c r="L99" s="14">
        <f t="shared" si="1"/>
        <v>1007515</v>
      </c>
    </row>
    <row r="100" spans="1:12" x14ac:dyDescent="0.3">
      <c r="A100" s="12" t="s">
        <v>145</v>
      </c>
      <c r="B100" s="13" t="s">
        <v>58</v>
      </c>
      <c r="C100" s="13" t="s">
        <v>13</v>
      </c>
      <c r="D100" s="13" t="s">
        <v>32</v>
      </c>
      <c r="E100" s="13">
        <v>39</v>
      </c>
      <c r="F100" s="13">
        <v>35923</v>
      </c>
      <c r="G100" s="13">
        <v>5</v>
      </c>
      <c r="H100" s="13">
        <v>12</v>
      </c>
      <c r="I100" s="13">
        <v>1490660.81</v>
      </c>
      <c r="J100" s="13" t="s">
        <v>15</v>
      </c>
      <c r="K100" s="13" t="s">
        <v>38</v>
      </c>
      <c r="L100" s="15">
        <f t="shared" si="1"/>
        <v>640842</v>
      </c>
    </row>
    <row r="101" spans="1:12" x14ac:dyDescent="0.3">
      <c r="A101" s="10" t="s">
        <v>143</v>
      </c>
      <c r="B101" s="11" t="s">
        <v>58</v>
      </c>
      <c r="C101" s="11" t="s">
        <v>62</v>
      </c>
      <c r="D101" s="11" t="s">
        <v>63</v>
      </c>
      <c r="E101" s="11">
        <v>30</v>
      </c>
      <c r="F101" s="11">
        <v>16958</v>
      </c>
      <c r="G101" s="11">
        <v>12</v>
      </c>
      <c r="H101" s="11">
        <v>18</v>
      </c>
      <c r="I101" s="11">
        <v>528275.62</v>
      </c>
      <c r="J101" s="11" t="s">
        <v>15</v>
      </c>
      <c r="K101" s="11" t="s">
        <v>33</v>
      </c>
      <c r="L101" s="14">
        <f t="shared" si="1"/>
        <v>420781</v>
      </c>
    </row>
    <row r="102" spans="1:12" x14ac:dyDescent="0.3">
      <c r="A102" s="12" t="s">
        <v>119</v>
      </c>
      <c r="B102" s="13" t="s">
        <v>58</v>
      </c>
      <c r="C102" s="13" t="s">
        <v>48</v>
      </c>
      <c r="D102" s="13" t="s">
        <v>59</v>
      </c>
      <c r="E102" s="13">
        <v>5</v>
      </c>
      <c r="F102" s="13">
        <v>70045</v>
      </c>
      <c r="G102" s="13">
        <v>5</v>
      </c>
      <c r="H102" s="13">
        <v>18</v>
      </c>
      <c r="I102" s="13">
        <v>392602.22</v>
      </c>
      <c r="J102" s="13" t="s">
        <v>21</v>
      </c>
      <c r="K102" s="13" t="s">
        <v>26</v>
      </c>
      <c r="L102" s="15">
        <f t="shared" si="1"/>
        <v>499714</v>
      </c>
    </row>
    <row r="103" spans="1:12" x14ac:dyDescent="0.3">
      <c r="A103" s="10" t="s">
        <v>174</v>
      </c>
      <c r="B103" s="11" t="s">
        <v>58</v>
      </c>
      <c r="C103" s="11" t="s">
        <v>35</v>
      </c>
      <c r="D103" s="11" t="s">
        <v>36</v>
      </c>
      <c r="E103" s="11">
        <v>27</v>
      </c>
      <c r="F103" s="11">
        <v>50722</v>
      </c>
      <c r="G103" s="11">
        <v>0</v>
      </c>
      <c r="H103" s="11">
        <v>18</v>
      </c>
      <c r="I103" s="11">
        <v>1616002.92</v>
      </c>
      <c r="J103" s="11" t="s">
        <v>37</v>
      </c>
      <c r="K103" s="11" t="s">
        <v>26</v>
      </c>
      <c r="L103" s="14">
        <f t="shared" si="1"/>
        <v>1152915</v>
      </c>
    </row>
    <row r="104" spans="1:12" x14ac:dyDescent="0.3">
      <c r="A104" s="12" t="s">
        <v>213</v>
      </c>
      <c r="B104" s="13" t="s">
        <v>58</v>
      </c>
      <c r="C104" s="13" t="s">
        <v>29</v>
      </c>
      <c r="D104" s="13" t="s">
        <v>30</v>
      </c>
      <c r="E104" s="13">
        <v>26</v>
      </c>
      <c r="F104" s="13">
        <v>4386</v>
      </c>
      <c r="G104" s="13">
        <v>12</v>
      </c>
      <c r="H104" s="13">
        <v>12</v>
      </c>
      <c r="I104" s="13">
        <v>112393.88</v>
      </c>
      <c r="J104" s="13" t="s">
        <v>37</v>
      </c>
      <c r="K104" s="13" t="s">
        <v>26</v>
      </c>
      <c r="L104" s="15">
        <f t="shared" si="1"/>
        <v>143383</v>
      </c>
    </row>
    <row r="105" spans="1:12" x14ac:dyDescent="0.3">
      <c r="A105" s="10" t="s">
        <v>138</v>
      </c>
      <c r="B105" s="11" t="s">
        <v>58</v>
      </c>
      <c r="C105" s="11" t="s">
        <v>13</v>
      </c>
      <c r="D105" s="11" t="s">
        <v>32</v>
      </c>
      <c r="E105" s="11">
        <v>37</v>
      </c>
      <c r="F105" s="11">
        <v>3276</v>
      </c>
      <c r="G105" s="11">
        <v>0</v>
      </c>
      <c r="H105" s="11">
        <v>12</v>
      </c>
      <c r="I105" s="11">
        <v>135757.44</v>
      </c>
      <c r="J105" s="11" t="s">
        <v>37</v>
      </c>
      <c r="K105" s="11" t="s">
        <v>16</v>
      </c>
      <c r="L105" s="14">
        <f t="shared" si="1"/>
        <v>640842</v>
      </c>
    </row>
    <row r="106" spans="1:12" x14ac:dyDescent="0.3">
      <c r="A106" s="12" t="s">
        <v>217</v>
      </c>
      <c r="B106" s="13" t="s">
        <v>58</v>
      </c>
      <c r="C106" s="13" t="s">
        <v>48</v>
      </c>
      <c r="D106" s="13" t="s">
        <v>59</v>
      </c>
      <c r="E106" s="13">
        <v>28</v>
      </c>
      <c r="F106" s="13">
        <v>21647</v>
      </c>
      <c r="G106" s="13">
        <v>12</v>
      </c>
      <c r="H106" s="13">
        <v>28</v>
      </c>
      <c r="I106" s="13">
        <v>682729.06</v>
      </c>
      <c r="J106" s="13" t="s">
        <v>21</v>
      </c>
      <c r="K106" s="13" t="s">
        <v>38</v>
      </c>
      <c r="L106" s="15">
        <f t="shared" si="1"/>
        <v>499714</v>
      </c>
    </row>
    <row r="107" spans="1:12" x14ac:dyDescent="0.3">
      <c r="A107" s="10" t="s">
        <v>226</v>
      </c>
      <c r="B107" s="11" t="s">
        <v>58</v>
      </c>
      <c r="C107" s="11" t="s">
        <v>62</v>
      </c>
      <c r="D107" s="11" t="s">
        <v>63</v>
      </c>
      <c r="E107" s="11">
        <v>39</v>
      </c>
      <c r="F107" s="11">
        <v>58041</v>
      </c>
      <c r="G107" s="11">
        <v>0</v>
      </c>
      <c r="H107" s="11">
        <v>18</v>
      </c>
      <c r="I107" s="11">
        <v>2671046.8199999998</v>
      </c>
      <c r="J107" s="11" t="s">
        <v>37</v>
      </c>
      <c r="K107" s="11" t="s">
        <v>33</v>
      </c>
      <c r="L107" s="14">
        <f t="shared" si="1"/>
        <v>420781</v>
      </c>
    </row>
    <row r="108" spans="1:12" x14ac:dyDescent="0.3">
      <c r="A108" s="12" t="s">
        <v>198</v>
      </c>
      <c r="B108" s="13" t="s">
        <v>58</v>
      </c>
      <c r="C108" s="13" t="s">
        <v>19</v>
      </c>
      <c r="D108" s="13" t="s">
        <v>20</v>
      </c>
      <c r="E108" s="13">
        <v>27</v>
      </c>
      <c r="F108" s="13">
        <v>68346</v>
      </c>
      <c r="G108" s="13">
        <v>5</v>
      </c>
      <c r="H108" s="13">
        <v>18</v>
      </c>
      <c r="I108" s="13">
        <v>2068628.38</v>
      </c>
      <c r="J108" s="13" t="s">
        <v>21</v>
      </c>
      <c r="K108" s="13" t="s">
        <v>33</v>
      </c>
      <c r="L108" s="15">
        <f t="shared" si="1"/>
        <v>159311</v>
      </c>
    </row>
    <row r="109" spans="1:12" x14ac:dyDescent="0.3">
      <c r="A109" s="10" t="s">
        <v>55</v>
      </c>
      <c r="B109" s="11" t="s">
        <v>58</v>
      </c>
      <c r="C109" s="11" t="s">
        <v>62</v>
      </c>
      <c r="D109" s="11" t="s">
        <v>63</v>
      </c>
      <c r="E109" s="11">
        <v>18</v>
      </c>
      <c r="F109" s="11">
        <v>65729</v>
      </c>
      <c r="G109" s="11">
        <v>0</v>
      </c>
      <c r="H109" s="11">
        <v>12</v>
      </c>
      <c r="I109" s="11">
        <v>1325096.6399999999</v>
      </c>
      <c r="J109" s="11" t="s">
        <v>21</v>
      </c>
      <c r="K109" s="11" t="s">
        <v>33</v>
      </c>
      <c r="L109" s="14">
        <f t="shared" si="1"/>
        <v>420781</v>
      </c>
    </row>
    <row r="110" spans="1:12" x14ac:dyDescent="0.3">
      <c r="A110" s="12" t="s">
        <v>154</v>
      </c>
      <c r="B110" s="13" t="s">
        <v>58</v>
      </c>
      <c r="C110" s="13" t="s">
        <v>24</v>
      </c>
      <c r="D110" s="13" t="s">
        <v>25</v>
      </c>
      <c r="E110" s="13">
        <v>24</v>
      </c>
      <c r="F110" s="13">
        <v>59212</v>
      </c>
      <c r="G110" s="13">
        <v>0</v>
      </c>
      <c r="H110" s="13">
        <v>18</v>
      </c>
      <c r="I110" s="13">
        <v>1676883.84</v>
      </c>
      <c r="J110" s="13" t="s">
        <v>37</v>
      </c>
      <c r="K110" s="13" t="s">
        <v>26</v>
      </c>
      <c r="L110" s="15">
        <f t="shared" si="1"/>
        <v>1007515</v>
      </c>
    </row>
    <row r="111" spans="1:12" x14ac:dyDescent="0.3">
      <c r="A111" s="10" t="s">
        <v>107</v>
      </c>
      <c r="B111" s="11" t="s">
        <v>58</v>
      </c>
      <c r="C111" s="11" t="s">
        <v>35</v>
      </c>
      <c r="D111" s="11" t="s">
        <v>77</v>
      </c>
      <c r="E111" s="11">
        <v>35</v>
      </c>
      <c r="F111" s="11">
        <v>18407</v>
      </c>
      <c r="G111" s="11">
        <v>5</v>
      </c>
      <c r="H111" s="11">
        <v>28</v>
      </c>
      <c r="I111" s="11">
        <v>783401.92</v>
      </c>
      <c r="J111" s="11" t="s">
        <v>46</v>
      </c>
      <c r="K111" s="11" t="s">
        <v>33</v>
      </c>
      <c r="L111" s="14">
        <f t="shared" si="1"/>
        <v>1152915</v>
      </c>
    </row>
    <row r="112" spans="1:12" x14ac:dyDescent="0.3">
      <c r="A112" s="16" t="s">
        <v>61</v>
      </c>
      <c r="B112" s="17" t="s">
        <v>58</v>
      </c>
      <c r="C112" s="17" t="s">
        <v>13</v>
      </c>
      <c r="D112" s="17" t="s">
        <v>32</v>
      </c>
      <c r="E112" s="17">
        <v>23</v>
      </c>
      <c r="F112" s="17">
        <v>48637</v>
      </c>
      <c r="G112" s="17">
        <v>5</v>
      </c>
      <c r="H112" s="17">
        <v>18</v>
      </c>
      <c r="I112" s="17">
        <v>1254007.77</v>
      </c>
      <c r="J112" s="17" t="s">
        <v>15</v>
      </c>
      <c r="K112" s="17" t="s">
        <v>26</v>
      </c>
      <c r="L112" s="18">
        <f t="shared" si="1"/>
        <v>640842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L113"/>
  <sheetViews>
    <sheetView workbookViewId="0">
      <selection activeCell="L2" sqref="L2"/>
    </sheetView>
  </sheetViews>
  <sheetFormatPr defaultRowHeight="14.4" x14ac:dyDescent="0.3"/>
  <cols>
    <col min="1" max="1" width="15.88671875" bestFit="1" customWidth="1"/>
    <col min="2" max="2" width="20.77734375" bestFit="1" customWidth="1"/>
    <col min="3" max="3" width="16" bestFit="1" customWidth="1"/>
    <col min="4" max="4" width="14.109375" bestFit="1" customWidth="1"/>
    <col min="5" max="5" width="6.21875" bestFit="1" customWidth="1"/>
    <col min="6" max="6" width="11.88671875" bestFit="1" customWidth="1"/>
    <col min="7" max="7" width="13" bestFit="1" customWidth="1"/>
    <col min="9" max="9" width="15.44140625" bestFit="1" customWidth="1"/>
    <col min="10" max="10" width="12.77734375" bestFit="1" customWidth="1"/>
    <col min="11" max="11" width="16.88671875" bestFit="1" customWidth="1"/>
  </cols>
  <sheetData>
    <row r="1" spans="1:12" x14ac:dyDescent="0.3">
      <c r="A1" t="s">
        <v>0</v>
      </c>
      <c r="B1" t="s">
        <v>1</v>
      </c>
      <c r="C1" t="s">
        <v>2</v>
      </c>
      <c r="D1" t="s">
        <v>3</v>
      </c>
      <c r="E1" t="s">
        <v>4</v>
      </c>
      <c r="F1" t="s">
        <v>5</v>
      </c>
      <c r="G1" t="s">
        <v>6</v>
      </c>
      <c r="H1" t="s">
        <v>7</v>
      </c>
      <c r="I1" t="s">
        <v>8</v>
      </c>
      <c r="J1" t="s">
        <v>9</v>
      </c>
      <c r="K1" t="s">
        <v>10</v>
      </c>
      <c r="L1" t="s">
        <v>252</v>
      </c>
    </row>
    <row r="2" spans="1:12" x14ac:dyDescent="0.3">
      <c r="A2" t="s">
        <v>127</v>
      </c>
      <c r="B2" t="s">
        <v>53</v>
      </c>
      <c r="C2" t="s">
        <v>13</v>
      </c>
      <c r="D2" t="s">
        <v>14</v>
      </c>
      <c r="E2">
        <v>39</v>
      </c>
      <c r="F2">
        <v>17381</v>
      </c>
      <c r="G2">
        <v>5</v>
      </c>
      <c r="H2">
        <v>12</v>
      </c>
      <c r="I2">
        <v>721241.98</v>
      </c>
      <c r="J2" t="s">
        <v>21</v>
      </c>
      <c r="K2" t="s">
        <v>33</v>
      </c>
      <c r="L2">
        <f t="shared" ref="L2:L33" si="0">SUMIF(C:C,C2,F:F)</f>
        <v>688053</v>
      </c>
    </row>
    <row r="3" spans="1:12" x14ac:dyDescent="0.3">
      <c r="A3" t="s">
        <v>170</v>
      </c>
      <c r="B3" t="s">
        <v>53</v>
      </c>
      <c r="C3" t="s">
        <v>24</v>
      </c>
      <c r="D3" t="s">
        <v>25</v>
      </c>
      <c r="E3">
        <v>4</v>
      </c>
      <c r="F3">
        <v>44723</v>
      </c>
      <c r="G3">
        <v>10</v>
      </c>
      <c r="H3">
        <v>18</v>
      </c>
      <c r="I3">
        <v>189983.3</v>
      </c>
      <c r="J3" t="s">
        <v>21</v>
      </c>
      <c r="K3" t="s">
        <v>33</v>
      </c>
      <c r="L3">
        <f t="shared" si="0"/>
        <v>1071809</v>
      </c>
    </row>
    <row r="4" spans="1:12" x14ac:dyDescent="0.3">
      <c r="A4" t="s">
        <v>223</v>
      </c>
      <c r="B4" t="s">
        <v>53</v>
      </c>
      <c r="C4" t="s">
        <v>35</v>
      </c>
      <c r="D4" t="s">
        <v>77</v>
      </c>
      <c r="E4">
        <v>23</v>
      </c>
      <c r="F4">
        <v>47887</v>
      </c>
      <c r="G4">
        <v>5</v>
      </c>
      <c r="H4">
        <v>28</v>
      </c>
      <c r="I4">
        <v>1339303.6200000001</v>
      </c>
      <c r="J4" t="s">
        <v>21</v>
      </c>
      <c r="K4" t="s">
        <v>16</v>
      </c>
      <c r="L4">
        <f t="shared" si="0"/>
        <v>918270</v>
      </c>
    </row>
    <row r="5" spans="1:12" x14ac:dyDescent="0.3">
      <c r="A5" t="s">
        <v>210</v>
      </c>
      <c r="B5" t="s">
        <v>53</v>
      </c>
      <c r="C5" t="s">
        <v>24</v>
      </c>
      <c r="D5" t="s">
        <v>40</v>
      </c>
      <c r="E5">
        <v>2</v>
      </c>
      <c r="F5">
        <v>84809</v>
      </c>
      <c r="G5">
        <v>5</v>
      </c>
      <c r="H5">
        <v>12</v>
      </c>
      <c r="I5">
        <v>180473.55</v>
      </c>
      <c r="J5" t="s">
        <v>37</v>
      </c>
      <c r="K5" t="s">
        <v>16</v>
      </c>
      <c r="L5">
        <f t="shared" si="0"/>
        <v>1071809</v>
      </c>
    </row>
    <row r="6" spans="1:12" x14ac:dyDescent="0.3">
      <c r="A6" t="s">
        <v>157</v>
      </c>
      <c r="B6" t="s">
        <v>53</v>
      </c>
      <c r="C6" t="s">
        <v>13</v>
      </c>
      <c r="D6" t="s">
        <v>32</v>
      </c>
      <c r="E6">
        <v>16</v>
      </c>
      <c r="F6">
        <v>36856</v>
      </c>
      <c r="G6">
        <v>10</v>
      </c>
      <c r="H6">
        <v>28</v>
      </c>
      <c r="I6">
        <v>679329.79</v>
      </c>
      <c r="J6" t="s">
        <v>46</v>
      </c>
      <c r="K6" t="s">
        <v>26</v>
      </c>
      <c r="L6">
        <f t="shared" si="0"/>
        <v>688053</v>
      </c>
    </row>
    <row r="7" spans="1:12" x14ac:dyDescent="0.3">
      <c r="A7" t="s">
        <v>98</v>
      </c>
      <c r="B7" t="s">
        <v>53</v>
      </c>
      <c r="C7" t="s">
        <v>35</v>
      </c>
      <c r="D7" t="s">
        <v>77</v>
      </c>
      <c r="E7">
        <v>39</v>
      </c>
      <c r="F7">
        <v>81583</v>
      </c>
      <c r="G7">
        <v>0</v>
      </c>
      <c r="H7">
        <v>12</v>
      </c>
      <c r="I7">
        <v>3563545.44</v>
      </c>
      <c r="J7" t="s">
        <v>37</v>
      </c>
      <c r="K7" t="s">
        <v>33</v>
      </c>
      <c r="L7">
        <f t="shared" si="0"/>
        <v>918270</v>
      </c>
    </row>
    <row r="8" spans="1:12" x14ac:dyDescent="0.3">
      <c r="A8" t="s">
        <v>186</v>
      </c>
      <c r="B8" t="s">
        <v>53</v>
      </c>
      <c r="C8" t="s">
        <v>13</v>
      </c>
      <c r="D8" t="s">
        <v>32</v>
      </c>
      <c r="E8">
        <v>27</v>
      </c>
      <c r="F8">
        <v>21461</v>
      </c>
      <c r="G8">
        <v>0</v>
      </c>
      <c r="H8">
        <v>28</v>
      </c>
      <c r="I8">
        <v>741692.16</v>
      </c>
      <c r="J8" t="s">
        <v>37</v>
      </c>
      <c r="K8" t="s">
        <v>33</v>
      </c>
      <c r="L8">
        <f t="shared" si="0"/>
        <v>688053</v>
      </c>
    </row>
    <row r="9" spans="1:12" x14ac:dyDescent="0.3">
      <c r="A9" t="s">
        <v>193</v>
      </c>
      <c r="B9" t="s">
        <v>53</v>
      </c>
      <c r="C9" t="s">
        <v>24</v>
      </c>
      <c r="D9" t="s">
        <v>25</v>
      </c>
      <c r="E9">
        <v>3</v>
      </c>
      <c r="F9">
        <v>40028</v>
      </c>
      <c r="G9">
        <v>0</v>
      </c>
      <c r="H9">
        <v>18</v>
      </c>
      <c r="I9">
        <v>141699.12</v>
      </c>
      <c r="J9" t="s">
        <v>37</v>
      </c>
      <c r="K9" t="s">
        <v>26</v>
      </c>
      <c r="L9">
        <f t="shared" si="0"/>
        <v>1071809</v>
      </c>
    </row>
    <row r="10" spans="1:12" x14ac:dyDescent="0.3">
      <c r="A10" t="s">
        <v>81</v>
      </c>
      <c r="B10" t="s">
        <v>53</v>
      </c>
      <c r="C10" t="s">
        <v>24</v>
      </c>
      <c r="D10" t="s">
        <v>40</v>
      </c>
      <c r="E10">
        <v>18</v>
      </c>
      <c r="F10">
        <v>57810</v>
      </c>
      <c r="G10">
        <v>5</v>
      </c>
      <c r="H10">
        <v>12</v>
      </c>
      <c r="I10">
        <v>1107177.1200000001</v>
      </c>
      <c r="J10" t="s">
        <v>37</v>
      </c>
      <c r="K10" t="s">
        <v>33</v>
      </c>
      <c r="L10">
        <f t="shared" si="0"/>
        <v>1071809</v>
      </c>
    </row>
    <row r="11" spans="1:12" x14ac:dyDescent="0.3">
      <c r="A11" t="s">
        <v>75</v>
      </c>
      <c r="B11" t="s">
        <v>53</v>
      </c>
      <c r="C11" t="s">
        <v>29</v>
      </c>
      <c r="D11" t="s">
        <v>30</v>
      </c>
      <c r="E11">
        <v>13</v>
      </c>
      <c r="F11">
        <v>70521</v>
      </c>
      <c r="G11">
        <v>12</v>
      </c>
      <c r="H11">
        <v>12</v>
      </c>
      <c r="I11">
        <v>903571.47</v>
      </c>
      <c r="J11" t="s">
        <v>37</v>
      </c>
      <c r="K11" t="s">
        <v>38</v>
      </c>
      <c r="L11">
        <f t="shared" si="0"/>
        <v>452766</v>
      </c>
    </row>
    <row r="12" spans="1:12" x14ac:dyDescent="0.3">
      <c r="A12" t="s">
        <v>165</v>
      </c>
      <c r="B12" t="s">
        <v>53</v>
      </c>
      <c r="C12" t="s">
        <v>62</v>
      </c>
      <c r="D12" t="s">
        <v>63</v>
      </c>
      <c r="E12">
        <v>20</v>
      </c>
      <c r="F12">
        <v>75950</v>
      </c>
      <c r="G12">
        <v>5</v>
      </c>
      <c r="H12">
        <v>12</v>
      </c>
      <c r="I12">
        <v>1616216</v>
      </c>
      <c r="J12" t="s">
        <v>21</v>
      </c>
      <c r="K12" t="s">
        <v>33</v>
      </c>
      <c r="L12">
        <f t="shared" si="0"/>
        <v>613361</v>
      </c>
    </row>
    <row r="13" spans="1:12" x14ac:dyDescent="0.3">
      <c r="A13" t="s">
        <v>135</v>
      </c>
      <c r="B13" t="s">
        <v>53</v>
      </c>
      <c r="C13" t="s">
        <v>24</v>
      </c>
      <c r="D13" t="s">
        <v>40</v>
      </c>
      <c r="E13">
        <v>1</v>
      </c>
      <c r="F13">
        <v>48261</v>
      </c>
      <c r="G13">
        <v>0</v>
      </c>
      <c r="H13">
        <v>18</v>
      </c>
      <c r="I13">
        <v>56947.98</v>
      </c>
      <c r="J13" t="s">
        <v>46</v>
      </c>
      <c r="K13" t="s">
        <v>33</v>
      </c>
      <c r="L13">
        <f t="shared" si="0"/>
        <v>1071809</v>
      </c>
    </row>
    <row r="14" spans="1:12" x14ac:dyDescent="0.3">
      <c r="A14" t="s">
        <v>126</v>
      </c>
      <c r="B14" t="s">
        <v>53</v>
      </c>
      <c r="C14" t="s">
        <v>13</v>
      </c>
      <c r="D14" t="s">
        <v>14</v>
      </c>
      <c r="E14">
        <v>3</v>
      </c>
      <c r="F14">
        <v>24825</v>
      </c>
      <c r="G14">
        <v>12</v>
      </c>
      <c r="H14">
        <v>12</v>
      </c>
      <c r="I14">
        <v>73402.559999999998</v>
      </c>
      <c r="J14" t="s">
        <v>15</v>
      </c>
      <c r="K14" t="s">
        <v>26</v>
      </c>
      <c r="L14">
        <f t="shared" si="0"/>
        <v>688053</v>
      </c>
    </row>
    <row r="15" spans="1:12" x14ac:dyDescent="0.3">
      <c r="A15" t="s">
        <v>68</v>
      </c>
      <c r="B15" t="s">
        <v>53</v>
      </c>
      <c r="C15" t="s">
        <v>24</v>
      </c>
      <c r="D15" t="s">
        <v>76</v>
      </c>
      <c r="E15">
        <v>33</v>
      </c>
      <c r="F15">
        <v>3968</v>
      </c>
      <c r="G15">
        <v>5</v>
      </c>
      <c r="H15">
        <v>12</v>
      </c>
      <c r="I15">
        <v>139324.42000000001</v>
      </c>
      <c r="J15" t="s">
        <v>15</v>
      </c>
      <c r="K15" t="s">
        <v>16</v>
      </c>
      <c r="L15">
        <f t="shared" si="0"/>
        <v>1071809</v>
      </c>
    </row>
    <row r="16" spans="1:12" x14ac:dyDescent="0.3">
      <c r="A16" t="s">
        <v>230</v>
      </c>
      <c r="B16" t="s">
        <v>53</v>
      </c>
      <c r="C16" t="s">
        <v>35</v>
      </c>
      <c r="D16" t="s">
        <v>36</v>
      </c>
      <c r="E16">
        <v>36</v>
      </c>
      <c r="F16">
        <v>25851</v>
      </c>
      <c r="G16">
        <v>12</v>
      </c>
      <c r="H16">
        <v>18</v>
      </c>
      <c r="I16">
        <v>966372.42</v>
      </c>
      <c r="J16" t="s">
        <v>46</v>
      </c>
      <c r="K16" t="s">
        <v>33</v>
      </c>
      <c r="L16">
        <f t="shared" si="0"/>
        <v>918270</v>
      </c>
    </row>
    <row r="17" spans="1:12" x14ac:dyDescent="0.3">
      <c r="A17" t="s">
        <v>120</v>
      </c>
      <c r="B17" t="s">
        <v>53</v>
      </c>
      <c r="C17" t="s">
        <v>62</v>
      </c>
      <c r="D17" t="s">
        <v>63</v>
      </c>
      <c r="E17">
        <v>36</v>
      </c>
      <c r="F17">
        <v>44238</v>
      </c>
      <c r="G17">
        <v>0</v>
      </c>
      <c r="H17">
        <v>18</v>
      </c>
      <c r="I17">
        <v>1879230.24</v>
      </c>
      <c r="J17" t="s">
        <v>15</v>
      </c>
      <c r="K17" t="s">
        <v>33</v>
      </c>
      <c r="L17">
        <f t="shared" si="0"/>
        <v>613361</v>
      </c>
    </row>
    <row r="18" spans="1:12" x14ac:dyDescent="0.3">
      <c r="A18" t="s">
        <v>17</v>
      </c>
      <c r="B18" t="s">
        <v>53</v>
      </c>
      <c r="C18" t="s">
        <v>35</v>
      </c>
      <c r="D18" t="s">
        <v>36</v>
      </c>
      <c r="E18">
        <v>17</v>
      </c>
      <c r="F18">
        <v>45186</v>
      </c>
      <c r="G18">
        <v>5</v>
      </c>
      <c r="H18">
        <v>28</v>
      </c>
      <c r="I18">
        <v>934084.99</v>
      </c>
      <c r="J18" t="s">
        <v>37</v>
      </c>
      <c r="K18" t="s">
        <v>16</v>
      </c>
      <c r="L18">
        <f t="shared" si="0"/>
        <v>918270</v>
      </c>
    </row>
    <row r="19" spans="1:12" x14ac:dyDescent="0.3">
      <c r="A19" t="s">
        <v>218</v>
      </c>
      <c r="B19" t="s">
        <v>53</v>
      </c>
      <c r="C19" t="s">
        <v>24</v>
      </c>
      <c r="D19" t="s">
        <v>25</v>
      </c>
      <c r="E19">
        <v>24</v>
      </c>
      <c r="F19">
        <v>71590</v>
      </c>
      <c r="G19">
        <v>10</v>
      </c>
      <c r="H19">
        <v>12</v>
      </c>
      <c r="I19">
        <v>1731905.28</v>
      </c>
      <c r="J19" t="s">
        <v>46</v>
      </c>
      <c r="K19" t="s">
        <v>38</v>
      </c>
      <c r="L19">
        <f t="shared" si="0"/>
        <v>1071809</v>
      </c>
    </row>
    <row r="20" spans="1:12" x14ac:dyDescent="0.3">
      <c r="A20" t="s">
        <v>218</v>
      </c>
      <c r="B20" t="s">
        <v>53</v>
      </c>
      <c r="C20" t="s">
        <v>62</v>
      </c>
      <c r="D20" t="s">
        <v>92</v>
      </c>
      <c r="E20">
        <v>25</v>
      </c>
      <c r="F20">
        <v>73322</v>
      </c>
      <c r="G20">
        <v>12</v>
      </c>
      <c r="H20">
        <v>18</v>
      </c>
      <c r="I20">
        <v>1903439.12</v>
      </c>
      <c r="J20" t="s">
        <v>21</v>
      </c>
      <c r="K20" t="s">
        <v>16</v>
      </c>
      <c r="L20">
        <f t="shared" si="0"/>
        <v>613361</v>
      </c>
    </row>
    <row r="21" spans="1:12" x14ac:dyDescent="0.3">
      <c r="A21" t="s">
        <v>39</v>
      </c>
      <c r="B21" t="s">
        <v>53</v>
      </c>
      <c r="C21" t="s">
        <v>24</v>
      </c>
      <c r="D21" t="s">
        <v>76</v>
      </c>
      <c r="E21">
        <v>13</v>
      </c>
      <c r="F21">
        <v>82672</v>
      </c>
      <c r="G21">
        <v>12</v>
      </c>
      <c r="H21">
        <v>28</v>
      </c>
      <c r="I21">
        <v>1210582.6299999999</v>
      </c>
      <c r="J21" t="s">
        <v>15</v>
      </c>
      <c r="K21" t="s">
        <v>26</v>
      </c>
      <c r="L21">
        <f t="shared" si="0"/>
        <v>1071809</v>
      </c>
    </row>
    <row r="22" spans="1:12" x14ac:dyDescent="0.3">
      <c r="A22" t="s">
        <v>222</v>
      </c>
      <c r="B22" t="s">
        <v>53</v>
      </c>
      <c r="C22" t="s">
        <v>29</v>
      </c>
      <c r="D22" t="s">
        <v>30</v>
      </c>
      <c r="E22">
        <v>3</v>
      </c>
      <c r="F22">
        <v>85000</v>
      </c>
      <c r="G22">
        <v>5</v>
      </c>
      <c r="H22">
        <v>12</v>
      </c>
      <c r="I22">
        <v>271320</v>
      </c>
      <c r="J22" t="s">
        <v>37</v>
      </c>
      <c r="K22" t="s">
        <v>33</v>
      </c>
      <c r="L22">
        <f t="shared" si="0"/>
        <v>452766</v>
      </c>
    </row>
    <row r="23" spans="1:12" x14ac:dyDescent="0.3">
      <c r="A23" t="s">
        <v>208</v>
      </c>
      <c r="B23" t="s">
        <v>53</v>
      </c>
      <c r="C23" t="s">
        <v>35</v>
      </c>
      <c r="D23" t="s">
        <v>56</v>
      </c>
      <c r="E23">
        <v>33</v>
      </c>
      <c r="F23">
        <v>8385</v>
      </c>
      <c r="G23">
        <v>12</v>
      </c>
      <c r="H23">
        <v>18</v>
      </c>
      <c r="I23">
        <v>287330.46999999997</v>
      </c>
      <c r="J23" t="s">
        <v>46</v>
      </c>
      <c r="K23" t="s">
        <v>16</v>
      </c>
      <c r="L23">
        <f t="shared" si="0"/>
        <v>918270</v>
      </c>
    </row>
    <row r="24" spans="1:12" x14ac:dyDescent="0.3">
      <c r="A24" t="s">
        <v>140</v>
      </c>
      <c r="B24" t="s">
        <v>53</v>
      </c>
      <c r="C24" t="s">
        <v>35</v>
      </c>
      <c r="D24" t="s">
        <v>36</v>
      </c>
      <c r="E24">
        <v>14</v>
      </c>
      <c r="F24">
        <v>82757</v>
      </c>
      <c r="G24">
        <v>5</v>
      </c>
      <c r="H24">
        <v>28</v>
      </c>
      <c r="I24">
        <v>1408855.17</v>
      </c>
      <c r="J24" t="s">
        <v>46</v>
      </c>
      <c r="K24" t="s">
        <v>33</v>
      </c>
      <c r="L24">
        <f t="shared" si="0"/>
        <v>918270</v>
      </c>
    </row>
    <row r="25" spans="1:12" x14ac:dyDescent="0.3">
      <c r="A25" t="s">
        <v>90</v>
      </c>
      <c r="B25" t="s">
        <v>53</v>
      </c>
      <c r="C25" t="s">
        <v>24</v>
      </c>
      <c r="D25" t="s">
        <v>76</v>
      </c>
      <c r="E25">
        <v>1</v>
      </c>
      <c r="F25">
        <v>4865</v>
      </c>
      <c r="G25">
        <v>10</v>
      </c>
      <c r="H25">
        <v>28</v>
      </c>
      <c r="I25">
        <v>5604.48</v>
      </c>
      <c r="J25" t="s">
        <v>21</v>
      </c>
      <c r="K25" t="s">
        <v>38</v>
      </c>
      <c r="L25">
        <f t="shared" si="0"/>
        <v>1071809</v>
      </c>
    </row>
    <row r="26" spans="1:12" x14ac:dyDescent="0.3">
      <c r="A26" t="s">
        <v>113</v>
      </c>
      <c r="B26" t="s">
        <v>53</v>
      </c>
      <c r="C26" t="s">
        <v>24</v>
      </c>
      <c r="D26" t="s">
        <v>76</v>
      </c>
      <c r="E26">
        <v>13</v>
      </c>
      <c r="F26">
        <v>63417</v>
      </c>
      <c r="G26">
        <v>12</v>
      </c>
      <c r="H26">
        <v>28</v>
      </c>
      <c r="I26">
        <v>928627.81</v>
      </c>
      <c r="J26" t="s">
        <v>37</v>
      </c>
      <c r="K26" t="s">
        <v>38</v>
      </c>
      <c r="L26">
        <f t="shared" si="0"/>
        <v>1071809</v>
      </c>
    </row>
    <row r="27" spans="1:12" x14ac:dyDescent="0.3">
      <c r="A27" t="s">
        <v>208</v>
      </c>
      <c r="B27" t="s">
        <v>53</v>
      </c>
      <c r="C27" t="s">
        <v>35</v>
      </c>
      <c r="D27" t="s">
        <v>77</v>
      </c>
      <c r="E27">
        <v>39</v>
      </c>
      <c r="F27">
        <v>46907</v>
      </c>
      <c r="G27">
        <v>0</v>
      </c>
      <c r="H27">
        <v>28</v>
      </c>
      <c r="I27">
        <v>2341597.44</v>
      </c>
      <c r="J27" t="s">
        <v>37</v>
      </c>
      <c r="K27" t="s">
        <v>16</v>
      </c>
      <c r="L27">
        <f t="shared" si="0"/>
        <v>918270</v>
      </c>
    </row>
    <row r="28" spans="1:12" x14ac:dyDescent="0.3">
      <c r="A28" t="s">
        <v>41</v>
      </c>
      <c r="B28" t="s">
        <v>53</v>
      </c>
      <c r="C28" t="s">
        <v>19</v>
      </c>
      <c r="D28" t="s">
        <v>20</v>
      </c>
      <c r="E28">
        <v>16</v>
      </c>
      <c r="F28">
        <v>17757</v>
      </c>
      <c r="G28">
        <v>5</v>
      </c>
      <c r="H28">
        <v>18</v>
      </c>
      <c r="I28">
        <v>318489.55</v>
      </c>
      <c r="J28" t="s">
        <v>46</v>
      </c>
      <c r="K28" t="s">
        <v>33</v>
      </c>
      <c r="L28">
        <f t="shared" si="0"/>
        <v>320686</v>
      </c>
    </row>
    <row r="29" spans="1:12" x14ac:dyDescent="0.3">
      <c r="A29" t="s">
        <v>141</v>
      </c>
      <c r="B29" t="s">
        <v>53</v>
      </c>
      <c r="C29" t="s">
        <v>24</v>
      </c>
      <c r="D29" t="s">
        <v>40</v>
      </c>
      <c r="E29">
        <v>36</v>
      </c>
      <c r="F29">
        <v>3835</v>
      </c>
      <c r="G29">
        <v>12</v>
      </c>
      <c r="H29">
        <v>18</v>
      </c>
      <c r="I29">
        <v>143361.5</v>
      </c>
      <c r="J29" t="s">
        <v>15</v>
      </c>
      <c r="K29" t="s">
        <v>16</v>
      </c>
      <c r="L29">
        <f t="shared" si="0"/>
        <v>1071809</v>
      </c>
    </row>
    <row r="30" spans="1:12" x14ac:dyDescent="0.3">
      <c r="A30" t="s">
        <v>91</v>
      </c>
      <c r="B30" t="s">
        <v>53</v>
      </c>
      <c r="C30" t="s">
        <v>13</v>
      </c>
      <c r="D30" t="s">
        <v>14</v>
      </c>
      <c r="E30">
        <v>33</v>
      </c>
      <c r="F30">
        <v>47192</v>
      </c>
      <c r="G30">
        <v>0</v>
      </c>
      <c r="H30">
        <v>12</v>
      </c>
      <c r="I30">
        <v>1744216.32</v>
      </c>
      <c r="J30" t="s">
        <v>37</v>
      </c>
      <c r="K30" t="s">
        <v>33</v>
      </c>
      <c r="L30">
        <f t="shared" si="0"/>
        <v>688053</v>
      </c>
    </row>
    <row r="31" spans="1:12" x14ac:dyDescent="0.3">
      <c r="A31" t="s">
        <v>192</v>
      </c>
      <c r="B31" t="s">
        <v>53</v>
      </c>
      <c r="C31" t="s">
        <v>13</v>
      </c>
      <c r="D31" t="s">
        <v>14</v>
      </c>
      <c r="E31">
        <v>21</v>
      </c>
      <c r="F31">
        <v>64812</v>
      </c>
      <c r="G31">
        <v>0</v>
      </c>
      <c r="H31">
        <v>12</v>
      </c>
      <c r="I31">
        <v>1524378.24</v>
      </c>
      <c r="J31" t="s">
        <v>46</v>
      </c>
      <c r="K31" t="s">
        <v>38</v>
      </c>
      <c r="L31">
        <f t="shared" si="0"/>
        <v>688053</v>
      </c>
    </row>
    <row r="32" spans="1:12" x14ac:dyDescent="0.3">
      <c r="A32" t="s">
        <v>175</v>
      </c>
      <c r="B32" t="s">
        <v>53</v>
      </c>
      <c r="C32" t="s">
        <v>44</v>
      </c>
      <c r="D32" t="s">
        <v>51</v>
      </c>
      <c r="E32">
        <v>16</v>
      </c>
      <c r="F32">
        <v>27419</v>
      </c>
      <c r="G32">
        <v>10</v>
      </c>
      <c r="H32">
        <v>28</v>
      </c>
      <c r="I32">
        <v>505387.01</v>
      </c>
      <c r="J32" t="s">
        <v>46</v>
      </c>
      <c r="K32" t="s">
        <v>16</v>
      </c>
      <c r="L32">
        <f t="shared" si="0"/>
        <v>433473</v>
      </c>
    </row>
    <row r="33" spans="1:12" x14ac:dyDescent="0.3">
      <c r="A33" t="s">
        <v>90</v>
      </c>
      <c r="B33" t="s">
        <v>53</v>
      </c>
      <c r="C33" t="s">
        <v>13</v>
      </c>
      <c r="D33" t="s">
        <v>32</v>
      </c>
      <c r="E33">
        <v>19</v>
      </c>
      <c r="F33">
        <v>83509</v>
      </c>
      <c r="G33">
        <v>10</v>
      </c>
      <c r="H33">
        <v>12</v>
      </c>
      <c r="I33">
        <v>1599364.37</v>
      </c>
      <c r="J33" t="s">
        <v>46</v>
      </c>
      <c r="K33" t="s">
        <v>16</v>
      </c>
      <c r="L33">
        <f t="shared" si="0"/>
        <v>688053</v>
      </c>
    </row>
    <row r="34" spans="1:12" x14ac:dyDescent="0.3">
      <c r="A34" t="s">
        <v>197</v>
      </c>
      <c r="B34" t="s">
        <v>53</v>
      </c>
      <c r="C34" t="s">
        <v>24</v>
      </c>
      <c r="D34" t="s">
        <v>25</v>
      </c>
      <c r="E34">
        <v>32</v>
      </c>
      <c r="F34">
        <v>45536</v>
      </c>
      <c r="G34">
        <v>5</v>
      </c>
      <c r="H34">
        <v>18</v>
      </c>
      <c r="I34">
        <v>1633467.39</v>
      </c>
      <c r="J34" t="s">
        <v>15</v>
      </c>
      <c r="K34" t="s">
        <v>33</v>
      </c>
      <c r="L34">
        <f t="shared" ref="L34:L65" si="1">SUMIF(C:C,C34,F:F)</f>
        <v>1071809</v>
      </c>
    </row>
    <row r="35" spans="1:12" x14ac:dyDescent="0.3">
      <c r="A35" t="s">
        <v>117</v>
      </c>
      <c r="B35" t="s">
        <v>53</v>
      </c>
      <c r="C35" t="s">
        <v>48</v>
      </c>
      <c r="D35" t="s">
        <v>49</v>
      </c>
      <c r="E35">
        <v>25</v>
      </c>
      <c r="F35">
        <v>68421</v>
      </c>
      <c r="G35">
        <v>12</v>
      </c>
      <c r="H35">
        <v>18</v>
      </c>
      <c r="I35">
        <v>1776209.16</v>
      </c>
      <c r="J35" t="s">
        <v>15</v>
      </c>
      <c r="K35" t="s">
        <v>33</v>
      </c>
      <c r="L35">
        <f t="shared" si="1"/>
        <v>393537</v>
      </c>
    </row>
    <row r="36" spans="1:12" x14ac:dyDescent="0.3">
      <c r="A36" t="s">
        <v>133</v>
      </c>
      <c r="B36" t="s">
        <v>53</v>
      </c>
      <c r="C36" t="s">
        <v>35</v>
      </c>
      <c r="D36" t="s">
        <v>56</v>
      </c>
      <c r="E36">
        <v>15</v>
      </c>
      <c r="F36">
        <v>9439</v>
      </c>
      <c r="G36">
        <v>5</v>
      </c>
      <c r="H36">
        <v>18</v>
      </c>
      <c r="I36">
        <v>158716.79</v>
      </c>
      <c r="J36" t="s">
        <v>15</v>
      </c>
      <c r="K36" t="s">
        <v>26</v>
      </c>
      <c r="L36">
        <f t="shared" si="1"/>
        <v>918270</v>
      </c>
    </row>
    <row r="37" spans="1:12" x14ac:dyDescent="0.3">
      <c r="A37" t="s">
        <v>31</v>
      </c>
      <c r="B37" t="s">
        <v>53</v>
      </c>
      <c r="C37" t="s">
        <v>62</v>
      </c>
      <c r="D37" t="s">
        <v>92</v>
      </c>
      <c r="E37">
        <v>1</v>
      </c>
      <c r="F37">
        <v>25386</v>
      </c>
      <c r="G37">
        <v>10</v>
      </c>
      <c r="H37">
        <v>28</v>
      </c>
      <c r="I37">
        <v>29244.67</v>
      </c>
      <c r="J37" t="s">
        <v>15</v>
      </c>
      <c r="K37" t="s">
        <v>38</v>
      </c>
      <c r="L37">
        <f t="shared" si="1"/>
        <v>613361</v>
      </c>
    </row>
    <row r="38" spans="1:12" x14ac:dyDescent="0.3">
      <c r="A38" t="s">
        <v>162</v>
      </c>
      <c r="B38" t="s">
        <v>53</v>
      </c>
      <c r="C38" t="s">
        <v>62</v>
      </c>
      <c r="D38" t="s">
        <v>63</v>
      </c>
      <c r="E38">
        <v>21</v>
      </c>
      <c r="F38">
        <v>31602</v>
      </c>
      <c r="G38">
        <v>12</v>
      </c>
      <c r="H38">
        <v>28</v>
      </c>
      <c r="I38">
        <v>747526.35</v>
      </c>
      <c r="J38" t="s">
        <v>21</v>
      </c>
      <c r="K38" t="s">
        <v>38</v>
      </c>
      <c r="L38">
        <f t="shared" si="1"/>
        <v>613361</v>
      </c>
    </row>
    <row r="39" spans="1:12" x14ac:dyDescent="0.3">
      <c r="A39" t="s">
        <v>87</v>
      </c>
      <c r="B39" t="s">
        <v>53</v>
      </c>
      <c r="C39" t="s">
        <v>44</v>
      </c>
      <c r="D39" t="s">
        <v>51</v>
      </c>
      <c r="E39">
        <v>13</v>
      </c>
      <c r="F39">
        <v>29585</v>
      </c>
      <c r="G39">
        <v>5</v>
      </c>
      <c r="H39">
        <v>12</v>
      </c>
      <c r="I39">
        <v>409219.72</v>
      </c>
      <c r="J39" t="s">
        <v>15</v>
      </c>
      <c r="K39" t="s">
        <v>33</v>
      </c>
      <c r="L39">
        <f t="shared" si="1"/>
        <v>433473</v>
      </c>
    </row>
    <row r="40" spans="1:12" x14ac:dyDescent="0.3">
      <c r="A40" t="s">
        <v>215</v>
      </c>
      <c r="B40" t="s">
        <v>53</v>
      </c>
      <c r="C40" t="s">
        <v>35</v>
      </c>
      <c r="D40" t="s">
        <v>77</v>
      </c>
      <c r="E40">
        <v>39</v>
      </c>
      <c r="F40">
        <v>83465</v>
      </c>
      <c r="G40">
        <v>0</v>
      </c>
      <c r="H40">
        <v>28</v>
      </c>
      <c r="I40">
        <v>4166572.8</v>
      </c>
      <c r="J40" t="s">
        <v>15</v>
      </c>
      <c r="K40" t="s">
        <v>16</v>
      </c>
      <c r="L40">
        <f t="shared" si="1"/>
        <v>918270</v>
      </c>
    </row>
    <row r="41" spans="1:12" x14ac:dyDescent="0.3">
      <c r="A41" t="s">
        <v>156</v>
      </c>
      <c r="B41" t="s">
        <v>53</v>
      </c>
      <c r="C41" t="s">
        <v>29</v>
      </c>
      <c r="D41" t="s">
        <v>30</v>
      </c>
      <c r="E41">
        <v>20</v>
      </c>
      <c r="F41">
        <v>82023</v>
      </c>
      <c r="G41">
        <v>12</v>
      </c>
      <c r="H41">
        <v>18</v>
      </c>
      <c r="I41">
        <v>1703453.66</v>
      </c>
      <c r="J41" t="s">
        <v>46</v>
      </c>
      <c r="K41" t="s">
        <v>16</v>
      </c>
      <c r="L41">
        <f t="shared" si="1"/>
        <v>452766</v>
      </c>
    </row>
    <row r="42" spans="1:12" x14ac:dyDescent="0.3">
      <c r="A42" t="s">
        <v>41</v>
      </c>
      <c r="B42" t="s">
        <v>53</v>
      </c>
      <c r="C42" t="s">
        <v>24</v>
      </c>
      <c r="D42" t="s">
        <v>76</v>
      </c>
      <c r="E42">
        <v>34</v>
      </c>
      <c r="F42">
        <v>45878</v>
      </c>
      <c r="G42">
        <v>10</v>
      </c>
      <c r="H42">
        <v>28</v>
      </c>
      <c r="I42">
        <v>1796949.5</v>
      </c>
      <c r="J42" t="s">
        <v>37</v>
      </c>
      <c r="K42" t="s">
        <v>16</v>
      </c>
      <c r="L42">
        <f t="shared" si="1"/>
        <v>1071809</v>
      </c>
    </row>
    <row r="43" spans="1:12" x14ac:dyDescent="0.3">
      <c r="A43" t="s">
        <v>106</v>
      </c>
      <c r="B43" t="s">
        <v>53</v>
      </c>
      <c r="C43" t="s">
        <v>48</v>
      </c>
      <c r="D43" t="s">
        <v>59</v>
      </c>
      <c r="E43">
        <v>30</v>
      </c>
      <c r="F43">
        <v>43782</v>
      </c>
      <c r="G43">
        <v>5</v>
      </c>
      <c r="H43">
        <v>18</v>
      </c>
      <c r="I43">
        <v>1472388.66</v>
      </c>
      <c r="J43" t="s">
        <v>46</v>
      </c>
      <c r="K43" t="s">
        <v>26</v>
      </c>
      <c r="L43">
        <f t="shared" si="1"/>
        <v>393537</v>
      </c>
    </row>
    <row r="44" spans="1:12" x14ac:dyDescent="0.3">
      <c r="A44" t="s">
        <v>138</v>
      </c>
      <c r="B44" t="s">
        <v>53</v>
      </c>
      <c r="C44" t="s">
        <v>48</v>
      </c>
      <c r="D44" t="s">
        <v>49</v>
      </c>
      <c r="E44">
        <v>14</v>
      </c>
      <c r="F44">
        <v>84364</v>
      </c>
      <c r="G44">
        <v>12</v>
      </c>
      <c r="H44">
        <v>28</v>
      </c>
      <c r="I44">
        <v>1330386.53</v>
      </c>
      <c r="J44" t="s">
        <v>46</v>
      </c>
      <c r="K44" t="s">
        <v>33</v>
      </c>
      <c r="L44">
        <f t="shared" si="1"/>
        <v>393537</v>
      </c>
    </row>
    <row r="45" spans="1:12" x14ac:dyDescent="0.3">
      <c r="A45" t="s">
        <v>112</v>
      </c>
      <c r="B45" t="s">
        <v>53</v>
      </c>
      <c r="C45" t="s">
        <v>19</v>
      </c>
      <c r="D45" t="s">
        <v>20</v>
      </c>
      <c r="E45">
        <v>39</v>
      </c>
      <c r="F45">
        <v>19982</v>
      </c>
      <c r="G45">
        <v>10</v>
      </c>
      <c r="H45">
        <v>12</v>
      </c>
      <c r="I45">
        <v>785532.38</v>
      </c>
      <c r="J45" t="s">
        <v>21</v>
      </c>
      <c r="K45" t="s">
        <v>33</v>
      </c>
      <c r="L45">
        <f t="shared" si="1"/>
        <v>320686</v>
      </c>
    </row>
    <row r="46" spans="1:12" x14ac:dyDescent="0.3">
      <c r="A46" t="s">
        <v>91</v>
      </c>
      <c r="B46" t="s">
        <v>53</v>
      </c>
      <c r="C46" t="s">
        <v>24</v>
      </c>
      <c r="D46" t="s">
        <v>76</v>
      </c>
      <c r="E46">
        <v>27</v>
      </c>
      <c r="F46">
        <v>29990</v>
      </c>
      <c r="G46">
        <v>12</v>
      </c>
      <c r="H46">
        <v>28</v>
      </c>
      <c r="I46">
        <v>912079.87</v>
      </c>
      <c r="J46" t="s">
        <v>46</v>
      </c>
      <c r="K46" t="s">
        <v>16</v>
      </c>
      <c r="L46">
        <f t="shared" si="1"/>
        <v>1071809</v>
      </c>
    </row>
    <row r="47" spans="1:12" x14ac:dyDescent="0.3">
      <c r="A47" t="s">
        <v>101</v>
      </c>
      <c r="B47" t="s">
        <v>53</v>
      </c>
      <c r="C47" t="s">
        <v>62</v>
      </c>
      <c r="D47" t="s">
        <v>63</v>
      </c>
      <c r="E47">
        <v>22</v>
      </c>
      <c r="F47">
        <v>82595</v>
      </c>
      <c r="G47">
        <v>12</v>
      </c>
      <c r="H47">
        <v>12</v>
      </c>
      <c r="I47">
        <v>1790923.9</v>
      </c>
      <c r="J47" t="s">
        <v>21</v>
      </c>
      <c r="K47" t="s">
        <v>38</v>
      </c>
      <c r="L47">
        <f t="shared" si="1"/>
        <v>613361</v>
      </c>
    </row>
    <row r="48" spans="1:12" x14ac:dyDescent="0.3">
      <c r="A48" t="s">
        <v>50</v>
      </c>
      <c r="B48" t="s">
        <v>53</v>
      </c>
      <c r="C48" t="s">
        <v>24</v>
      </c>
      <c r="D48" t="s">
        <v>76</v>
      </c>
      <c r="E48">
        <v>34</v>
      </c>
      <c r="F48">
        <v>83326</v>
      </c>
      <c r="G48">
        <v>0</v>
      </c>
      <c r="H48">
        <v>12</v>
      </c>
      <c r="I48">
        <v>3173054.08</v>
      </c>
      <c r="J48" t="s">
        <v>21</v>
      </c>
      <c r="K48" t="s">
        <v>38</v>
      </c>
      <c r="L48">
        <f t="shared" si="1"/>
        <v>1071809</v>
      </c>
    </row>
    <row r="49" spans="1:12" x14ac:dyDescent="0.3">
      <c r="A49" t="s">
        <v>131</v>
      </c>
      <c r="B49" t="s">
        <v>53</v>
      </c>
      <c r="C49" t="s">
        <v>44</v>
      </c>
      <c r="D49" t="s">
        <v>45</v>
      </c>
      <c r="E49">
        <v>22</v>
      </c>
      <c r="F49">
        <v>19070</v>
      </c>
      <c r="G49">
        <v>5</v>
      </c>
      <c r="H49">
        <v>18</v>
      </c>
      <c r="I49">
        <v>470304.34</v>
      </c>
      <c r="J49" t="s">
        <v>15</v>
      </c>
      <c r="K49" t="s">
        <v>38</v>
      </c>
      <c r="L49">
        <f t="shared" si="1"/>
        <v>433473</v>
      </c>
    </row>
    <row r="50" spans="1:12" x14ac:dyDescent="0.3">
      <c r="A50" t="s">
        <v>223</v>
      </c>
      <c r="B50" t="s">
        <v>53</v>
      </c>
      <c r="C50" t="s">
        <v>35</v>
      </c>
      <c r="D50" t="s">
        <v>77</v>
      </c>
      <c r="E50">
        <v>37</v>
      </c>
      <c r="F50">
        <v>27154</v>
      </c>
      <c r="G50">
        <v>5</v>
      </c>
      <c r="H50">
        <v>18</v>
      </c>
      <c r="I50">
        <v>1126266.46</v>
      </c>
      <c r="J50" t="s">
        <v>15</v>
      </c>
      <c r="K50" t="s">
        <v>26</v>
      </c>
      <c r="L50">
        <f t="shared" si="1"/>
        <v>918270</v>
      </c>
    </row>
    <row r="51" spans="1:12" x14ac:dyDescent="0.3">
      <c r="A51" t="s">
        <v>199</v>
      </c>
      <c r="B51" t="s">
        <v>53</v>
      </c>
      <c r="C51" t="s">
        <v>13</v>
      </c>
      <c r="D51" t="s">
        <v>32</v>
      </c>
      <c r="E51">
        <v>16</v>
      </c>
      <c r="F51">
        <v>68469</v>
      </c>
      <c r="G51">
        <v>0</v>
      </c>
      <c r="H51">
        <v>18</v>
      </c>
      <c r="I51">
        <v>1292694.72</v>
      </c>
      <c r="J51" t="s">
        <v>21</v>
      </c>
      <c r="K51" t="s">
        <v>38</v>
      </c>
      <c r="L51">
        <f t="shared" si="1"/>
        <v>688053</v>
      </c>
    </row>
    <row r="52" spans="1:12" x14ac:dyDescent="0.3">
      <c r="A52" t="s">
        <v>215</v>
      </c>
      <c r="B52" t="s">
        <v>53</v>
      </c>
      <c r="C52" t="s">
        <v>29</v>
      </c>
      <c r="D52" t="s">
        <v>30</v>
      </c>
      <c r="E52">
        <v>21</v>
      </c>
      <c r="F52">
        <v>81725</v>
      </c>
      <c r="G52">
        <v>12</v>
      </c>
      <c r="H52">
        <v>18</v>
      </c>
      <c r="I52">
        <v>1782128.04</v>
      </c>
      <c r="J52" t="s">
        <v>46</v>
      </c>
      <c r="K52" t="s">
        <v>33</v>
      </c>
      <c r="L52">
        <f t="shared" si="1"/>
        <v>452766</v>
      </c>
    </row>
    <row r="53" spans="1:12" x14ac:dyDescent="0.3">
      <c r="A53" t="s">
        <v>117</v>
      </c>
      <c r="B53" t="s">
        <v>53</v>
      </c>
      <c r="C53" t="s">
        <v>24</v>
      </c>
      <c r="D53" t="s">
        <v>40</v>
      </c>
      <c r="E53">
        <v>2</v>
      </c>
      <c r="F53">
        <v>66339</v>
      </c>
      <c r="G53">
        <v>0</v>
      </c>
      <c r="H53">
        <v>28</v>
      </c>
      <c r="I53">
        <v>169827.84</v>
      </c>
      <c r="J53" t="s">
        <v>46</v>
      </c>
      <c r="K53" t="s">
        <v>38</v>
      </c>
      <c r="L53">
        <f t="shared" si="1"/>
        <v>1071809</v>
      </c>
    </row>
    <row r="54" spans="1:12" x14ac:dyDescent="0.3">
      <c r="A54" t="s">
        <v>165</v>
      </c>
      <c r="B54" t="s">
        <v>53</v>
      </c>
      <c r="C54" t="s">
        <v>44</v>
      </c>
      <c r="D54" t="s">
        <v>51</v>
      </c>
      <c r="E54">
        <v>32</v>
      </c>
      <c r="F54">
        <v>7231</v>
      </c>
      <c r="G54">
        <v>12</v>
      </c>
      <c r="H54">
        <v>18</v>
      </c>
      <c r="I54">
        <v>240277.45</v>
      </c>
      <c r="J54" t="s">
        <v>15</v>
      </c>
      <c r="K54" t="s">
        <v>26</v>
      </c>
      <c r="L54">
        <f t="shared" si="1"/>
        <v>433473</v>
      </c>
    </row>
    <row r="55" spans="1:12" x14ac:dyDescent="0.3">
      <c r="A55" t="s">
        <v>192</v>
      </c>
      <c r="B55" t="s">
        <v>53</v>
      </c>
      <c r="C55" t="s">
        <v>35</v>
      </c>
      <c r="D55" t="s">
        <v>56</v>
      </c>
      <c r="E55">
        <v>11</v>
      </c>
      <c r="F55">
        <v>30682</v>
      </c>
      <c r="G55">
        <v>10</v>
      </c>
      <c r="H55">
        <v>18</v>
      </c>
      <c r="I55">
        <v>358427.12</v>
      </c>
      <c r="J55" t="s">
        <v>21</v>
      </c>
      <c r="K55" t="s">
        <v>26</v>
      </c>
      <c r="L55">
        <f t="shared" si="1"/>
        <v>918270</v>
      </c>
    </row>
    <row r="56" spans="1:12" x14ac:dyDescent="0.3">
      <c r="A56" t="s">
        <v>188</v>
      </c>
      <c r="B56" t="s">
        <v>53</v>
      </c>
      <c r="C56" t="s">
        <v>62</v>
      </c>
      <c r="D56" t="s">
        <v>92</v>
      </c>
      <c r="E56">
        <v>36</v>
      </c>
      <c r="F56">
        <v>19142</v>
      </c>
      <c r="G56">
        <v>5</v>
      </c>
      <c r="H56">
        <v>28</v>
      </c>
      <c r="I56">
        <v>837960.19</v>
      </c>
      <c r="J56" t="s">
        <v>21</v>
      </c>
      <c r="K56" t="s">
        <v>38</v>
      </c>
      <c r="L56">
        <f t="shared" si="1"/>
        <v>613361</v>
      </c>
    </row>
    <row r="57" spans="1:12" x14ac:dyDescent="0.3">
      <c r="A57" t="s">
        <v>217</v>
      </c>
      <c r="B57" t="s">
        <v>53</v>
      </c>
      <c r="C57" t="s">
        <v>19</v>
      </c>
      <c r="D57" t="s">
        <v>20</v>
      </c>
      <c r="E57">
        <v>33</v>
      </c>
      <c r="F57">
        <v>76202</v>
      </c>
      <c r="G57">
        <v>5</v>
      </c>
      <c r="H57">
        <v>18</v>
      </c>
      <c r="I57">
        <v>2818940.59</v>
      </c>
      <c r="J57" t="s">
        <v>15</v>
      </c>
      <c r="K57" t="s">
        <v>33</v>
      </c>
      <c r="L57">
        <f t="shared" si="1"/>
        <v>320686</v>
      </c>
    </row>
    <row r="58" spans="1:12" x14ac:dyDescent="0.3">
      <c r="A58" t="s">
        <v>127</v>
      </c>
      <c r="B58" t="s">
        <v>53</v>
      </c>
      <c r="C58" t="s">
        <v>35</v>
      </c>
      <c r="D58" t="s">
        <v>56</v>
      </c>
      <c r="E58">
        <v>34</v>
      </c>
      <c r="F58">
        <v>40009</v>
      </c>
      <c r="G58">
        <v>0</v>
      </c>
      <c r="H58">
        <v>28</v>
      </c>
      <c r="I58">
        <v>1741191.68</v>
      </c>
      <c r="J58" t="s">
        <v>37</v>
      </c>
      <c r="K58" t="s">
        <v>16</v>
      </c>
      <c r="L58">
        <f t="shared" si="1"/>
        <v>918270</v>
      </c>
    </row>
    <row r="59" spans="1:12" x14ac:dyDescent="0.3">
      <c r="A59" t="s">
        <v>95</v>
      </c>
      <c r="B59" t="s">
        <v>53</v>
      </c>
      <c r="C59" t="s">
        <v>44</v>
      </c>
      <c r="D59" t="s">
        <v>51</v>
      </c>
      <c r="E59">
        <v>38</v>
      </c>
      <c r="F59">
        <v>71226</v>
      </c>
      <c r="G59">
        <v>10</v>
      </c>
      <c r="H59">
        <v>18</v>
      </c>
      <c r="I59">
        <v>2874396.46</v>
      </c>
      <c r="J59" t="s">
        <v>37</v>
      </c>
      <c r="K59" t="s">
        <v>16</v>
      </c>
      <c r="L59">
        <f t="shared" si="1"/>
        <v>433473</v>
      </c>
    </row>
    <row r="60" spans="1:12" x14ac:dyDescent="0.3">
      <c r="A60" t="s">
        <v>223</v>
      </c>
      <c r="B60" t="s">
        <v>53</v>
      </c>
      <c r="C60" t="s">
        <v>44</v>
      </c>
      <c r="D60" t="s">
        <v>51</v>
      </c>
      <c r="E60">
        <v>5</v>
      </c>
      <c r="F60">
        <v>24560</v>
      </c>
      <c r="G60">
        <v>12</v>
      </c>
      <c r="H60">
        <v>18</v>
      </c>
      <c r="I60">
        <v>127515.52</v>
      </c>
      <c r="J60" t="s">
        <v>46</v>
      </c>
      <c r="K60" t="s">
        <v>33</v>
      </c>
      <c r="L60">
        <f t="shared" si="1"/>
        <v>433473</v>
      </c>
    </row>
    <row r="61" spans="1:12" x14ac:dyDescent="0.3">
      <c r="A61" t="s">
        <v>98</v>
      </c>
      <c r="B61" t="s">
        <v>53</v>
      </c>
      <c r="C61" t="s">
        <v>29</v>
      </c>
      <c r="D61" t="s">
        <v>30</v>
      </c>
      <c r="E61">
        <v>28</v>
      </c>
      <c r="F61">
        <v>36472</v>
      </c>
      <c r="G61">
        <v>5</v>
      </c>
      <c r="H61">
        <v>18</v>
      </c>
      <c r="I61">
        <v>1144783.1399999999</v>
      </c>
      <c r="J61" t="s">
        <v>15</v>
      </c>
      <c r="K61" t="s">
        <v>33</v>
      </c>
      <c r="L61">
        <f t="shared" si="1"/>
        <v>452766</v>
      </c>
    </row>
    <row r="62" spans="1:12" x14ac:dyDescent="0.3">
      <c r="A62" t="s">
        <v>192</v>
      </c>
      <c r="B62" t="s">
        <v>53</v>
      </c>
      <c r="C62" t="s">
        <v>13</v>
      </c>
      <c r="D62" t="s">
        <v>14</v>
      </c>
      <c r="E62">
        <v>20</v>
      </c>
      <c r="F62">
        <v>71838</v>
      </c>
      <c r="G62">
        <v>10</v>
      </c>
      <c r="H62">
        <v>12</v>
      </c>
      <c r="I62">
        <v>1448254.08</v>
      </c>
      <c r="J62" t="s">
        <v>37</v>
      </c>
      <c r="K62" t="s">
        <v>26</v>
      </c>
      <c r="L62">
        <f t="shared" si="1"/>
        <v>688053</v>
      </c>
    </row>
    <row r="63" spans="1:12" x14ac:dyDescent="0.3">
      <c r="A63" t="s">
        <v>190</v>
      </c>
      <c r="B63" t="s">
        <v>53</v>
      </c>
      <c r="C63" t="s">
        <v>35</v>
      </c>
      <c r="D63" t="s">
        <v>36</v>
      </c>
      <c r="E63">
        <v>19</v>
      </c>
      <c r="F63">
        <v>45955</v>
      </c>
      <c r="G63">
        <v>0</v>
      </c>
      <c r="H63">
        <v>12</v>
      </c>
      <c r="I63">
        <v>977922.4</v>
      </c>
      <c r="J63" t="s">
        <v>21</v>
      </c>
      <c r="K63" t="s">
        <v>26</v>
      </c>
      <c r="L63">
        <f t="shared" si="1"/>
        <v>918270</v>
      </c>
    </row>
    <row r="64" spans="1:12" x14ac:dyDescent="0.3">
      <c r="A64" t="s">
        <v>202</v>
      </c>
      <c r="B64" t="s">
        <v>53</v>
      </c>
      <c r="C64" t="s">
        <v>24</v>
      </c>
      <c r="D64" t="s">
        <v>76</v>
      </c>
      <c r="E64">
        <v>38</v>
      </c>
      <c r="F64">
        <v>32192</v>
      </c>
      <c r="G64">
        <v>12</v>
      </c>
      <c r="H64">
        <v>28</v>
      </c>
      <c r="I64">
        <v>1377920.61</v>
      </c>
      <c r="J64" t="s">
        <v>15</v>
      </c>
      <c r="K64" t="s">
        <v>16</v>
      </c>
      <c r="L64">
        <f t="shared" si="1"/>
        <v>1071809</v>
      </c>
    </row>
    <row r="65" spans="1:12" x14ac:dyDescent="0.3">
      <c r="A65" t="s">
        <v>152</v>
      </c>
      <c r="B65" t="s">
        <v>53</v>
      </c>
      <c r="C65" t="s">
        <v>13</v>
      </c>
      <c r="D65" t="s">
        <v>14</v>
      </c>
      <c r="E65">
        <v>16</v>
      </c>
      <c r="F65">
        <v>17673</v>
      </c>
      <c r="G65">
        <v>10</v>
      </c>
      <c r="H65">
        <v>12</v>
      </c>
      <c r="I65">
        <v>285030.14</v>
      </c>
      <c r="J65" t="s">
        <v>37</v>
      </c>
      <c r="K65" t="s">
        <v>26</v>
      </c>
      <c r="L65">
        <f t="shared" si="1"/>
        <v>688053</v>
      </c>
    </row>
    <row r="66" spans="1:12" x14ac:dyDescent="0.3">
      <c r="A66" t="s">
        <v>149</v>
      </c>
      <c r="B66" t="s">
        <v>53</v>
      </c>
      <c r="C66" t="s">
        <v>24</v>
      </c>
      <c r="D66" t="s">
        <v>76</v>
      </c>
      <c r="E66">
        <v>39</v>
      </c>
      <c r="F66">
        <v>44794</v>
      </c>
      <c r="G66">
        <v>10</v>
      </c>
      <c r="H66">
        <v>18</v>
      </c>
      <c r="I66">
        <v>1855277.89</v>
      </c>
      <c r="J66" t="s">
        <v>37</v>
      </c>
      <c r="K66" t="s">
        <v>33</v>
      </c>
      <c r="L66">
        <f t="shared" ref="L66:L97" si="2">SUMIF(C:C,C66,F:F)</f>
        <v>1071809</v>
      </c>
    </row>
    <row r="67" spans="1:12" x14ac:dyDescent="0.3">
      <c r="A67" t="s">
        <v>221</v>
      </c>
      <c r="B67" t="s">
        <v>53</v>
      </c>
      <c r="C67" t="s">
        <v>44</v>
      </c>
      <c r="D67" t="s">
        <v>45</v>
      </c>
      <c r="E67">
        <v>39</v>
      </c>
      <c r="F67">
        <v>18793</v>
      </c>
      <c r="G67">
        <v>5</v>
      </c>
      <c r="H67">
        <v>28</v>
      </c>
      <c r="I67">
        <v>891239.23</v>
      </c>
      <c r="J67" t="s">
        <v>46</v>
      </c>
      <c r="K67" t="s">
        <v>33</v>
      </c>
      <c r="L67">
        <f t="shared" si="2"/>
        <v>433473</v>
      </c>
    </row>
    <row r="68" spans="1:12" x14ac:dyDescent="0.3">
      <c r="A68" t="s">
        <v>137</v>
      </c>
      <c r="B68" t="s">
        <v>53</v>
      </c>
      <c r="C68" t="s">
        <v>48</v>
      </c>
      <c r="D68" t="s">
        <v>59</v>
      </c>
      <c r="E68">
        <v>36</v>
      </c>
      <c r="F68">
        <v>13784</v>
      </c>
      <c r="G68">
        <v>12</v>
      </c>
      <c r="H68">
        <v>12</v>
      </c>
      <c r="I68">
        <v>489078.37</v>
      </c>
      <c r="J68" t="s">
        <v>21</v>
      </c>
      <c r="K68" t="s">
        <v>16</v>
      </c>
      <c r="L68">
        <f t="shared" si="2"/>
        <v>393537</v>
      </c>
    </row>
    <row r="69" spans="1:12" x14ac:dyDescent="0.3">
      <c r="A69" t="s">
        <v>123</v>
      </c>
      <c r="B69" t="s">
        <v>53</v>
      </c>
      <c r="C69" t="s">
        <v>29</v>
      </c>
      <c r="D69" t="s">
        <v>30</v>
      </c>
      <c r="E69">
        <v>28</v>
      </c>
      <c r="F69">
        <v>37592</v>
      </c>
      <c r="G69">
        <v>0</v>
      </c>
      <c r="H69">
        <v>12</v>
      </c>
      <c r="I69">
        <v>1178885.1200000001</v>
      </c>
      <c r="J69" t="s">
        <v>15</v>
      </c>
      <c r="K69" t="s">
        <v>38</v>
      </c>
      <c r="L69">
        <f t="shared" si="2"/>
        <v>452766</v>
      </c>
    </row>
    <row r="70" spans="1:12" x14ac:dyDescent="0.3">
      <c r="A70" t="s">
        <v>175</v>
      </c>
      <c r="B70" t="s">
        <v>53</v>
      </c>
      <c r="C70" t="s">
        <v>24</v>
      </c>
      <c r="D70" t="s">
        <v>76</v>
      </c>
      <c r="E70">
        <v>6</v>
      </c>
      <c r="F70">
        <v>13752</v>
      </c>
      <c r="G70">
        <v>10</v>
      </c>
      <c r="H70">
        <v>28</v>
      </c>
      <c r="I70">
        <v>95053.82</v>
      </c>
      <c r="J70" t="s">
        <v>15</v>
      </c>
      <c r="K70" t="s">
        <v>33</v>
      </c>
      <c r="L70">
        <f t="shared" si="2"/>
        <v>1071809</v>
      </c>
    </row>
    <row r="71" spans="1:12" x14ac:dyDescent="0.3">
      <c r="A71" t="s">
        <v>222</v>
      </c>
      <c r="B71" t="s">
        <v>53</v>
      </c>
      <c r="C71" t="s">
        <v>13</v>
      </c>
      <c r="D71" t="s">
        <v>14</v>
      </c>
      <c r="E71">
        <v>24</v>
      </c>
      <c r="F71">
        <v>66239</v>
      </c>
      <c r="G71">
        <v>5</v>
      </c>
      <c r="H71">
        <v>12</v>
      </c>
      <c r="I71">
        <v>1691479.1</v>
      </c>
      <c r="J71" t="s">
        <v>15</v>
      </c>
      <c r="K71" t="s">
        <v>26</v>
      </c>
      <c r="L71">
        <f t="shared" si="2"/>
        <v>688053</v>
      </c>
    </row>
    <row r="72" spans="1:12" x14ac:dyDescent="0.3">
      <c r="A72" t="s">
        <v>105</v>
      </c>
      <c r="B72" t="s">
        <v>53</v>
      </c>
      <c r="C72" t="s">
        <v>48</v>
      </c>
      <c r="D72" t="s">
        <v>49</v>
      </c>
      <c r="E72">
        <v>28</v>
      </c>
      <c r="F72">
        <v>23028</v>
      </c>
      <c r="G72">
        <v>0</v>
      </c>
      <c r="H72">
        <v>18</v>
      </c>
      <c r="I72">
        <v>760845.12</v>
      </c>
      <c r="J72" t="s">
        <v>21</v>
      </c>
      <c r="K72" t="s">
        <v>33</v>
      </c>
      <c r="L72">
        <f t="shared" si="2"/>
        <v>393537</v>
      </c>
    </row>
    <row r="73" spans="1:12" x14ac:dyDescent="0.3">
      <c r="A73" t="s">
        <v>100</v>
      </c>
      <c r="B73" t="s">
        <v>53</v>
      </c>
      <c r="C73" t="s">
        <v>35</v>
      </c>
      <c r="D73" t="s">
        <v>36</v>
      </c>
      <c r="E73">
        <v>38</v>
      </c>
      <c r="F73">
        <v>59445</v>
      </c>
      <c r="G73">
        <v>10</v>
      </c>
      <c r="H73">
        <v>18</v>
      </c>
      <c r="I73">
        <v>2398962.42</v>
      </c>
      <c r="J73" t="s">
        <v>37</v>
      </c>
      <c r="K73" t="s">
        <v>16</v>
      </c>
      <c r="L73">
        <f t="shared" si="2"/>
        <v>918270</v>
      </c>
    </row>
    <row r="74" spans="1:12" x14ac:dyDescent="0.3">
      <c r="A74" t="s">
        <v>61</v>
      </c>
      <c r="B74" t="s">
        <v>53</v>
      </c>
      <c r="C74" t="s">
        <v>48</v>
      </c>
      <c r="D74" t="s">
        <v>59</v>
      </c>
      <c r="E74">
        <v>34</v>
      </c>
      <c r="F74">
        <v>38805</v>
      </c>
      <c r="G74">
        <v>10</v>
      </c>
      <c r="H74">
        <v>12</v>
      </c>
      <c r="I74">
        <v>1329924.96</v>
      </c>
      <c r="J74" t="s">
        <v>15</v>
      </c>
      <c r="K74" t="s">
        <v>16</v>
      </c>
      <c r="L74">
        <f t="shared" si="2"/>
        <v>393537</v>
      </c>
    </row>
    <row r="75" spans="1:12" x14ac:dyDescent="0.3">
      <c r="A75" t="s">
        <v>219</v>
      </c>
      <c r="B75" t="s">
        <v>53</v>
      </c>
      <c r="C75" t="s">
        <v>48</v>
      </c>
      <c r="D75" t="s">
        <v>59</v>
      </c>
      <c r="E75">
        <v>38</v>
      </c>
      <c r="F75">
        <v>4741</v>
      </c>
      <c r="G75">
        <v>12</v>
      </c>
      <c r="H75">
        <v>28</v>
      </c>
      <c r="I75">
        <v>202929.97</v>
      </c>
      <c r="J75" t="s">
        <v>46</v>
      </c>
      <c r="K75" t="s">
        <v>33</v>
      </c>
      <c r="L75">
        <f t="shared" si="2"/>
        <v>393537</v>
      </c>
    </row>
    <row r="76" spans="1:12" x14ac:dyDescent="0.3">
      <c r="A76" t="s">
        <v>178</v>
      </c>
      <c r="B76" t="s">
        <v>53</v>
      </c>
      <c r="C76" t="s">
        <v>24</v>
      </c>
      <c r="D76" t="s">
        <v>25</v>
      </c>
      <c r="E76">
        <v>26</v>
      </c>
      <c r="F76">
        <v>13662</v>
      </c>
      <c r="G76">
        <v>12</v>
      </c>
      <c r="H76">
        <v>18</v>
      </c>
      <c r="I76">
        <v>368852.14</v>
      </c>
      <c r="J76" t="s">
        <v>37</v>
      </c>
      <c r="K76" t="s">
        <v>16</v>
      </c>
      <c r="L76">
        <f t="shared" si="2"/>
        <v>1071809</v>
      </c>
    </row>
    <row r="77" spans="1:12" x14ac:dyDescent="0.3">
      <c r="A77" t="s">
        <v>84</v>
      </c>
      <c r="B77" t="s">
        <v>53</v>
      </c>
      <c r="C77" t="s">
        <v>29</v>
      </c>
      <c r="D77" t="s">
        <v>30</v>
      </c>
      <c r="E77">
        <v>4</v>
      </c>
      <c r="F77">
        <v>59433</v>
      </c>
      <c r="G77">
        <v>12</v>
      </c>
      <c r="H77">
        <v>28</v>
      </c>
      <c r="I77">
        <v>267781.32</v>
      </c>
      <c r="J77" t="s">
        <v>37</v>
      </c>
      <c r="K77" t="s">
        <v>26</v>
      </c>
      <c r="L77">
        <f t="shared" si="2"/>
        <v>452766</v>
      </c>
    </row>
    <row r="78" spans="1:12" x14ac:dyDescent="0.3">
      <c r="A78" t="s">
        <v>179</v>
      </c>
      <c r="B78" t="s">
        <v>53</v>
      </c>
      <c r="C78" t="s">
        <v>24</v>
      </c>
      <c r="D78" t="s">
        <v>40</v>
      </c>
      <c r="E78">
        <v>14</v>
      </c>
      <c r="F78">
        <v>31871</v>
      </c>
      <c r="G78">
        <v>5</v>
      </c>
      <c r="H78">
        <v>12</v>
      </c>
      <c r="I78">
        <v>474750.42</v>
      </c>
      <c r="J78" t="s">
        <v>21</v>
      </c>
      <c r="K78" t="s">
        <v>33</v>
      </c>
      <c r="L78">
        <f t="shared" si="2"/>
        <v>1071809</v>
      </c>
    </row>
    <row r="79" spans="1:12" x14ac:dyDescent="0.3">
      <c r="A79" t="s">
        <v>204</v>
      </c>
      <c r="B79" t="s">
        <v>53</v>
      </c>
      <c r="C79" t="s">
        <v>62</v>
      </c>
      <c r="D79" t="s">
        <v>92</v>
      </c>
      <c r="E79">
        <v>18</v>
      </c>
      <c r="F79">
        <v>73824</v>
      </c>
      <c r="G79">
        <v>10</v>
      </c>
      <c r="H79">
        <v>28</v>
      </c>
      <c r="I79">
        <v>1530814.46</v>
      </c>
      <c r="J79" t="s">
        <v>15</v>
      </c>
      <c r="K79" t="s">
        <v>16</v>
      </c>
      <c r="L79">
        <f t="shared" si="2"/>
        <v>613361</v>
      </c>
    </row>
    <row r="80" spans="1:12" x14ac:dyDescent="0.3">
      <c r="A80" t="s">
        <v>64</v>
      </c>
      <c r="B80" t="s">
        <v>53</v>
      </c>
      <c r="C80" t="s">
        <v>19</v>
      </c>
      <c r="D80" t="s">
        <v>20</v>
      </c>
      <c r="E80">
        <v>17</v>
      </c>
      <c r="F80">
        <v>29260</v>
      </c>
      <c r="G80">
        <v>5</v>
      </c>
      <c r="H80">
        <v>18</v>
      </c>
      <c r="I80">
        <v>557607.81999999995</v>
      </c>
      <c r="J80" t="s">
        <v>21</v>
      </c>
      <c r="K80" t="s">
        <v>38</v>
      </c>
      <c r="L80">
        <f t="shared" si="2"/>
        <v>320686</v>
      </c>
    </row>
    <row r="81" spans="1:12" x14ac:dyDescent="0.3">
      <c r="A81" t="s">
        <v>173</v>
      </c>
      <c r="B81" t="s">
        <v>53</v>
      </c>
      <c r="C81" t="s">
        <v>35</v>
      </c>
      <c r="D81" t="s">
        <v>36</v>
      </c>
      <c r="E81">
        <v>19</v>
      </c>
      <c r="F81">
        <v>36817</v>
      </c>
      <c r="G81">
        <v>12</v>
      </c>
      <c r="H81">
        <v>28</v>
      </c>
      <c r="I81">
        <v>787942.71</v>
      </c>
      <c r="J81" t="s">
        <v>37</v>
      </c>
      <c r="K81" t="s">
        <v>33</v>
      </c>
      <c r="L81">
        <f t="shared" si="2"/>
        <v>918270</v>
      </c>
    </row>
    <row r="82" spans="1:12" x14ac:dyDescent="0.3">
      <c r="A82" t="s">
        <v>231</v>
      </c>
      <c r="B82" t="s">
        <v>53</v>
      </c>
      <c r="C82" t="s">
        <v>35</v>
      </c>
      <c r="D82" t="s">
        <v>36</v>
      </c>
      <c r="E82">
        <v>22</v>
      </c>
      <c r="F82">
        <v>33806</v>
      </c>
      <c r="G82">
        <v>12</v>
      </c>
      <c r="H82">
        <v>12</v>
      </c>
      <c r="I82">
        <v>733022.26</v>
      </c>
      <c r="J82" t="s">
        <v>37</v>
      </c>
      <c r="K82" t="s">
        <v>38</v>
      </c>
      <c r="L82">
        <f t="shared" si="2"/>
        <v>918270</v>
      </c>
    </row>
    <row r="83" spans="1:12" x14ac:dyDescent="0.3">
      <c r="A83" t="s">
        <v>41</v>
      </c>
      <c r="B83" t="s">
        <v>53</v>
      </c>
      <c r="C83" t="s">
        <v>24</v>
      </c>
      <c r="D83" t="s">
        <v>25</v>
      </c>
      <c r="E83">
        <v>40</v>
      </c>
      <c r="F83">
        <v>71883</v>
      </c>
      <c r="G83">
        <v>0</v>
      </c>
      <c r="H83">
        <v>28</v>
      </c>
      <c r="I83">
        <v>3680409.6000000001</v>
      </c>
      <c r="J83" t="s">
        <v>37</v>
      </c>
      <c r="K83" t="s">
        <v>33</v>
      </c>
      <c r="L83">
        <f t="shared" si="2"/>
        <v>1071809</v>
      </c>
    </row>
    <row r="84" spans="1:12" x14ac:dyDescent="0.3">
      <c r="A84" t="s">
        <v>34</v>
      </c>
      <c r="B84" t="s">
        <v>53</v>
      </c>
      <c r="C84" t="s">
        <v>44</v>
      </c>
      <c r="D84" t="s">
        <v>51</v>
      </c>
      <c r="E84">
        <v>21</v>
      </c>
      <c r="F84">
        <v>71690</v>
      </c>
      <c r="G84">
        <v>0</v>
      </c>
      <c r="H84">
        <v>18</v>
      </c>
      <c r="I84">
        <v>1776478.2</v>
      </c>
      <c r="J84" t="s">
        <v>46</v>
      </c>
      <c r="K84" t="s">
        <v>33</v>
      </c>
      <c r="L84">
        <f t="shared" si="2"/>
        <v>433473</v>
      </c>
    </row>
    <row r="85" spans="1:12" x14ac:dyDescent="0.3">
      <c r="A85" t="s">
        <v>175</v>
      </c>
      <c r="B85" t="s">
        <v>53</v>
      </c>
      <c r="C85" t="s">
        <v>35</v>
      </c>
      <c r="D85" t="s">
        <v>77</v>
      </c>
      <c r="E85">
        <v>33</v>
      </c>
      <c r="F85">
        <v>54094</v>
      </c>
      <c r="G85">
        <v>10</v>
      </c>
      <c r="H85">
        <v>28</v>
      </c>
      <c r="I85">
        <v>2056437.5</v>
      </c>
      <c r="J85" t="s">
        <v>37</v>
      </c>
      <c r="K85" t="s">
        <v>16</v>
      </c>
      <c r="L85">
        <f t="shared" si="2"/>
        <v>918270</v>
      </c>
    </row>
    <row r="86" spans="1:12" x14ac:dyDescent="0.3">
      <c r="A86" t="s">
        <v>84</v>
      </c>
      <c r="B86" t="s">
        <v>53</v>
      </c>
      <c r="C86" t="s">
        <v>48</v>
      </c>
      <c r="D86" t="s">
        <v>49</v>
      </c>
      <c r="E86">
        <v>21</v>
      </c>
      <c r="F86">
        <v>32833</v>
      </c>
      <c r="G86">
        <v>5</v>
      </c>
      <c r="H86">
        <v>18</v>
      </c>
      <c r="I86">
        <v>772921.65</v>
      </c>
      <c r="J86" t="s">
        <v>21</v>
      </c>
      <c r="K86" t="s">
        <v>16</v>
      </c>
      <c r="L86">
        <f t="shared" si="2"/>
        <v>393537</v>
      </c>
    </row>
    <row r="87" spans="1:12" x14ac:dyDescent="0.3">
      <c r="A87" t="s">
        <v>160</v>
      </c>
      <c r="B87" t="s">
        <v>53</v>
      </c>
      <c r="C87" t="s">
        <v>48</v>
      </c>
      <c r="D87" t="s">
        <v>49</v>
      </c>
      <c r="E87">
        <v>18</v>
      </c>
      <c r="F87">
        <v>24508</v>
      </c>
      <c r="G87">
        <v>0</v>
      </c>
      <c r="H87">
        <v>18</v>
      </c>
      <c r="I87">
        <v>520549.92</v>
      </c>
      <c r="J87" t="s">
        <v>21</v>
      </c>
      <c r="K87" t="s">
        <v>26</v>
      </c>
      <c r="L87">
        <f t="shared" si="2"/>
        <v>393537</v>
      </c>
    </row>
    <row r="88" spans="1:12" x14ac:dyDescent="0.3">
      <c r="A88" t="s">
        <v>132</v>
      </c>
      <c r="B88" t="s">
        <v>53</v>
      </c>
      <c r="C88" t="s">
        <v>62</v>
      </c>
      <c r="D88" t="s">
        <v>92</v>
      </c>
      <c r="E88">
        <v>40</v>
      </c>
      <c r="F88">
        <v>39645</v>
      </c>
      <c r="G88">
        <v>0</v>
      </c>
      <c r="H88">
        <v>18</v>
      </c>
      <c r="I88">
        <v>1871244</v>
      </c>
      <c r="J88" t="s">
        <v>37</v>
      </c>
      <c r="K88" t="s">
        <v>16</v>
      </c>
      <c r="L88">
        <f t="shared" si="2"/>
        <v>613361</v>
      </c>
    </row>
    <row r="89" spans="1:12" x14ac:dyDescent="0.3">
      <c r="A89" t="s">
        <v>108</v>
      </c>
      <c r="B89" t="s">
        <v>53</v>
      </c>
      <c r="C89" t="s">
        <v>44</v>
      </c>
      <c r="D89" t="s">
        <v>45</v>
      </c>
      <c r="E89">
        <v>17</v>
      </c>
      <c r="F89">
        <v>62951</v>
      </c>
      <c r="G89">
        <v>0</v>
      </c>
      <c r="H89">
        <v>12</v>
      </c>
      <c r="I89">
        <v>1198587.04</v>
      </c>
      <c r="J89" t="s">
        <v>21</v>
      </c>
      <c r="K89" t="s">
        <v>26</v>
      </c>
      <c r="L89">
        <f t="shared" si="2"/>
        <v>433473</v>
      </c>
    </row>
    <row r="90" spans="1:12" x14ac:dyDescent="0.3">
      <c r="A90" t="s">
        <v>171</v>
      </c>
      <c r="B90" t="s">
        <v>53</v>
      </c>
      <c r="C90" t="s">
        <v>48</v>
      </c>
      <c r="D90" t="s">
        <v>49</v>
      </c>
      <c r="E90">
        <v>2</v>
      </c>
      <c r="F90">
        <v>2786</v>
      </c>
      <c r="G90">
        <v>0</v>
      </c>
      <c r="H90">
        <v>18</v>
      </c>
      <c r="I90">
        <v>6574.96</v>
      </c>
      <c r="J90" t="s">
        <v>37</v>
      </c>
      <c r="K90" t="s">
        <v>16</v>
      </c>
      <c r="L90">
        <f t="shared" si="2"/>
        <v>393537</v>
      </c>
    </row>
    <row r="91" spans="1:12" x14ac:dyDescent="0.3">
      <c r="A91" t="s">
        <v>86</v>
      </c>
      <c r="B91" t="s">
        <v>53</v>
      </c>
      <c r="C91" t="s">
        <v>19</v>
      </c>
      <c r="D91" t="s">
        <v>20</v>
      </c>
      <c r="E91">
        <v>2</v>
      </c>
      <c r="F91">
        <v>84938</v>
      </c>
      <c r="G91">
        <v>0</v>
      </c>
      <c r="H91">
        <v>12</v>
      </c>
      <c r="I91">
        <v>190261.12</v>
      </c>
      <c r="J91" t="s">
        <v>15</v>
      </c>
      <c r="K91" t="s">
        <v>33</v>
      </c>
      <c r="L91">
        <f t="shared" si="2"/>
        <v>320686</v>
      </c>
    </row>
    <row r="92" spans="1:12" x14ac:dyDescent="0.3">
      <c r="A92" t="s">
        <v>86</v>
      </c>
      <c r="B92" t="s">
        <v>53</v>
      </c>
      <c r="C92" t="s">
        <v>62</v>
      </c>
      <c r="D92" t="s">
        <v>63</v>
      </c>
      <c r="E92">
        <v>9</v>
      </c>
      <c r="F92">
        <v>63768</v>
      </c>
      <c r="G92">
        <v>10</v>
      </c>
      <c r="H92">
        <v>12</v>
      </c>
      <c r="I92">
        <v>578503.30000000005</v>
      </c>
      <c r="J92" t="s">
        <v>37</v>
      </c>
      <c r="K92" t="s">
        <v>33</v>
      </c>
      <c r="L92">
        <f t="shared" si="2"/>
        <v>613361</v>
      </c>
    </row>
    <row r="93" spans="1:12" x14ac:dyDescent="0.3">
      <c r="A93" t="s">
        <v>195</v>
      </c>
      <c r="B93" t="s">
        <v>53</v>
      </c>
      <c r="C93" t="s">
        <v>19</v>
      </c>
      <c r="D93" t="s">
        <v>20</v>
      </c>
      <c r="E93">
        <v>18</v>
      </c>
      <c r="F93">
        <v>9808</v>
      </c>
      <c r="G93">
        <v>5</v>
      </c>
      <c r="H93">
        <v>28</v>
      </c>
      <c r="I93">
        <v>214677.5</v>
      </c>
      <c r="J93" t="s">
        <v>46</v>
      </c>
      <c r="K93" t="s">
        <v>16</v>
      </c>
      <c r="L93">
        <f t="shared" si="2"/>
        <v>320686</v>
      </c>
    </row>
    <row r="94" spans="1:12" x14ac:dyDescent="0.3">
      <c r="A94" t="s">
        <v>209</v>
      </c>
      <c r="B94" t="s">
        <v>53</v>
      </c>
      <c r="C94" t="s">
        <v>35</v>
      </c>
      <c r="D94" t="s">
        <v>36</v>
      </c>
      <c r="E94">
        <v>35</v>
      </c>
      <c r="F94">
        <v>52401</v>
      </c>
      <c r="G94">
        <v>12</v>
      </c>
      <c r="H94">
        <v>12</v>
      </c>
      <c r="I94">
        <v>1807624.9</v>
      </c>
      <c r="J94" t="s">
        <v>46</v>
      </c>
      <c r="K94" t="s">
        <v>33</v>
      </c>
      <c r="L94">
        <f t="shared" si="2"/>
        <v>918270</v>
      </c>
    </row>
    <row r="95" spans="1:12" x14ac:dyDescent="0.3">
      <c r="A95" t="s">
        <v>17</v>
      </c>
      <c r="B95" t="s">
        <v>53</v>
      </c>
      <c r="C95" t="s">
        <v>48</v>
      </c>
      <c r="D95" t="s">
        <v>59</v>
      </c>
      <c r="E95">
        <v>12</v>
      </c>
      <c r="F95">
        <v>12262</v>
      </c>
      <c r="G95">
        <v>0</v>
      </c>
      <c r="H95">
        <v>12</v>
      </c>
      <c r="I95">
        <v>164801.28</v>
      </c>
      <c r="J95" t="s">
        <v>21</v>
      </c>
      <c r="K95" t="s">
        <v>16</v>
      </c>
      <c r="L95">
        <f t="shared" si="2"/>
        <v>393537</v>
      </c>
    </row>
    <row r="96" spans="1:12" x14ac:dyDescent="0.3">
      <c r="A96" t="s">
        <v>144</v>
      </c>
      <c r="B96" t="s">
        <v>53</v>
      </c>
      <c r="C96" t="s">
        <v>44</v>
      </c>
      <c r="D96" t="s">
        <v>51</v>
      </c>
      <c r="E96">
        <v>36</v>
      </c>
      <c r="F96">
        <v>49940</v>
      </c>
      <c r="G96">
        <v>12</v>
      </c>
      <c r="H96">
        <v>18</v>
      </c>
      <c r="I96">
        <v>1866877.06</v>
      </c>
      <c r="J96" t="s">
        <v>15</v>
      </c>
      <c r="K96" t="s">
        <v>16</v>
      </c>
      <c r="L96">
        <f t="shared" si="2"/>
        <v>433473</v>
      </c>
    </row>
    <row r="97" spans="1:12" x14ac:dyDescent="0.3">
      <c r="A97" t="s">
        <v>17</v>
      </c>
      <c r="B97" t="s">
        <v>53</v>
      </c>
      <c r="C97" t="s">
        <v>35</v>
      </c>
      <c r="D97" t="s">
        <v>77</v>
      </c>
      <c r="E97">
        <v>15</v>
      </c>
      <c r="F97">
        <v>60402</v>
      </c>
      <c r="G97">
        <v>5</v>
      </c>
      <c r="H97">
        <v>28</v>
      </c>
      <c r="I97">
        <v>1101732.48</v>
      </c>
      <c r="J97" t="s">
        <v>46</v>
      </c>
      <c r="K97" t="s">
        <v>38</v>
      </c>
      <c r="L97">
        <f t="shared" si="2"/>
        <v>918270</v>
      </c>
    </row>
    <row r="98" spans="1:12" x14ac:dyDescent="0.3">
      <c r="A98" t="s">
        <v>179</v>
      </c>
      <c r="B98" t="s">
        <v>53</v>
      </c>
      <c r="C98" t="s">
        <v>48</v>
      </c>
      <c r="D98" t="s">
        <v>59</v>
      </c>
      <c r="E98">
        <v>30</v>
      </c>
      <c r="F98">
        <v>44223</v>
      </c>
      <c r="G98">
        <v>5</v>
      </c>
      <c r="H98">
        <v>12</v>
      </c>
      <c r="I98">
        <v>1411598.16</v>
      </c>
      <c r="J98" t="s">
        <v>46</v>
      </c>
      <c r="K98" t="s">
        <v>38</v>
      </c>
      <c r="L98">
        <f t="shared" ref="L98:L113" si="3">SUMIF(C:C,C98,F:F)</f>
        <v>393537</v>
      </c>
    </row>
    <row r="99" spans="1:12" x14ac:dyDescent="0.3">
      <c r="A99" t="s">
        <v>179</v>
      </c>
      <c r="B99" t="s">
        <v>53</v>
      </c>
      <c r="C99" t="s">
        <v>62</v>
      </c>
      <c r="D99" t="s">
        <v>63</v>
      </c>
      <c r="E99">
        <v>7</v>
      </c>
      <c r="F99">
        <v>45113</v>
      </c>
      <c r="G99">
        <v>5</v>
      </c>
      <c r="H99">
        <v>18</v>
      </c>
      <c r="I99">
        <v>354001.71</v>
      </c>
      <c r="J99" t="s">
        <v>21</v>
      </c>
      <c r="K99" t="s">
        <v>33</v>
      </c>
      <c r="L99">
        <f t="shared" si="3"/>
        <v>613361</v>
      </c>
    </row>
    <row r="100" spans="1:12" x14ac:dyDescent="0.3">
      <c r="A100" t="s">
        <v>96</v>
      </c>
      <c r="B100" t="s">
        <v>53</v>
      </c>
      <c r="C100" t="s">
        <v>13</v>
      </c>
      <c r="D100" t="s">
        <v>14</v>
      </c>
      <c r="E100">
        <v>4</v>
      </c>
      <c r="F100">
        <v>77148</v>
      </c>
      <c r="G100">
        <v>0</v>
      </c>
      <c r="H100">
        <v>28</v>
      </c>
      <c r="I100">
        <v>394997.76000000001</v>
      </c>
      <c r="J100" t="s">
        <v>37</v>
      </c>
      <c r="K100" t="s">
        <v>38</v>
      </c>
      <c r="L100">
        <f t="shared" si="3"/>
        <v>688053</v>
      </c>
    </row>
    <row r="101" spans="1:12" x14ac:dyDescent="0.3">
      <c r="A101" t="s">
        <v>200</v>
      </c>
      <c r="B101" t="s">
        <v>53</v>
      </c>
      <c r="C101" t="s">
        <v>44</v>
      </c>
      <c r="D101" t="s">
        <v>51</v>
      </c>
      <c r="E101">
        <v>20</v>
      </c>
      <c r="F101">
        <v>1338</v>
      </c>
      <c r="G101">
        <v>0</v>
      </c>
      <c r="H101">
        <v>12</v>
      </c>
      <c r="I101">
        <v>29971.200000000001</v>
      </c>
      <c r="J101" t="s">
        <v>46</v>
      </c>
      <c r="K101" t="s">
        <v>33</v>
      </c>
      <c r="L101">
        <f t="shared" si="3"/>
        <v>433473</v>
      </c>
    </row>
    <row r="102" spans="1:12" x14ac:dyDescent="0.3">
      <c r="A102" t="s">
        <v>122</v>
      </c>
      <c r="B102" t="s">
        <v>53</v>
      </c>
      <c r="C102" t="s">
        <v>62</v>
      </c>
      <c r="D102" t="s">
        <v>92</v>
      </c>
      <c r="E102">
        <v>19</v>
      </c>
      <c r="F102">
        <v>30080</v>
      </c>
      <c r="G102">
        <v>10</v>
      </c>
      <c r="H102">
        <v>28</v>
      </c>
      <c r="I102">
        <v>658391.04000000004</v>
      </c>
      <c r="J102" t="s">
        <v>15</v>
      </c>
      <c r="K102" t="s">
        <v>33</v>
      </c>
      <c r="L102">
        <f t="shared" si="3"/>
        <v>613361</v>
      </c>
    </row>
    <row r="103" spans="1:12" x14ac:dyDescent="0.3">
      <c r="A103" t="s">
        <v>69</v>
      </c>
      <c r="B103" t="s">
        <v>53</v>
      </c>
      <c r="C103" t="s">
        <v>13</v>
      </c>
      <c r="D103" t="s">
        <v>32</v>
      </c>
      <c r="E103">
        <v>22</v>
      </c>
      <c r="F103">
        <v>27843</v>
      </c>
      <c r="G103">
        <v>12</v>
      </c>
      <c r="H103">
        <v>12</v>
      </c>
      <c r="I103">
        <v>603725.34</v>
      </c>
      <c r="J103" t="s">
        <v>15</v>
      </c>
      <c r="K103" t="s">
        <v>38</v>
      </c>
      <c r="L103">
        <f t="shared" si="3"/>
        <v>688053</v>
      </c>
    </row>
    <row r="104" spans="1:12" x14ac:dyDescent="0.3">
      <c r="A104" t="s">
        <v>230</v>
      </c>
      <c r="B104" t="s">
        <v>53</v>
      </c>
      <c r="C104" t="s">
        <v>13</v>
      </c>
      <c r="D104" t="s">
        <v>32</v>
      </c>
      <c r="E104">
        <v>3</v>
      </c>
      <c r="F104">
        <v>43921</v>
      </c>
      <c r="G104">
        <v>12</v>
      </c>
      <c r="H104">
        <v>18</v>
      </c>
      <c r="I104">
        <v>136822.70000000001</v>
      </c>
      <c r="J104" t="s">
        <v>37</v>
      </c>
      <c r="K104" t="s">
        <v>38</v>
      </c>
      <c r="L104">
        <f t="shared" si="3"/>
        <v>688053</v>
      </c>
    </row>
    <row r="105" spans="1:12" x14ac:dyDescent="0.3">
      <c r="A105" t="s">
        <v>143</v>
      </c>
      <c r="B105" t="s">
        <v>53</v>
      </c>
      <c r="C105" t="s">
        <v>35</v>
      </c>
      <c r="D105" t="s">
        <v>77</v>
      </c>
      <c r="E105">
        <v>38</v>
      </c>
      <c r="F105">
        <v>46045</v>
      </c>
      <c r="G105">
        <v>10</v>
      </c>
      <c r="H105">
        <v>28</v>
      </c>
      <c r="I105">
        <v>2015665.92</v>
      </c>
      <c r="J105" t="s">
        <v>37</v>
      </c>
      <c r="K105" t="s">
        <v>38</v>
      </c>
      <c r="L105">
        <f t="shared" si="3"/>
        <v>918270</v>
      </c>
    </row>
    <row r="106" spans="1:12" x14ac:dyDescent="0.3">
      <c r="A106" t="s">
        <v>41</v>
      </c>
      <c r="B106" t="s">
        <v>53</v>
      </c>
      <c r="C106" t="s">
        <v>24</v>
      </c>
      <c r="D106" t="s">
        <v>25</v>
      </c>
      <c r="E106">
        <v>3</v>
      </c>
      <c r="F106">
        <v>9708</v>
      </c>
      <c r="G106">
        <v>12</v>
      </c>
      <c r="H106">
        <v>28</v>
      </c>
      <c r="I106">
        <v>32805.269999999997</v>
      </c>
      <c r="J106" t="s">
        <v>37</v>
      </c>
      <c r="K106" t="s">
        <v>16</v>
      </c>
      <c r="L106">
        <f t="shared" si="3"/>
        <v>1071809</v>
      </c>
    </row>
    <row r="107" spans="1:12" x14ac:dyDescent="0.3">
      <c r="A107" t="s">
        <v>174</v>
      </c>
      <c r="B107" t="s">
        <v>53</v>
      </c>
      <c r="C107" t="s">
        <v>13</v>
      </c>
      <c r="D107" t="s">
        <v>32</v>
      </c>
      <c r="E107">
        <v>18</v>
      </c>
      <c r="F107">
        <v>12603</v>
      </c>
      <c r="G107">
        <v>5</v>
      </c>
      <c r="H107">
        <v>28</v>
      </c>
      <c r="I107">
        <v>275854.46000000002</v>
      </c>
      <c r="J107" t="s">
        <v>21</v>
      </c>
      <c r="K107" t="s">
        <v>33</v>
      </c>
      <c r="L107">
        <f t="shared" si="3"/>
        <v>688053</v>
      </c>
    </row>
    <row r="108" spans="1:12" x14ac:dyDescent="0.3">
      <c r="A108" t="s">
        <v>41</v>
      </c>
      <c r="B108" t="s">
        <v>53</v>
      </c>
      <c r="C108" t="s">
        <v>19</v>
      </c>
      <c r="D108" t="s">
        <v>20</v>
      </c>
      <c r="E108">
        <v>11</v>
      </c>
      <c r="F108">
        <v>82739</v>
      </c>
      <c r="G108">
        <v>5</v>
      </c>
      <c r="H108">
        <v>12</v>
      </c>
      <c r="I108">
        <v>968377.26</v>
      </c>
      <c r="J108" t="s">
        <v>37</v>
      </c>
      <c r="K108" t="s">
        <v>38</v>
      </c>
      <c r="L108">
        <f t="shared" si="3"/>
        <v>320686</v>
      </c>
    </row>
    <row r="109" spans="1:12" x14ac:dyDescent="0.3">
      <c r="A109" t="s">
        <v>181</v>
      </c>
      <c r="B109" t="s">
        <v>53</v>
      </c>
      <c r="C109" t="s">
        <v>44</v>
      </c>
      <c r="D109" t="s">
        <v>45</v>
      </c>
      <c r="E109">
        <v>35</v>
      </c>
      <c r="F109">
        <v>49670</v>
      </c>
      <c r="G109">
        <v>0</v>
      </c>
      <c r="H109">
        <v>18</v>
      </c>
      <c r="I109">
        <v>2051371</v>
      </c>
      <c r="J109" t="s">
        <v>15</v>
      </c>
      <c r="K109" t="s">
        <v>16</v>
      </c>
      <c r="L109">
        <f t="shared" si="3"/>
        <v>433473</v>
      </c>
    </row>
    <row r="110" spans="1:12" x14ac:dyDescent="0.3">
      <c r="A110" t="s">
        <v>136</v>
      </c>
      <c r="B110" t="s">
        <v>53</v>
      </c>
      <c r="C110" t="s">
        <v>62</v>
      </c>
      <c r="D110" t="s">
        <v>92</v>
      </c>
      <c r="E110">
        <v>13</v>
      </c>
      <c r="F110">
        <v>8696</v>
      </c>
      <c r="G110">
        <v>12</v>
      </c>
      <c r="H110">
        <v>18</v>
      </c>
      <c r="I110">
        <v>117389.04</v>
      </c>
      <c r="J110" t="s">
        <v>37</v>
      </c>
      <c r="K110" t="s">
        <v>16</v>
      </c>
      <c r="L110">
        <f t="shared" si="3"/>
        <v>613361</v>
      </c>
    </row>
    <row r="111" spans="1:12" x14ac:dyDescent="0.3">
      <c r="A111" t="s">
        <v>177</v>
      </c>
      <c r="B111" t="s">
        <v>53</v>
      </c>
      <c r="C111" t="s">
        <v>24</v>
      </c>
      <c r="D111" t="s">
        <v>25</v>
      </c>
      <c r="E111">
        <v>31</v>
      </c>
      <c r="F111">
        <v>19521</v>
      </c>
      <c r="G111">
        <v>0</v>
      </c>
      <c r="H111">
        <v>18</v>
      </c>
      <c r="I111">
        <v>714078.18</v>
      </c>
      <c r="J111" t="s">
        <v>46</v>
      </c>
      <c r="K111" t="s">
        <v>38</v>
      </c>
      <c r="L111">
        <f t="shared" si="3"/>
        <v>1071809</v>
      </c>
    </row>
    <row r="112" spans="1:12" x14ac:dyDescent="0.3">
      <c r="A112" t="s">
        <v>158</v>
      </c>
      <c r="B112" t="s">
        <v>53</v>
      </c>
      <c r="C112" t="s">
        <v>24</v>
      </c>
      <c r="D112" t="s">
        <v>76</v>
      </c>
      <c r="E112">
        <v>35</v>
      </c>
      <c r="F112">
        <v>57379</v>
      </c>
      <c r="G112">
        <v>10</v>
      </c>
      <c r="H112">
        <v>12</v>
      </c>
      <c r="I112">
        <v>2024331.12</v>
      </c>
      <c r="J112" t="s">
        <v>15</v>
      </c>
      <c r="K112" t="s">
        <v>38</v>
      </c>
      <c r="L112">
        <f t="shared" si="3"/>
        <v>1071809</v>
      </c>
    </row>
    <row r="113" spans="1:12" x14ac:dyDescent="0.3">
      <c r="A113" t="s">
        <v>191</v>
      </c>
      <c r="B113" t="s">
        <v>53</v>
      </c>
      <c r="C113" t="s">
        <v>13</v>
      </c>
      <c r="D113" t="s">
        <v>14</v>
      </c>
      <c r="E113">
        <v>24</v>
      </c>
      <c r="F113">
        <v>6283</v>
      </c>
      <c r="G113">
        <v>12</v>
      </c>
      <c r="H113">
        <v>12</v>
      </c>
      <c r="I113">
        <v>148620.6</v>
      </c>
      <c r="J113" t="s">
        <v>15</v>
      </c>
      <c r="K113" t="s">
        <v>26</v>
      </c>
      <c r="L113">
        <f t="shared" si="3"/>
        <v>688053</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L113"/>
  <sheetViews>
    <sheetView workbookViewId="0">
      <selection activeCell="L2" sqref="L2"/>
    </sheetView>
  </sheetViews>
  <sheetFormatPr defaultRowHeight="14.4" x14ac:dyDescent="0.3"/>
  <cols>
    <col min="1" max="1" width="15.88671875" bestFit="1" customWidth="1"/>
    <col min="2" max="3" width="16" bestFit="1" customWidth="1"/>
    <col min="4" max="4" width="14.109375" bestFit="1" customWidth="1"/>
    <col min="5" max="5" width="6.21875" bestFit="1" customWidth="1"/>
    <col min="6" max="6" width="11.88671875" bestFit="1" customWidth="1"/>
    <col min="7" max="7" width="13" bestFit="1" customWidth="1"/>
    <col min="9" max="9" width="15.44140625" bestFit="1" customWidth="1"/>
    <col min="10" max="10" width="12.77734375" bestFit="1" customWidth="1"/>
    <col min="11" max="11" width="16.88671875" bestFit="1" customWidth="1"/>
  </cols>
  <sheetData>
    <row r="1" spans="1:12" x14ac:dyDescent="0.3">
      <c r="A1" t="s">
        <v>0</v>
      </c>
      <c r="B1" t="s">
        <v>1</v>
      </c>
      <c r="C1" t="s">
        <v>2</v>
      </c>
      <c r="D1" t="s">
        <v>3</v>
      </c>
      <c r="E1" t="s">
        <v>4</v>
      </c>
      <c r="F1" t="s">
        <v>5</v>
      </c>
      <c r="G1" t="s">
        <v>6</v>
      </c>
      <c r="H1" t="s">
        <v>7</v>
      </c>
      <c r="I1" t="s">
        <v>8</v>
      </c>
      <c r="J1" t="s">
        <v>9</v>
      </c>
      <c r="K1" t="s">
        <v>10</v>
      </c>
      <c r="L1" t="s">
        <v>251</v>
      </c>
    </row>
    <row r="2" spans="1:12" x14ac:dyDescent="0.3">
      <c r="A2" t="s">
        <v>47</v>
      </c>
      <c r="B2" t="s">
        <v>42</v>
      </c>
      <c r="C2" t="s">
        <v>44</v>
      </c>
      <c r="D2" t="s">
        <v>51</v>
      </c>
      <c r="E2">
        <v>9</v>
      </c>
      <c r="F2">
        <v>82677</v>
      </c>
      <c r="G2">
        <v>12</v>
      </c>
      <c r="H2">
        <v>18</v>
      </c>
      <c r="I2">
        <v>772666.17</v>
      </c>
      <c r="J2" t="s">
        <v>21</v>
      </c>
      <c r="K2" t="s">
        <v>38</v>
      </c>
      <c r="L2">
        <f t="shared" ref="L2:L33" si="0">SUMIF(C:C,C2,F:F)</f>
        <v>778340</v>
      </c>
    </row>
    <row r="3" spans="1:12" x14ac:dyDescent="0.3">
      <c r="A3" t="s">
        <v>135</v>
      </c>
      <c r="B3" t="s">
        <v>42</v>
      </c>
      <c r="C3" t="s">
        <v>29</v>
      </c>
      <c r="D3" t="s">
        <v>30</v>
      </c>
      <c r="E3">
        <v>31</v>
      </c>
      <c r="F3">
        <v>59296</v>
      </c>
      <c r="G3">
        <v>5</v>
      </c>
      <c r="H3">
        <v>18</v>
      </c>
      <c r="I3">
        <v>2060595.3</v>
      </c>
      <c r="J3" t="s">
        <v>37</v>
      </c>
      <c r="K3" t="s">
        <v>26</v>
      </c>
      <c r="L3">
        <f t="shared" si="0"/>
        <v>436163</v>
      </c>
    </row>
    <row r="4" spans="1:12" x14ac:dyDescent="0.3">
      <c r="A4" t="s">
        <v>192</v>
      </c>
      <c r="B4" t="s">
        <v>42</v>
      </c>
      <c r="C4" t="s">
        <v>13</v>
      </c>
      <c r="D4" t="s">
        <v>32</v>
      </c>
      <c r="E4">
        <v>11</v>
      </c>
      <c r="F4">
        <v>38059</v>
      </c>
      <c r="G4">
        <v>10</v>
      </c>
      <c r="H4">
        <v>18</v>
      </c>
      <c r="I4">
        <v>444605.24</v>
      </c>
      <c r="J4" t="s">
        <v>46</v>
      </c>
      <c r="K4" t="s">
        <v>33</v>
      </c>
      <c r="L4">
        <f t="shared" si="0"/>
        <v>621136</v>
      </c>
    </row>
    <row r="5" spans="1:12" x14ac:dyDescent="0.3">
      <c r="A5" t="s">
        <v>78</v>
      </c>
      <c r="B5" t="s">
        <v>42</v>
      </c>
      <c r="C5" t="s">
        <v>62</v>
      </c>
      <c r="D5" t="s">
        <v>92</v>
      </c>
      <c r="E5">
        <v>25</v>
      </c>
      <c r="F5">
        <v>30520</v>
      </c>
      <c r="G5">
        <v>5</v>
      </c>
      <c r="H5">
        <v>12</v>
      </c>
      <c r="I5">
        <v>811832</v>
      </c>
      <c r="J5" t="s">
        <v>15</v>
      </c>
      <c r="K5" t="s">
        <v>16</v>
      </c>
      <c r="L5">
        <f t="shared" si="0"/>
        <v>328117</v>
      </c>
    </row>
    <row r="6" spans="1:12" x14ac:dyDescent="0.3">
      <c r="A6" t="s">
        <v>150</v>
      </c>
      <c r="B6" t="s">
        <v>42</v>
      </c>
      <c r="C6" t="s">
        <v>48</v>
      </c>
      <c r="D6" t="s">
        <v>49</v>
      </c>
      <c r="E6">
        <v>6</v>
      </c>
      <c r="F6">
        <v>83584</v>
      </c>
      <c r="G6">
        <v>5</v>
      </c>
      <c r="H6">
        <v>12</v>
      </c>
      <c r="I6">
        <v>533600.26</v>
      </c>
      <c r="J6" t="s">
        <v>46</v>
      </c>
      <c r="K6" t="s">
        <v>26</v>
      </c>
      <c r="L6">
        <f t="shared" si="0"/>
        <v>654187</v>
      </c>
    </row>
    <row r="7" spans="1:12" x14ac:dyDescent="0.3">
      <c r="A7" t="s">
        <v>164</v>
      </c>
      <c r="B7" t="s">
        <v>42</v>
      </c>
      <c r="C7" t="s">
        <v>48</v>
      </c>
      <c r="D7" t="s">
        <v>49</v>
      </c>
      <c r="E7">
        <v>7</v>
      </c>
      <c r="F7">
        <v>46944</v>
      </c>
      <c r="G7">
        <v>0</v>
      </c>
      <c r="H7">
        <v>12</v>
      </c>
      <c r="I7">
        <v>368040.96000000002</v>
      </c>
      <c r="J7" t="s">
        <v>37</v>
      </c>
      <c r="K7" t="s">
        <v>38</v>
      </c>
      <c r="L7">
        <f t="shared" si="0"/>
        <v>654187</v>
      </c>
    </row>
    <row r="8" spans="1:12" x14ac:dyDescent="0.3">
      <c r="A8" t="s">
        <v>54</v>
      </c>
      <c r="B8" t="s">
        <v>42</v>
      </c>
      <c r="C8" t="s">
        <v>44</v>
      </c>
      <c r="D8" t="s">
        <v>51</v>
      </c>
      <c r="E8">
        <v>4</v>
      </c>
      <c r="F8">
        <v>56258</v>
      </c>
      <c r="G8">
        <v>0</v>
      </c>
      <c r="H8">
        <v>28</v>
      </c>
      <c r="I8">
        <v>288040.96000000002</v>
      </c>
      <c r="J8" t="s">
        <v>37</v>
      </c>
      <c r="K8" t="s">
        <v>26</v>
      </c>
      <c r="L8">
        <f t="shared" si="0"/>
        <v>778340</v>
      </c>
    </row>
    <row r="9" spans="1:12" x14ac:dyDescent="0.3">
      <c r="A9" t="s">
        <v>141</v>
      </c>
      <c r="B9" t="s">
        <v>42</v>
      </c>
      <c r="C9" t="s">
        <v>13</v>
      </c>
      <c r="D9" t="s">
        <v>14</v>
      </c>
      <c r="E9">
        <v>39</v>
      </c>
      <c r="F9">
        <v>51703</v>
      </c>
      <c r="G9">
        <v>12</v>
      </c>
      <c r="H9">
        <v>18</v>
      </c>
      <c r="I9">
        <v>2093847.41</v>
      </c>
      <c r="J9" t="s">
        <v>46</v>
      </c>
      <c r="K9" t="s">
        <v>33</v>
      </c>
      <c r="L9">
        <f t="shared" si="0"/>
        <v>621136</v>
      </c>
    </row>
    <row r="10" spans="1:12" x14ac:dyDescent="0.3">
      <c r="A10" t="s">
        <v>81</v>
      </c>
      <c r="B10" t="s">
        <v>42</v>
      </c>
      <c r="C10" t="s">
        <v>19</v>
      </c>
      <c r="D10" t="s">
        <v>20</v>
      </c>
      <c r="E10">
        <v>18</v>
      </c>
      <c r="F10">
        <v>16477</v>
      </c>
      <c r="G10">
        <v>0</v>
      </c>
      <c r="H10">
        <v>28</v>
      </c>
      <c r="I10">
        <v>379630.08000000002</v>
      </c>
      <c r="J10" t="s">
        <v>46</v>
      </c>
      <c r="K10" t="s">
        <v>16</v>
      </c>
      <c r="L10">
        <f t="shared" si="0"/>
        <v>132335</v>
      </c>
    </row>
    <row r="11" spans="1:12" x14ac:dyDescent="0.3">
      <c r="A11" t="s">
        <v>61</v>
      </c>
      <c r="B11" t="s">
        <v>42</v>
      </c>
      <c r="C11" t="s">
        <v>24</v>
      </c>
      <c r="D11" t="s">
        <v>25</v>
      </c>
      <c r="E11">
        <v>7</v>
      </c>
      <c r="F11">
        <v>8315</v>
      </c>
      <c r="G11">
        <v>12</v>
      </c>
      <c r="H11">
        <v>28</v>
      </c>
      <c r="I11">
        <v>65562.11</v>
      </c>
      <c r="J11" t="s">
        <v>21</v>
      </c>
      <c r="K11" t="s">
        <v>33</v>
      </c>
      <c r="L11">
        <f t="shared" si="0"/>
        <v>746789</v>
      </c>
    </row>
    <row r="12" spans="1:12" x14ac:dyDescent="0.3">
      <c r="A12" t="s">
        <v>41</v>
      </c>
      <c r="B12" t="s">
        <v>42</v>
      </c>
      <c r="C12" t="s">
        <v>48</v>
      </c>
      <c r="D12" t="s">
        <v>59</v>
      </c>
      <c r="E12">
        <v>39</v>
      </c>
      <c r="F12">
        <v>64350</v>
      </c>
      <c r="G12">
        <v>5</v>
      </c>
      <c r="H12">
        <v>28</v>
      </c>
      <c r="I12">
        <v>3051734.4</v>
      </c>
      <c r="J12" t="s">
        <v>15</v>
      </c>
      <c r="K12" t="s">
        <v>38</v>
      </c>
      <c r="L12">
        <f t="shared" si="0"/>
        <v>654187</v>
      </c>
    </row>
    <row r="13" spans="1:12" x14ac:dyDescent="0.3">
      <c r="A13" t="s">
        <v>54</v>
      </c>
      <c r="B13" t="s">
        <v>42</v>
      </c>
      <c r="C13" t="s">
        <v>48</v>
      </c>
      <c r="D13" t="s">
        <v>49</v>
      </c>
      <c r="E13">
        <v>38</v>
      </c>
      <c r="F13">
        <v>18050</v>
      </c>
      <c r="G13">
        <v>5</v>
      </c>
      <c r="H13">
        <v>12</v>
      </c>
      <c r="I13">
        <v>729797.6</v>
      </c>
      <c r="J13" t="s">
        <v>37</v>
      </c>
      <c r="K13" t="s">
        <v>26</v>
      </c>
      <c r="L13">
        <f t="shared" si="0"/>
        <v>654187</v>
      </c>
    </row>
    <row r="14" spans="1:12" x14ac:dyDescent="0.3">
      <c r="A14" t="s">
        <v>119</v>
      </c>
      <c r="B14" t="s">
        <v>42</v>
      </c>
      <c r="C14" t="s">
        <v>44</v>
      </c>
      <c r="D14" t="s">
        <v>45</v>
      </c>
      <c r="E14">
        <v>39</v>
      </c>
      <c r="F14">
        <v>80087</v>
      </c>
      <c r="G14">
        <v>10</v>
      </c>
      <c r="H14">
        <v>28</v>
      </c>
      <c r="I14">
        <v>3598148.74</v>
      </c>
      <c r="J14" t="s">
        <v>21</v>
      </c>
      <c r="K14" t="s">
        <v>33</v>
      </c>
      <c r="L14">
        <f t="shared" si="0"/>
        <v>778340</v>
      </c>
    </row>
    <row r="15" spans="1:12" x14ac:dyDescent="0.3">
      <c r="A15" t="s">
        <v>139</v>
      </c>
      <c r="B15" t="s">
        <v>42</v>
      </c>
      <c r="C15" t="s">
        <v>44</v>
      </c>
      <c r="D15" t="s">
        <v>45</v>
      </c>
      <c r="E15">
        <v>25</v>
      </c>
      <c r="F15">
        <v>69231</v>
      </c>
      <c r="G15">
        <v>12</v>
      </c>
      <c r="H15">
        <v>18</v>
      </c>
      <c r="I15">
        <v>1797236.76</v>
      </c>
      <c r="J15" t="s">
        <v>46</v>
      </c>
      <c r="K15" t="s">
        <v>16</v>
      </c>
      <c r="L15">
        <f t="shared" si="0"/>
        <v>778340</v>
      </c>
    </row>
    <row r="16" spans="1:12" x14ac:dyDescent="0.3">
      <c r="A16" t="s">
        <v>100</v>
      </c>
      <c r="B16" t="s">
        <v>42</v>
      </c>
      <c r="C16" t="s">
        <v>13</v>
      </c>
      <c r="D16" t="s">
        <v>14</v>
      </c>
      <c r="E16">
        <v>38</v>
      </c>
      <c r="F16">
        <v>32517</v>
      </c>
      <c r="G16">
        <v>10</v>
      </c>
      <c r="H16">
        <v>12</v>
      </c>
      <c r="I16">
        <v>1245531.17</v>
      </c>
      <c r="J16" t="s">
        <v>37</v>
      </c>
      <c r="K16" t="s">
        <v>38</v>
      </c>
      <c r="L16">
        <f t="shared" si="0"/>
        <v>621136</v>
      </c>
    </row>
    <row r="17" spans="1:12" x14ac:dyDescent="0.3">
      <c r="A17" t="s">
        <v>136</v>
      </c>
      <c r="B17" t="s">
        <v>42</v>
      </c>
      <c r="C17" t="s">
        <v>35</v>
      </c>
      <c r="D17" t="s">
        <v>77</v>
      </c>
      <c r="E17">
        <v>38</v>
      </c>
      <c r="F17">
        <v>43008</v>
      </c>
      <c r="G17">
        <v>5</v>
      </c>
      <c r="H17">
        <v>18</v>
      </c>
      <c r="I17">
        <v>1832054.78</v>
      </c>
      <c r="J17" t="s">
        <v>46</v>
      </c>
      <c r="K17" t="s">
        <v>26</v>
      </c>
      <c r="L17">
        <f t="shared" si="0"/>
        <v>1427472</v>
      </c>
    </row>
    <row r="18" spans="1:12" x14ac:dyDescent="0.3">
      <c r="A18" t="s">
        <v>182</v>
      </c>
      <c r="B18" t="s">
        <v>42</v>
      </c>
      <c r="C18" t="s">
        <v>35</v>
      </c>
      <c r="D18" t="s">
        <v>77</v>
      </c>
      <c r="E18">
        <v>5</v>
      </c>
      <c r="F18">
        <v>10141</v>
      </c>
      <c r="G18">
        <v>12</v>
      </c>
      <c r="H18">
        <v>18</v>
      </c>
      <c r="I18">
        <v>52652.07</v>
      </c>
      <c r="J18" t="s">
        <v>15</v>
      </c>
      <c r="K18" t="s">
        <v>16</v>
      </c>
      <c r="L18">
        <f t="shared" si="0"/>
        <v>1427472</v>
      </c>
    </row>
    <row r="19" spans="1:12" x14ac:dyDescent="0.3">
      <c r="A19" t="s">
        <v>174</v>
      </c>
      <c r="B19" t="s">
        <v>42</v>
      </c>
      <c r="C19" t="s">
        <v>44</v>
      </c>
      <c r="D19" t="s">
        <v>51</v>
      </c>
      <c r="E19">
        <v>17</v>
      </c>
      <c r="F19">
        <v>48216</v>
      </c>
      <c r="G19">
        <v>10</v>
      </c>
      <c r="H19">
        <v>28</v>
      </c>
      <c r="I19">
        <v>944262.14</v>
      </c>
      <c r="J19" t="s">
        <v>15</v>
      </c>
      <c r="K19" t="s">
        <v>26</v>
      </c>
      <c r="L19">
        <f t="shared" si="0"/>
        <v>778340</v>
      </c>
    </row>
    <row r="20" spans="1:12" x14ac:dyDescent="0.3">
      <c r="A20" t="s">
        <v>220</v>
      </c>
      <c r="B20" t="s">
        <v>42</v>
      </c>
      <c r="C20" t="s">
        <v>44</v>
      </c>
      <c r="D20" t="s">
        <v>45</v>
      </c>
      <c r="E20">
        <v>7</v>
      </c>
      <c r="F20">
        <v>76260</v>
      </c>
      <c r="G20">
        <v>5</v>
      </c>
      <c r="H20">
        <v>18</v>
      </c>
      <c r="I20">
        <v>598412.22</v>
      </c>
      <c r="J20" t="s">
        <v>15</v>
      </c>
      <c r="K20" t="s">
        <v>26</v>
      </c>
      <c r="L20">
        <f t="shared" si="0"/>
        <v>778340</v>
      </c>
    </row>
    <row r="21" spans="1:12" x14ac:dyDescent="0.3">
      <c r="A21" t="s">
        <v>192</v>
      </c>
      <c r="B21" t="s">
        <v>42</v>
      </c>
      <c r="C21" t="s">
        <v>35</v>
      </c>
      <c r="D21" t="s">
        <v>36</v>
      </c>
      <c r="E21">
        <v>10</v>
      </c>
      <c r="F21">
        <v>26350</v>
      </c>
      <c r="G21">
        <v>10</v>
      </c>
      <c r="H21">
        <v>12</v>
      </c>
      <c r="I21">
        <v>265608</v>
      </c>
      <c r="J21" t="s">
        <v>21</v>
      </c>
      <c r="K21" t="s">
        <v>26</v>
      </c>
      <c r="L21">
        <f t="shared" si="0"/>
        <v>1427472</v>
      </c>
    </row>
    <row r="22" spans="1:12" x14ac:dyDescent="0.3">
      <c r="A22" t="s">
        <v>78</v>
      </c>
      <c r="B22" t="s">
        <v>42</v>
      </c>
      <c r="C22" t="s">
        <v>48</v>
      </c>
      <c r="D22" t="s">
        <v>59</v>
      </c>
      <c r="E22">
        <v>6</v>
      </c>
      <c r="F22">
        <v>39826</v>
      </c>
      <c r="G22">
        <v>0</v>
      </c>
      <c r="H22">
        <v>18</v>
      </c>
      <c r="I22">
        <v>281968.08</v>
      </c>
      <c r="J22" t="s">
        <v>21</v>
      </c>
      <c r="K22" t="s">
        <v>26</v>
      </c>
      <c r="L22">
        <f t="shared" si="0"/>
        <v>654187</v>
      </c>
    </row>
    <row r="23" spans="1:12" x14ac:dyDescent="0.3">
      <c r="A23" t="s">
        <v>160</v>
      </c>
      <c r="B23" t="s">
        <v>42</v>
      </c>
      <c r="C23" t="s">
        <v>29</v>
      </c>
      <c r="D23" t="s">
        <v>30</v>
      </c>
      <c r="E23">
        <v>2</v>
      </c>
      <c r="F23">
        <v>60168</v>
      </c>
      <c r="G23">
        <v>12</v>
      </c>
      <c r="H23">
        <v>18</v>
      </c>
      <c r="I23">
        <v>124956.9</v>
      </c>
      <c r="J23" t="s">
        <v>37</v>
      </c>
      <c r="K23" t="s">
        <v>33</v>
      </c>
      <c r="L23">
        <f t="shared" si="0"/>
        <v>436163</v>
      </c>
    </row>
    <row r="24" spans="1:12" x14ac:dyDescent="0.3">
      <c r="A24" t="s">
        <v>102</v>
      </c>
      <c r="B24" t="s">
        <v>42</v>
      </c>
      <c r="C24" t="s">
        <v>35</v>
      </c>
      <c r="D24" t="s">
        <v>77</v>
      </c>
      <c r="E24">
        <v>33</v>
      </c>
      <c r="F24">
        <v>18359</v>
      </c>
      <c r="G24">
        <v>12</v>
      </c>
      <c r="H24">
        <v>12</v>
      </c>
      <c r="I24">
        <v>597122.80000000005</v>
      </c>
      <c r="J24" t="s">
        <v>46</v>
      </c>
      <c r="K24" t="s">
        <v>26</v>
      </c>
      <c r="L24">
        <f t="shared" si="0"/>
        <v>1427472</v>
      </c>
    </row>
    <row r="25" spans="1:12" x14ac:dyDescent="0.3">
      <c r="A25" t="s">
        <v>149</v>
      </c>
      <c r="B25" t="s">
        <v>42</v>
      </c>
      <c r="C25" t="s">
        <v>48</v>
      </c>
      <c r="D25" t="s">
        <v>49</v>
      </c>
      <c r="E25">
        <v>30</v>
      </c>
      <c r="F25">
        <v>10199</v>
      </c>
      <c r="G25">
        <v>10</v>
      </c>
      <c r="H25">
        <v>28</v>
      </c>
      <c r="I25">
        <v>352477.44</v>
      </c>
      <c r="J25" t="s">
        <v>21</v>
      </c>
      <c r="K25" t="s">
        <v>26</v>
      </c>
      <c r="L25">
        <f t="shared" si="0"/>
        <v>654187</v>
      </c>
    </row>
    <row r="26" spans="1:12" x14ac:dyDescent="0.3">
      <c r="A26" t="s">
        <v>138</v>
      </c>
      <c r="B26" t="s">
        <v>42</v>
      </c>
      <c r="C26" t="s">
        <v>35</v>
      </c>
      <c r="D26" t="s">
        <v>36</v>
      </c>
      <c r="E26">
        <v>28</v>
      </c>
      <c r="F26">
        <v>30325</v>
      </c>
      <c r="G26">
        <v>5</v>
      </c>
      <c r="H26">
        <v>28</v>
      </c>
      <c r="I26">
        <v>1032505.6</v>
      </c>
      <c r="J26" t="s">
        <v>15</v>
      </c>
      <c r="K26" t="s">
        <v>26</v>
      </c>
      <c r="L26">
        <f t="shared" si="0"/>
        <v>1427472</v>
      </c>
    </row>
    <row r="27" spans="1:12" x14ac:dyDescent="0.3">
      <c r="A27" t="s">
        <v>60</v>
      </c>
      <c r="B27" t="s">
        <v>42</v>
      </c>
      <c r="C27" t="s">
        <v>62</v>
      </c>
      <c r="D27" t="s">
        <v>92</v>
      </c>
      <c r="E27">
        <v>14</v>
      </c>
      <c r="F27">
        <v>81548</v>
      </c>
      <c r="G27">
        <v>10</v>
      </c>
      <c r="H27">
        <v>18</v>
      </c>
      <c r="I27">
        <v>1212455.6599999999</v>
      </c>
      <c r="J27" t="s">
        <v>21</v>
      </c>
      <c r="K27" t="s">
        <v>26</v>
      </c>
      <c r="L27">
        <f t="shared" si="0"/>
        <v>328117</v>
      </c>
    </row>
    <row r="28" spans="1:12" x14ac:dyDescent="0.3">
      <c r="A28" t="s">
        <v>162</v>
      </c>
      <c r="B28" t="s">
        <v>42</v>
      </c>
      <c r="C28" t="s">
        <v>24</v>
      </c>
      <c r="D28" t="s">
        <v>40</v>
      </c>
      <c r="E28">
        <v>25</v>
      </c>
      <c r="F28">
        <v>35675</v>
      </c>
      <c r="G28">
        <v>0</v>
      </c>
      <c r="H28">
        <v>12</v>
      </c>
      <c r="I28">
        <v>998900</v>
      </c>
      <c r="J28" t="s">
        <v>37</v>
      </c>
      <c r="K28" t="s">
        <v>26</v>
      </c>
      <c r="L28">
        <f t="shared" si="0"/>
        <v>746789</v>
      </c>
    </row>
    <row r="29" spans="1:12" x14ac:dyDescent="0.3">
      <c r="A29" t="s">
        <v>110</v>
      </c>
      <c r="B29" t="s">
        <v>42</v>
      </c>
      <c r="C29" t="s">
        <v>44</v>
      </c>
      <c r="D29" t="s">
        <v>45</v>
      </c>
      <c r="E29">
        <v>7</v>
      </c>
      <c r="F29">
        <v>75826</v>
      </c>
      <c r="G29">
        <v>12</v>
      </c>
      <c r="H29">
        <v>12</v>
      </c>
      <c r="I29">
        <v>523138.74</v>
      </c>
      <c r="J29" t="s">
        <v>46</v>
      </c>
      <c r="K29" t="s">
        <v>33</v>
      </c>
      <c r="L29">
        <f t="shared" si="0"/>
        <v>778340</v>
      </c>
    </row>
    <row r="30" spans="1:12" x14ac:dyDescent="0.3">
      <c r="A30" t="s">
        <v>207</v>
      </c>
      <c r="B30" t="s">
        <v>42</v>
      </c>
      <c r="C30" t="s">
        <v>35</v>
      </c>
      <c r="D30" t="s">
        <v>77</v>
      </c>
      <c r="E30">
        <v>5</v>
      </c>
      <c r="F30">
        <v>47802</v>
      </c>
      <c r="G30">
        <v>0</v>
      </c>
      <c r="H30">
        <v>18</v>
      </c>
      <c r="I30">
        <v>282031.8</v>
      </c>
      <c r="J30" t="s">
        <v>37</v>
      </c>
      <c r="K30" t="s">
        <v>26</v>
      </c>
      <c r="L30">
        <f t="shared" si="0"/>
        <v>1427472</v>
      </c>
    </row>
    <row r="31" spans="1:12" x14ac:dyDescent="0.3">
      <c r="A31" t="s">
        <v>175</v>
      </c>
      <c r="B31" t="s">
        <v>42</v>
      </c>
      <c r="C31" t="s">
        <v>62</v>
      </c>
      <c r="D31" t="s">
        <v>63</v>
      </c>
      <c r="E31">
        <v>30</v>
      </c>
      <c r="F31">
        <v>26434</v>
      </c>
      <c r="G31">
        <v>5</v>
      </c>
      <c r="H31">
        <v>12</v>
      </c>
      <c r="I31">
        <v>843773.28</v>
      </c>
      <c r="J31" t="s">
        <v>15</v>
      </c>
      <c r="K31" t="s">
        <v>16</v>
      </c>
      <c r="L31">
        <f t="shared" si="0"/>
        <v>328117</v>
      </c>
    </row>
    <row r="32" spans="1:12" x14ac:dyDescent="0.3">
      <c r="A32" t="s">
        <v>84</v>
      </c>
      <c r="B32" t="s">
        <v>42</v>
      </c>
      <c r="C32" t="s">
        <v>13</v>
      </c>
      <c r="D32" t="s">
        <v>14</v>
      </c>
      <c r="E32">
        <v>33</v>
      </c>
      <c r="F32">
        <v>50983</v>
      </c>
      <c r="G32">
        <v>10</v>
      </c>
      <c r="H32">
        <v>28</v>
      </c>
      <c r="I32">
        <v>1938169.73</v>
      </c>
      <c r="J32" t="s">
        <v>46</v>
      </c>
      <c r="K32" t="s">
        <v>38</v>
      </c>
      <c r="L32">
        <f t="shared" si="0"/>
        <v>621136</v>
      </c>
    </row>
    <row r="33" spans="1:12" x14ac:dyDescent="0.3">
      <c r="A33" t="s">
        <v>207</v>
      </c>
      <c r="B33" t="s">
        <v>42</v>
      </c>
      <c r="C33" t="s">
        <v>35</v>
      </c>
      <c r="D33" t="s">
        <v>36</v>
      </c>
      <c r="E33">
        <v>3</v>
      </c>
      <c r="F33">
        <v>71422</v>
      </c>
      <c r="G33">
        <v>10</v>
      </c>
      <c r="H33">
        <v>28</v>
      </c>
      <c r="I33">
        <v>246834.43</v>
      </c>
      <c r="J33" t="s">
        <v>21</v>
      </c>
      <c r="K33" t="s">
        <v>38</v>
      </c>
      <c r="L33">
        <f t="shared" si="0"/>
        <v>1427472</v>
      </c>
    </row>
    <row r="34" spans="1:12" x14ac:dyDescent="0.3">
      <c r="A34" t="s">
        <v>182</v>
      </c>
      <c r="B34" t="s">
        <v>42</v>
      </c>
      <c r="C34" t="s">
        <v>35</v>
      </c>
      <c r="D34" t="s">
        <v>56</v>
      </c>
      <c r="E34">
        <v>31</v>
      </c>
      <c r="F34">
        <v>29506</v>
      </c>
      <c r="G34">
        <v>5</v>
      </c>
      <c r="H34">
        <v>28</v>
      </c>
      <c r="I34">
        <v>1112258.18</v>
      </c>
      <c r="J34" t="s">
        <v>37</v>
      </c>
      <c r="K34" t="s">
        <v>16</v>
      </c>
      <c r="L34">
        <f t="shared" ref="L34:L65" si="1">SUMIF(C:C,C34,F:F)</f>
        <v>1427472</v>
      </c>
    </row>
    <row r="35" spans="1:12" x14ac:dyDescent="0.3">
      <c r="A35" t="s">
        <v>227</v>
      </c>
      <c r="B35" t="s">
        <v>42</v>
      </c>
      <c r="C35" t="s">
        <v>35</v>
      </c>
      <c r="D35" t="s">
        <v>77</v>
      </c>
      <c r="E35">
        <v>29</v>
      </c>
      <c r="F35">
        <v>77419</v>
      </c>
      <c r="G35">
        <v>0</v>
      </c>
      <c r="H35">
        <v>18</v>
      </c>
      <c r="I35">
        <v>2649278.1800000002</v>
      </c>
      <c r="J35" t="s">
        <v>37</v>
      </c>
      <c r="K35" t="s">
        <v>38</v>
      </c>
      <c r="L35">
        <f t="shared" si="1"/>
        <v>1427472</v>
      </c>
    </row>
    <row r="36" spans="1:12" x14ac:dyDescent="0.3">
      <c r="A36" t="s">
        <v>113</v>
      </c>
      <c r="B36" t="s">
        <v>42</v>
      </c>
      <c r="C36" t="s">
        <v>48</v>
      </c>
      <c r="D36" t="s">
        <v>49</v>
      </c>
      <c r="E36">
        <v>30</v>
      </c>
      <c r="F36">
        <v>31131</v>
      </c>
      <c r="G36">
        <v>12</v>
      </c>
      <c r="H36">
        <v>12</v>
      </c>
      <c r="I36">
        <v>920481.41</v>
      </c>
      <c r="J36" t="s">
        <v>15</v>
      </c>
      <c r="K36" t="s">
        <v>38</v>
      </c>
      <c r="L36">
        <f t="shared" si="1"/>
        <v>654187</v>
      </c>
    </row>
    <row r="37" spans="1:12" x14ac:dyDescent="0.3">
      <c r="A37" t="s">
        <v>198</v>
      </c>
      <c r="B37" t="s">
        <v>42</v>
      </c>
      <c r="C37" t="s">
        <v>24</v>
      </c>
      <c r="D37" t="s">
        <v>25</v>
      </c>
      <c r="E37">
        <v>2</v>
      </c>
      <c r="F37">
        <v>52373</v>
      </c>
      <c r="G37">
        <v>10</v>
      </c>
      <c r="H37">
        <v>12</v>
      </c>
      <c r="I37">
        <v>105583.97</v>
      </c>
      <c r="J37" t="s">
        <v>15</v>
      </c>
      <c r="K37" t="s">
        <v>16</v>
      </c>
      <c r="L37">
        <f t="shared" si="1"/>
        <v>746789</v>
      </c>
    </row>
    <row r="38" spans="1:12" x14ac:dyDescent="0.3">
      <c r="A38" t="s">
        <v>117</v>
      </c>
      <c r="B38" t="s">
        <v>42</v>
      </c>
      <c r="C38" t="s">
        <v>24</v>
      </c>
      <c r="D38" t="s">
        <v>40</v>
      </c>
      <c r="E38">
        <v>14</v>
      </c>
      <c r="F38">
        <v>76885</v>
      </c>
      <c r="G38">
        <v>5</v>
      </c>
      <c r="H38">
        <v>18</v>
      </c>
      <c r="I38">
        <v>1206633.19</v>
      </c>
      <c r="J38" t="s">
        <v>46</v>
      </c>
      <c r="K38" t="s">
        <v>26</v>
      </c>
      <c r="L38">
        <f t="shared" si="1"/>
        <v>746789</v>
      </c>
    </row>
    <row r="39" spans="1:12" x14ac:dyDescent="0.3">
      <c r="A39" t="s">
        <v>170</v>
      </c>
      <c r="B39" t="s">
        <v>42</v>
      </c>
      <c r="C39" t="s">
        <v>35</v>
      </c>
      <c r="D39" t="s">
        <v>36</v>
      </c>
      <c r="E39">
        <v>22</v>
      </c>
      <c r="F39">
        <v>51906</v>
      </c>
      <c r="G39">
        <v>5</v>
      </c>
      <c r="H39">
        <v>18</v>
      </c>
      <c r="I39">
        <v>1280105.77</v>
      </c>
      <c r="J39" t="s">
        <v>46</v>
      </c>
      <c r="K39" t="s">
        <v>38</v>
      </c>
      <c r="L39">
        <f t="shared" si="1"/>
        <v>1427472</v>
      </c>
    </row>
    <row r="40" spans="1:12" x14ac:dyDescent="0.3">
      <c r="A40" t="s">
        <v>195</v>
      </c>
      <c r="B40" t="s">
        <v>42</v>
      </c>
      <c r="C40" t="s">
        <v>13</v>
      </c>
      <c r="D40" t="s">
        <v>14</v>
      </c>
      <c r="E40">
        <v>37</v>
      </c>
      <c r="F40">
        <v>42369</v>
      </c>
      <c r="G40">
        <v>5</v>
      </c>
      <c r="H40">
        <v>18</v>
      </c>
      <c r="I40">
        <v>1757339.01</v>
      </c>
      <c r="J40" t="s">
        <v>15</v>
      </c>
      <c r="K40" t="s">
        <v>26</v>
      </c>
      <c r="L40">
        <f t="shared" si="1"/>
        <v>621136</v>
      </c>
    </row>
    <row r="41" spans="1:12" x14ac:dyDescent="0.3">
      <c r="A41" t="s">
        <v>103</v>
      </c>
      <c r="B41" t="s">
        <v>42</v>
      </c>
      <c r="C41" t="s">
        <v>19</v>
      </c>
      <c r="D41" t="s">
        <v>20</v>
      </c>
      <c r="E41">
        <v>36</v>
      </c>
      <c r="F41">
        <v>60238</v>
      </c>
      <c r="G41">
        <v>0</v>
      </c>
      <c r="H41">
        <v>18</v>
      </c>
      <c r="I41">
        <v>2558910.2400000002</v>
      </c>
      <c r="J41" t="s">
        <v>21</v>
      </c>
      <c r="K41" t="s">
        <v>16</v>
      </c>
      <c r="L41">
        <f t="shared" si="1"/>
        <v>132335</v>
      </c>
    </row>
    <row r="42" spans="1:12" x14ac:dyDescent="0.3">
      <c r="A42" t="s">
        <v>180</v>
      </c>
      <c r="B42" t="s">
        <v>42</v>
      </c>
      <c r="C42" t="s">
        <v>19</v>
      </c>
      <c r="D42" t="s">
        <v>20</v>
      </c>
      <c r="E42">
        <v>5</v>
      </c>
      <c r="F42">
        <v>36434</v>
      </c>
      <c r="G42">
        <v>5</v>
      </c>
      <c r="H42">
        <v>18</v>
      </c>
      <c r="I42">
        <v>204212.57</v>
      </c>
      <c r="J42" t="s">
        <v>37</v>
      </c>
      <c r="K42" t="s">
        <v>16</v>
      </c>
      <c r="L42">
        <f t="shared" si="1"/>
        <v>132335</v>
      </c>
    </row>
    <row r="43" spans="1:12" x14ac:dyDescent="0.3">
      <c r="A43" t="s">
        <v>171</v>
      </c>
      <c r="B43" t="s">
        <v>42</v>
      </c>
      <c r="C43" t="s">
        <v>13</v>
      </c>
      <c r="D43" t="s">
        <v>14</v>
      </c>
      <c r="E43">
        <v>36</v>
      </c>
      <c r="F43">
        <v>11076</v>
      </c>
      <c r="G43">
        <v>12</v>
      </c>
      <c r="H43">
        <v>18</v>
      </c>
      <c r="I43">
        <v>414047.46</v>
      </c>
      <c r="J43" t="s">
        <v>15</v>
      </c>
      <c r="K43" t="s">
        <v>33</v>
      </c>
      <c r="L43">
        <f t="shared" si="1"/>
        <v>621136</v>
      </c>
    </row>
    <row r="44" spans="1:12" x14ac:dyDescent="0.3">
      <c r="A44" t="s">
        <v>216</v>
      </c>
      <c r="B44" t="s">
        <v>42</v>
      </c>
      <c r="C44" t="s">
        <v>48</v>
      </c>
      <c r="D44" t="s">
        <v>49</v>
      </c>
      <c r="E44">
        <v>8</v>
      </c>
      <c r="F44">
        <v>58566</v>
      </c>
      <c r="G44">
        <v>0</v>
      </c>
      <c r="H44">
        <v>12</v>
      </c>
      <c r="I44">
        <v>524751.35999999999</v>
      </c>
      <c r="J44" t="s">
        <v>37</v>
      </c>
      <c r="K44" t="s">
        <v>16</v>
      </c>
      <c r="L44">
        <f t="shared" si="1"/>
        <v>654187</v>
      </c>
    </row>
    <row r="45" spans="1:12" x14ac:dyDescent="0.3">
      <c r="A45" t="s">
        <v>104</v>
      </c>
      <c r="B45" t="s">
        <v>42</v>
      </c>
      <c r="C45" t="s">
        <v>35</v>
      </c>
      <c r="D45" t="s">
        <v>77</v>
      </c>
      <c r="E45">
        <v>20</v>
      </c>
      <c r="F45">
        <v>14349</v>
      </c>
      <c r="G45">
        <v>10</v>
      </c>
      <c r="H45">
        <v>28</v>
      </c>
      <c r="I45">
        <v>330600.96000000002</v>
      </c>
      <c r="J45" t="s">
        <v>46</v>
      </c>
      <c r="K45" t="s">
        <v>16</v>
      </c>
      <c r="L45">
        <f t="shared" si="1"/>
        <v>1427472</v>
      </c>
    </row>
    <row r="46" spans="1:12" x14ac:dyDescent="0.3">
      <c r="A46" t="s">
        <v>132</v>
      </c>
      <c r="B46" t="s">
        <v>42</v>
      </c>
      <c r="C46" t="s">
        <v>29</v>
      </c>
      <c r="D46" t="s">
        <v>30</v>
      </c>
      <c r="E46">
        <v>3</v>
      </c>
      <c r="F46">
        <v>54239</v>
      </c>
      <c r="G46">
        <v>0</v>
      </c>
      <c r="H46">
        <v>12</v>
      </c>
      <c r="I46">
        <v>182243.04</v>
      </c>
      <c r="J46" t="s">
        <v>21</v>
      </c>
      <c r="K46" t="s">
        <v>33</v>
      </c>
      <c r="L46">
        <f t="shared" si="1"/>
        <v>436163</v>
      </c>
    </row>
    <row r="47" spans="1:12" x14ac:dyDescent="0.3">
      <c r="A47" t="s">
        <v>66</v>
      </c>
      <c r="B47" t="s">
        <v>42</v>
      </c>
      <c r="C47" t="s">
        <v>35</v>
      </c>
      <c r="D47" t="s">
        <v>77</v>
      </c>
      <c r="E47">
        <v>29</v>
      </c>
      <c r="F47">
        <v>51059</v>
      </c>
      <c r="G47">
        <v>5</v>
      </c>
      <c r="H47">
        <v>28</v>
      </c>
      <c r="I47">
        <v>1800544.58</v>
      </c>
      <c r="J47" t="s">
        <v>21</v>
      </c>
      <c r="K47" t="s">
        <v>26</v>
      </c>
      <c r="L47">
        <f t="shared" si="1"/>
        <v>1427472</v>
      </c>
    </row>
    <row r="48" spans="1:12" x14ac:dyDescent="0.3">
      <c r="A48" t="s">
        <v>152</v>
      </c>
      <c r="B48" t="s">
        <v>42</v>
      </c>
      <c r="C48" t="s">
        <v>35</v>
      </c>
      <c r="D48" t="s">
        <v>56</v>
      </c>
      <c r="E48">
        <v>2</v>
      </c>
      <c r="F48">
        <v>31548</v>
      </c>
      <c r="G48">
        <v>10</v>
      </c>
      <c r="H48">
        <v>12</v>
      </c>
      <c r="I48">
        <v>63600.77</v>
      </c>
      <c r="J48" t="s">
        <v>21</v>
      </c>
      <c r="K48" t="s">
        <v>33</v>
      </c>
      <c r="L48">
        <f t="shared" si="1"/>
        <v>1427472</v>
      </c>
    </row>
    <row r="49" spans="1:12" x14ac:dyDescent="0.3">
      <c r="A49" t="s">
        <v>162</v>
      </c>
      <c r="B49" t="s">
        <v>42</v>
      </c>
      <c r="C49" t="s">
        <v>35</v>
      </c>
      <c r="D49" t="s">
        <v>56</v>
      </c>
      <c r="E49">
        <v>24</v>
      </c>
      <c r="F49">
        <v>54564</v>
      </c>
      <c r="G49">
        <v>12</v>
      </c>
      <c r="H49">
        <v>18</v>
      </c>
      <c r="I49">
        <v>1359822.18</v>
      </c>
      <c r="J49" t="s">
        <v>15</v>
      </c>
      <c r="K49" t="s">
        <v>26</v>
      </c>
      <c r="L49">
        <f t="shared" si="1"/>
        <v>1427472</v>
      </c>
    </row>
    <row r="50" spans="1:12" x14ac:dyDescent="0.3">
      <c r="A50" t="s">
        <v>152</v>
      </c>
      <c r="B50" t="s">
        <v>42</v>
      </c>
      <c r="C50" t="s">
        <v>62</v>
      </c>
      <c r="D50" t="s">
        <v>63</v>
      </c>
      <c r="E50">
        <v>22</v>
      </c>
      <c r="F50">
        <v>69430</v>
      </c>
      <c r="G50">
        <v>10</v>
      </c>
      <c r="H50">
        <v>12</v>
      </c>
      <c r="I50">
        <v>1539679.68</v>
      </c>
      <c r="J50" t="s">
        <v>37</v>
      </c>
      <c r="K50" t="s">
        <v>38</v>
      </c>
      <c r="L50">
        <f t="shared" si="1"/>
        <v>328117</v>
      </c>
    </row>
    <row r="51" spans="1:12" x14ac:dyDescent="0.3">
      <c r="A51" t="s">
        <v>219</v>
      </c>
      <c r="B51" t="s">
        <v>42</v>
      </c>
      <c r="C51" t="s">
        <v>48</v>
      </c>
      <c r="D51" t="s">
        <v>49</v>
      </c>
      <c r="E51">
        <v>39</v>
      </c>
      <c r="F51">
        <v>11400</v>
      </c>
      <c r="G51">
        <v>5</v>
      </c>
      <c r="H51">
        <v>28</v>
      </c>
      <c r="I51">
        <v>540633.59999999998</v>
      </c>
      <c r="J51" t="s">
        <v>46</v>
      </c>
      <c r="K51" t="s">
        <v>33</v>
      </c>
      <c r="L51">
        <f t="shared" si="1"/>
        <v>654187</v>
      </c>
    </row>
    <row r="52" spans="1:12" x14ac:dyDescent="0.3">
      <c r="A52" t="s">
        <v>64</v>
      </c>
      <c r="B52" t="s">
        <v>42</v>
      </c>
      <c r="C52" t="s">
        <v>48</v>
      </c>
      <c r="D52" t="s">
        <v>49</v>
      </c>
      <c r="E52">
        <v>23</v>
      </c>
      <c r="F52">
        <v>74329</v>
      </c>
      <c r="G52">
        <v>5</v>
      </c>
      <c r="H52">
        <v>18</v>
      </c>
      <c r="I52">
        <v>1916424.61</v>
      </c>
      <c r="J52" t="s">
        <v>21</v>
      </c>
      <c r="K52" t="s">
        <v>38</v>
      </c>
      <c r="L52">
        <f t="shared" si="1"/>
        <v>654187</v>
      </c>
    </row>
    <row r="53" spans="1:12" x14ac:dyDescent="0.3">
      <c r="A53" t="s">
        <v>103</v>
      </c>
      <c r="B53" t="s">
        <v>42</v>
      </c>
      <c r="C53" t="s">
        <v>13</v>
      </c>
      <c r="D53" t="s">
        <v>14</v>
      </c>
      <c r="E53">
        <v>21</v>
      </c>
      <c r="F53">
        <v>51281</v>
      </c>
      <c r="G53">
        <v>10</v>
      </c>
      <c r="H53">
        <v>28</v>
      </c>
      <c r="I53">
        <v>1240589.95</v>
      </c>
      <c r="J53" t="s">
        <v>37</v>
      </c>
      <c r="K53" t="s">
        <v>38</v>
      </c>
      <c r="L53">
        <f t="shared" si="1"/>
        <v>621136</v>
      </c>
    </row>
    <row r="54" spans="1:12" x14ac:dyDescent="0.3">
      <c r="A54" t="s">
        <v>88</v>
      </c>
      <c r="B54" t="s">
        <v>42</v>
      </c>
      <c r="C54" t="s">
        <v>24</v>
      </c>
      <c r="D54" t="s">
        <v>40</v>
      </c>
      <c r="E54">
        <v>39</v>
      </c>
      <c r="F54">
        <v>82997</v>
      </c>
      <c r="G54">
        <v>0</v>
      </c>
      <c r="H54">
        <v>12</v>
      </c>
      <c r="I54">
        <v>3625308.96</v>
      </c>
      <c r="J54" t="s">
        <v>37</v>
      </c>
      <c r="K54" t="s">
        <v>33</v>
      </c>
      <c r="L54">
        <f t="shared" si="1"/>
        <v>746789</v>
      </c>
    </row>
    <row r="55" spans="1:12" x14ac:dyDescent="0.3">
      <c r="A55" t="s">
        <v>212</v>
      </c>
      <c r="B55" t="s">
        <v>42</v>
      </c>
      <c r="C55" t="s">
        <v>35</v>
      </c>
      <c r="D55" t="s">
        <v>56</v>
      </c>
      <c r="E55">
        <v>10</v>
      </c>
      <c r="F55">
        <v>29556</v>
      </c>
      <c r="G55">
        <v>10</v>
      </c>
      <c r="H55">
        <v>18</v>
      </c>
      <c r="I55">
        <v>313884.71999999997</v>
      </c>
      <c r="J55" t="s">
        <v>46</v>
      </c>
      <c r="K55" t="s">
        <v>38</v>
      </c>
      <c r="L55">
        <f t="shared" si="1"/>
        <v>1427472</v>
      </c>
    </row>
    <row r="56" spans="1:12" x14ac:dyDescent="0.3">
      <c r="A56" t="s">
        <v>183</v>
      </c>
      <c r="B56" t="s">
        <v>42</v>
      </c>
      <c r="C56" t="s">
        <v>24</v>
      </c>
      <c r="D56" t="s">
        <v>40</v>
      </c>
      <c r="E56">
        <v>11</v>
      </c>
      <c r="F56">
        <v>34780</v>
      </c>
      <c r="G56">
        <v>5</v>
      </c>
      <c r="H56">
        <v>18</v>
      </c>
      <c r="I56">
        <v>428872.18</v>
      </c>
      <c r="J56" t="s">
        <v>37</v>
      </c>
      <c r="K56" t="s">
        <v>38</v>
      </c>
      <c r="L56">
        <f t="shared" si="1"/>
        <v>746789</v>
      </c>
    </row>
    <row r="57" spans="1:12" x14ac:dyDescent="0.3">
      <c r="A57" t="s">
        <v>123</v>
      </c>
      <c r="B57" t="s">
        <v>42</v>
      </c>
      <c r="C57" t="s">
        <v>62</v>
      </c>
      <c r="D57" t="s">
        <v>92</v>
      </c>
      <c r="E57">
        <v>40</v>
      </c>
      <c r="F57">
        <v>21185</v>
      </c>
      <c r="G57">
        <v>5</v>
      </c>
      <c r="H57">
        <v>28</v>
      </c>
      <c r="I57">
        <v>1030438.4</v>
      </c>
      <c r="J57" t="s">
        <v>46</v>
      </c>
      <c r="K57" t="s">
        <v>26</v>
      </c>
      <c r="L57">
        <f t="shared" si="1"/>
        <v>328117</v>
      </c>
    </row>
    <row r="58" spans="1:12" x14ac:dyDescent="0.3">
      <c r="A58" t="s">
        <v>181</v>
      </c>
      <c r="B58" t="s">
        <v>42</v>
      </c>
      <c r="C58" t="s">
        <v>24</v>
      </c>
      <c r="D58" t="s">
        <v>76</v>
      </c>
      <c r="E58">
        <v>4</v>
      </c>
      <c r="F58">
        <v>26825</v>
      </c>
      <c r="G58">
        <v>12</v>
      </c>
      <c r="H58">
        <v>18</v>
      </c>
      <c r="I58">
        <v>111420.32</v>
      </c>
      <c r="J58" t="s">
        <v>21</v>
      </c>
      <c r="K58" t="s">
        <v>33</v>
      </c>
      <c r="L58">
        <f t="shared" si="1"/>
        <v>746789</v>
      </c>
    </row>
    <row r="59" spans="1:12" x14ac:dyDescent="0.3">
      <c r="A59" t="s">
        <v>173</v>
      </c>
      <c r="B59" t="s">
        <v>42</v>
      </c>
      <c r="C59" t="s">
        <v>35</v>
      </c>
      <c r="D59" t="s">
        <v>36</v>
      </c>
      <c r="E59">
        <v>31</v>
      </c>
      <c r="F59">
        <v>67576</v>
      </c>
      <c r="G59">
        <v>12</v>
      </c>
      <c r="H59">
        <v>28</v>
      </c>
      <c r="I59">
        <v>2359645.7999999998</v>
      </c>
      <c r="J59" t="s">
        <v>21</v>
      </c>
      <c r="K59" t="s">
        <v>26</v>
      </c>
      <c r="L59">
        <f t="shared" si="1"/>
        <v>1427472</v>
      </c>
    </row>
    <row r="60" spans="1:12" x14ac:dyDescent="0.3">
      <c r="A60" t="s">
        <v>101</v>
      </c>
      <c r="B60" t="s">
        <v>42</v>
      </c>
      <c r="C60" t="s">
        <v>24</v>
      </c>
      <c r="D60" t="s">
        <v>76</v>
      </c>
      <c r="E60">
        <v>40</v>
      </c>
      <c r="F60">
        <v>25302</v>
      </c>
      <c r="G60">
        <v>0</v>
      </c>
      <c r="H60">
        <v>18</v>
      </c>
      <c r="I60">
        <v>1194254.3999999999</v>
      </c>
      <c r="J60" t="s">
        <v>15</v>
      </c>
      <c r="K60" t="s">
        <v>33</v>
      </c>
      <c r="L60">
        <f t="shared" si="1"/>
        <v>746789</v>
      </c>
    </row>
    <row r="61" spans="1:12" x14ac:dyDescent="0.3">
      <c r="A61" t="s">
        <v>97</v>
      </c>
      <c r="B61" t="s">
        <v>42</v>
      </c>
      <c r="C61" t="s">
        <v>35</v>
      </c>
      <c r="D61" t="s">
        <v>77</v>
      </c>
      <c r="E61">
        <v>19</v>
      </c>
      <c r="F61">
        <v>79624</v>
      </c>
      <c r="G61">
        <v>5</v>
      </c>
      <c r="H61">
        <v>28</v>
      </c>
      <c r="I61">
        <v>1839632.9</v>
      </c>
      <c r="J61" t="s">
        <v>46</v>
      </c>
      <c r="K61" t="s">
        <v>33</v>
      </c>
      <c r="L61">
        <f t="shared" si="1"/>
        <v>1427472</v>
      </c>
    </row>
    <row r="62" spans="1:12" x14ac:dyDescent="0.3">
      <c r="A62" t="s">
        <v>64</v>
      </c>
      <c r="B62" t="s">
        <v>42</v>
      </c>
      <c r="C62" t="s">
        <v>24</v>
      </c>
      <c r="D62" t="s">
        <v>76</v>
      </c>
      <c r="E62">
        <v>27</v>
      </c>
      <c r="F62">
        <v>24129</v>
      </c>
      <c r="G62">
        <v>10</v>
      </c>
      <c r="H62">
        <v>18</v>
      </c>
      <c r="I62">
        <v>691874.95</v>
      </c>
      <c r="J62" t="s">
        <v>37</v>
      </c>
      <c r="K62" t="s">
        <v>33</v>
      </c>
      <c r="L62">
        <f t="shared" si="1"/>
        <v>746789</v>
      </c>
    </row>
    <row r="63" spans="1:12" x14ac:dyDescent="0.3">
      <c r="A63" t="s">
        <v>211</v>
      </c>
      <c r="B63" t="s">
        <v>42</v>
      </c>
      <c r="C63" t="s">
        <v>24</v>
      </c>
      <c r="D63" t="s">
        <v>25</v>
      </c>
      <c r="E63">
        <v>5</v>
      </c>
      <c r="F63">
        <v>83370</v>
      </c>
      <c r="G63">
        <v>0</v>
      </c>
      <c r="H63">
        <v>28</v>
      </c>
      <c r="I63">
        <v>533568</v>
      </c>
      <c r="J63" t="s">
        <v>46</v>
      </c>
      <c r="K63" t="s">
        <v>26</v>
      </c>
      <c r="L63">
        <f t="shared" si="1"/>
        <v>746789</v>
      </c>
    </row>
    <row r="64" spans="1:12" x14ac:dyDescent="0.3">
      <c r="A64" t="s">
        <v>231</v>
      </c>
      <c r="B64" t="s">
        <v>42</v>
      </c>
      <c r="C64" t="s">
        <v>24</v>
      </c>
      <c r="D64" t="s">
        <v>25</v>
      </c>
      <c r="E64">
        <v>36</v>
      </c>
      <c r="F64">
        <v>29278</v>
      </c>
      <c r="G64">
        <v>0</v>
      </c>
      <c r="H64">
        <v>18</v>
      </c>
      <c r="I64">
        <v>1243729.44</v>
      </c>
      <c r="J64" t="s">
        <v>46</v>
      </c>
      <c r="K64" t="s">
        <v>16</v>
      </c>
      <c r="L64">
        <f t="shared" si="1"/>
        <v>746789</v>
      </c>
    </row>
    <row r="65" spans="1:12" x14ac:dyDescent="0.3">
      <c r="A65" t="s">
        <v>164</v>
      </c>
      <c r="B65" t="s">
        <v>42</v>
      </c>
      <c r="C65" t="s">
        <v>35</v>
      </c>
      <c r="D65" t="s">
        <v>56</v>
      </c>
      <c r="E65">
        <v>7</v>
      </c>
      <c r="F65">
        <v>36781</v>
      </c>
      <c r="G65">
        <v>0</v>
      </c>
      <c r="H65">
        <v>18</v>
      </c>
      <c r="I65">
        <v>303811.06</v>
      </c>
      <c r="J65" t="s">
        <v>46</v>
      </c>
      <c r="K65" t="s">
        <v>26</v>
      </c>
      <c r="L65">
        <f t="shared" si="1"/>
        <v>1427472</v>
      </c>
    </row>
    <row r="66" spans="1:12" x14ac:dyDescent="0.3">
      <c r="A66" t="s">
        <v>126</v>
      </c>
      <c r="B66" t="s">
        <v>42</v>
      </c>
      <c r="C66" t="s">
        <v>35</v>
      </c>
      <c r="D66" t="s">
        <v>36</v>
      </c>
      <c r="E66">
        <v>36</v>
      </c>
      <c r="F66">
        <v>6383</v>
      </c>
      <c r="G66">
        <v>5</v>
      </c>
      <c r="H66">
        <v>28</v>
      </c>
      <c r="I66">
        <v>279422.21000000002</v>
      </c>
      <c r="J66" t="s">
        <v>21</v>
      </c>
      <c r="K66" t="s">
        <v>38</v>
      </c>
      <c r="L66">
        <f t="shared" ref="L66:L97" si="2">SUMIF(C:C,C66,F:F)</f>
        <v>1427472</v>
      </c>
    </row>
    <row r="67" spans="1:12" x14ac:dyDescent="0.3">
      <c r="A67" t="s">
        <v>75</v>
      </c>
      <c r="B67" t="s">
        <v>42</v>
      </c>
      <c r="C67" t="s">
        <v>13</v>
      </c>
      <c r="D67" t="s">
        <v>14</v>
      </c>
      <c r="E67">
        <v>25</v>
      </c>
      <c r="F67">
        <v>48058</v>
      </c>
      <c r="G67">
        <v>10</v>
      </c>
      <c r="H67">
        <v>12</v>
      </c>
      <c r="I67">
        <v>1211061.6000000001</v>
      </c>
      <c r="J67" t="s">
        <v>37</v>
      </c>
      <c r="K67" t="s">
        <v>16</v>
      </c>
      <c r="L67">
        <f t="shared" si="2"/>
        <v>621136</v>
      </c>
    </row>
    <row r="68" spans="1:12" x14ac:dyDescent="0.3">
      <c r="A68" t="s">
        <v>218</v>
      </c>
      <c r="B68" t="s">
        <v>42</v>
      </c>
      <c r="C68" t="s">
        <v>48</v>
      </c>
      <c r="D68" t="s">
        <v>59</v>
      </c>
      <c r="E68">
        <v>11</v>
      </c>
      <c r="F68">
        <v>73281</v>
      </c>
      <c r="G68">
        <v>5</v>
      </c>
      <c r="H68">
        <v>12</v>
      </c>
      <c r="I68">
        <v>857680.82</v>
      </c>
      <c r="J68" t="s">
        <v>21</v>
      </c>
      <c r="K68" t="s">
        <v>16</v>
      </c>
      <c r="L68">
        <f t="shared" si="2"/>
        <v>654187</v>
      </c>
    </row>
    <row r="69" spans="1:12" x14ac:dyDescent="0.3">
      <c r="A69" t="s">
        <v>194</v>
      </c>
      <c r="B69" t="s">
        <v>42</v>
      </c>
      <c r="C69" t="s">
        <v>48</v>
      </c>
      <c r="D69" t="s">
        <v>49</v>
      </c>
      <c r="E69">
        <v>26</v>
      </c>
      <c r="F69">
        <v>45768</v>
      </c>
      <c r="G69">
        <v>10</v>
      </c>
      <c r="H69">
        <v>28</v>
      </c>
      <c r="I69">
        <v>1370843.14</v>
      </c>
      <c r="J69" t="s">
        <v>15</v>
      </c>
      <c r="K69" t="s">
        <v>26</v>
      </c>
      <c r="L69">
        <f t="shared" si="2"/>
        <v>654187</v>
      </c>
    </row>
    <row r="70" spans="1:12" x14ac:dyDescent="0.3">
      <c r="A70" t="s">
        <v>55</v>
      </c>
      <c r="B70" t="s">
        <v>42</v>
      </c>
      <c r="C70" t="s">
        <v>13</v>
      </c>
      <c r="D70" t="s">
        <v>14</v>
      </c>
      <c r="E70">
        <v>32</v>
      </c>
      <c r="F70">
        <v>15401</v>
      </c>
      <c r="G70">
        <v>10</v>
      </c>
      <c r="H70">
        <v>12</v>
      </c>
      <c r="I70">
        <v>496774.66</v>
      </c>
      <c r="J70" t="s">
        <v>37</v>
      </c>
      <c r="K70" t="s">
        <v>33</v>
      </c>
      <c r="L70">
        <f t="shared" si="2"/>
        <v>621136</v>
      </c>
    </row>
    <row r="71" spans="1:12" x14ac:dyDescent="0.3">
      <c r="A71" t="s">
        <v>179</v>
      </c>
      <c r="B71" t="s">
        <v>42</v>
      </c>
      <c r="C71" t="s">
        <v>13</v>
      </c>
      <c r="D71" t="s">
        <v>32</v>
      </c>
      <c r="E71">
        <v>27</v>
      </c>
      <c r="F71">
        <v>63740</v>
      </c>
      <c r="G71">
        <v>5</v>
      </c>
      <c r="H71">
        <v>18</v>
      </c>
      <c r="I71">
        <v>1929218.58</v>
      </c>
      <c r="J71" t="s">
        <v>21</v>
      </c>
      <c r="K71" t="s">
        <v>26</v>
      </c>
      <c r="L71">
        <f t="shared" si="2"/>
        <v>621136</v>
      </c>
    </row>
    <row r="72" spans="1:12" x14ac:dyDescent="0.3">
      <c r="A72" t="s">
        <v>163</v>
      </c>
      <c r="B72" t="s">
        <v>42</v>
      </c>
      <c r="C72" t="s">
        <v>44</v>
      </c>
      <c r="D72" t="s">
        <v>45</v>
      </c>
      <c r="E72">
        <v>11</v>
      </c>
      <c r="F72">
        <v>32770</v>
      </c>
      <c r="G72">
        <v>5</v>
      </c>
      <c r="H72">
        <v>12</v>
      </c>
      <c r="I72">
        <v>383540.08</v>
      </c>
      <c r="J72" t="s">
        <v>46</v>
      </c>
      <c r="K72" t="s">
        <v>33</v>
      </c>
      <c r="L72">
        <f t="shared" si="2"/>
        <v>778340</v>
      </c>
    </row>
    <row r="73" spans="1:12" x14ac:dyDescent="0.3">
      <c r="A73" t="s">
        <v>61</v>
      </c>
      <c r="B73" t="s">
        <v>42</v>
      </c>
      <c r="C73" t="s">
        <v>24</v>
      </c>
      <c r="D73" t="s">
        <v>76</v>
      </c>
      <c r="E73">
        <v>32</v>
      </c>
      <c r="F73">
        <v>60275</v>
      </c>
      <c r="G73">
        <v>10</v>
      </c>
      <c r="H73">
        <v>12</v>
      </c>
      <c r="I73">
        <v>1944230.4</v>
      </c>
      <c r="J73" t="s">
        <v>15</v>
      </c>
      <c r="K73" t="s">
        <v>33</v>
      </c>
      <c r="L73">
        <f t="shared" si="2"/>
        <v>746789</v>
      </c>
    </row>
    <row r="74" spans="1:12" x14ac:dyDescent="0.3">
      <c r="A74" t="s">
        <v>163</v>
      </c>
      <c r="B74" t="s">
        <v>42</v>
      </c>
      <c r="C74" t="s">
        <v>35</v>
      </c>
      <c r="D74" t="s">
        <v>36</v>
      </c>
      <c r="E74">
        <v>7</v>
      </c>
      <c r="F74">
        <v>28582</v>
      </c>
      <c r="G74">
        <v>10</v>
      </c>
      <c r="H74">
        <v>28</v>
      </c>
      <c r="I74">
        <v>230485.25</v>
      </c>
      <c r="J74" t="s">
        <v>46</v>
      </c>
      <c r="K74" t="s">
        <v>26</v>
      </c>
      <c r="L74">
        <f t="shared" si="2"/>
        <v>1427472</v>
      </c>
    </row>
    <row r="75" spans="1:12" x14ac:dyDescent="0.3">
      <c r="A75" t="s">
        <v>126</v>
      </c>
      <c r="B75" t="s">
        <v>42</v>
      </c>
      <c r="C75" t="s">
        <v>35</v>
      </c>
      <c r="D75" t="s">
        <v>77</v>
      </c>
      <c r="E75">
        <v>6</v>
      </c>
      <c r="F75">
        <v>67519</v>
      </c>
      <c r="G75">
        <v>12</v>
      </c>
      <c r="H75">
        <v>18</v>
      </c>
      <c r="I75">
        <v>420670.38</v>
      </c>
      <c r="J75" t="s">
        <v>15</v>
      </c>
      <c r="K75" t="s">
        <v>16</v>
      </c>
      <c r="L75">
        <f t="shared" si="2"/>
        <v>1427472</v>
      </c>
    </row>
    <row r="76" spans="1:12" x14ac:dyDescent="0.3">
      <c r="A76" t="s">
        <v>213</v>
      </c>
      <c r="B76" t="s">
        <v>42</v>
      </c>
      <c r="C76" t="s">
        <v>35</v>
      </c>
      <c r="D76" t="s">
        <v>56</v>
      </c>
      <c r="E76">
        <v>10</v>
      </c>
      <c r="F76">
        <v>62495</v>
      </c>
      <c r="G76">
        <v>10</v>
      </c>
      <c r="H76">
        <v>28</v>
      </c>
      <c r="I76">
        <v>719942.4</v>
      </c>
      <c r="J76" t="s">
        <v>46</v>
      </c>
      <c r="K76" t="s">
        <v>38</v>
      </c>
      <c r="L76">
        <f t="shared" si="2"/>
        <v>1427472</v>
      </c>
    </row>
    <row r="77" spans="1:12" x14ac:dyDescent="0.3">
      <c r="A77" t="s">
        <v>169</v>
      </c>
      <c r="B77" t="s">
        <v>42</v>
      </c>
      <c r="C77" t="s">
        <v>29</v>
      </c>
      <c r="D77" t="s">
        <v>30</v>
      </c>
      <c r="E77">
        <v>25</v>
      </c>
      <c r="F77">
        <v>56299</v>
      </c>
      <c r="G77">
        <v>12</v>
      </c>
      <c r="H77">
        <v>12</v>
      </c>
      <c r="I77">
        <v>1387207.36</v>
      </c>
      <c r="J77" t="s">
        <v>15</v>
      </c>
      <c r="K77" t="s">
        <v>16</v>
      </c>
      <c r="L77">
        <f t="shared" si="2"/>
        <v>436163</v>
      </c>
    </row>
    <row r="78" spans="1:12" x14ac:dyDescent="0.3">
      <c r="A78" t="s">
        <v>207</v>
      </c>
      <c r="B78" t="s">
        <v>42</v>
      </c>
      <c r="C78" t="s">
        <v>19</v>
      </c>
      <c r="D78" t="s">
        <v>20</v>
      </c>
      <c r="E78">
        <v>8</v>
      </c>
      <c r="F78">
        <v>19186</v>
      </c>
      <c r="G78">
        <v>12</v>
      </c>
      <c r="H78">
        <v>18</v>
      </c>
      <c r="I78">
        <v>159381.94</v>
      </c>
      <c r="J78" t="s">
        <v>21</v>
      </c>
      <c r="K78" t="s">
        <v>16</v>
      </c>
      <c r="L78">
        <f t="shared" si="2"/>
        <v>132335</v>
      </c>
    </row>
    <row r="79" spans="1:12" x14ac:dyDescent="0.3">
      <c r="A79" t="s">
        <v>73</v>
      </c>
      <c r="B79" t="s">
        <v>42</v>
      </c>
      <c r="C79" t="s">
        <v>24</v>
      </c>
      <c r="D79" t="s">
        <v>40</v>
      </c>
      <c r="E79">
        <v>30</v>
      </c>
      <c r="F79">
        <v>6553</v>
      </c>
      <c r="G79">
        <v>5</v>
      </c>
      <c r="H79">
        <v>18</v>
      </c>
      <c r="I79">
        <v>220377.39</v>
      </c>
      <c r="J79" t="s">
        <v>46</v>
      </c>
      <c r="K79" t="s">
        <v>16</v>
      </c>
      <c r="L79">
        <f t="shared" si="2"/>
        <v>746789</v>
      </c>
    </row>
    <row r="80" spans="1:12" x14ac:dyDescent="0.3">
      <c r="A80" t="s">
        <v>168</v>
      </c>
      <c r="B80" t="s">
        <v>42</v>
      </c>
      <c r="C80" t="s">
        <v>24</v>
      </c>
      <c r="D80" t="s">
        <v>25</v>
      </c>
      <c r="E80">
        <v>16</v>
      </c>
      <c r="F80">
        <v>14566</v>
      </c>
      <c r="G80">
        <v>5</v>
      </c>
      <c r="H80">
        <v>12</v>
      </c>
      <c r="I80">
        <v>247971.58</v>
      </c>
      <c r="J80" t="s">
        <v>15</v>
      </c>
      <c r="K80" t="s">
        <v>26</v>
      </c>
      <c r="L80">
        <f t="shared" si="2"/>
        <v>746789</v>
      </c>
    </row>
    <row r="81" spans="1:12" x14ac:dyDescent="0.3">
      <c r="A81" t="s">
        <v>161</v>
      </c>
      <c r="B81" t="s">
        <v>42</v>
      </c>
      <c r="C81" t="s">
        <v>35</v>
      </c>
      <c r="D81" t="s">
        <v>56</v>
      </c>
      <c r="E81">
        <v>37</v>
      </c>
      <c r="F81">
        <v>79509</v>
      </c>
      <c r="G81">
        <v>10</v>
      </c>
      <c r="H81">
        <v>12</v>
      </c>
      <c r="I81">
        <v>2965367.66</v>
      </c>
      <c r="J81" t="s">
        <v>37</v>
      </c>
      <c r="K81" t="s">
        <v>26</v>
      </c>
      <c r="L81">
        <f t="shared" si="2"/>
        <v>1427472</v>
      </c>
    </row>
    <row r="82" spans="1:12" x14ac:dyDescent="0.3">
      <c r="A82" t="s">
        <v>162</v>
      </c>
      <c r="B82" t="s">
        <v>42</v>
      </c>
      <c r="C82" t="s">
        <v>24</v>
      </c>
      <c r="D82" t="s">
        <v>76</v>
      </c>
      <c r="E82">
        <v>9</v>
      </c>
      <c r="F82">
        <v>17667</v>
      </c>
      <c r="G82">
        <v>12</v>
      </c>
      <c r="H82">
        <v>12</v>
      </c>
      <c r="I82">
        <v>156713.35999999999</v>
      </c>
      <c r="J82" t="s">
        <v>21</v>
      </c>
      <c r="K82" t="s">
        <v>26</v>
      </c>
      <c r="L82">
        <f t="shared" si="2"/>
        <v>746789</v>
      </c>
    </row>
    <row r="83" spans="1:12" x14ac:dyDescent="0.3">
      <c r="A83" t="s">
        <v>160</v>
      </c>
      <c r="B83" t="s">
        <v>42</v>
      </c>
      <c r="C83" t="s">
        <v>35</v>
      </c>
      <c r="D83" t="s">
        <v>36</v>
      </c>
      <c r="E83">
        <v>21</v>
      </c>
      <c r="F83">
        <v>36091</v>
      </c>
      <c r="G83">
        <v>12</v>
      </c>
      <c r="H83">
        <v>12</v>
      </c>
      <c r="I83">
        <v>746997.08</v>
      </c>
      <c r="J83" t="s">
        <v>15</v>
      </c>
      <c r="K83" t="s">
        <v>33</v>
      </c>
      <c r="L83">
        <f t="shared" si="2"/>
        <v>1427472</v>
      </c>
    </row>
    <row r="84" spans="1:12" x14ac:dyDescent="0.3">
      <c r="A84" t="s">
        <v>162</v>
      </c>
      <c r="B84" t="s">
        <v>42</v>
      </c>
      <c r="C84" t="s">
        <v>35</v>
      </c>
      <c r="D84" t="s">
        <v>56</v>
      </c>
      <c r="E84">
        <v>11</v>
      </c>
      <c r="F84">
        <v>13744</v>
      </c>
      <c r="G84">
        <v>0</v>
      </c>
      <c r="H84">
        <v>28</v>
      </c>
      <c r="I84">
        <v>193515.51999999999</v>
      </c>
      <c r="J84" t="s">
        <v>15</v>
      </c>
      <c r="K84" t="s">
        <v>26</v>
      </c>
      <c r="L84">
        <f t="shared" si="2"/>
        <v>1427472</v>
      </c>
    </row>
    <row r="85" spans="1:12" x14ac:dyDescent="0.3">
      <c r="A85" t="s">
        <v>114</v>
      </c>
      <c r="B85" t="s">
        <v>42</v>
      </c>
      <c r="C85" t="s">
        <v>24</v>
      </c>
      <c r="D85" t="s">
        <v>40</v>
      </c>
      <c r="E85">
        <v>17</v>
      </c>
      <c r="F85">
        <v>63316</v>
      </c>
      <c r="G85">
        <v>10</v>
      </c>
      <c r="H85">
        <v>18</v>
      </c>
      <c r="I85">
        <v>1143107.06</v>
      </c>
      <c r="J85" t="s">
        <v>15</v>
      </c>
      <c r="K85" t="s">
        <v>38</v>
      </c>
      <c r="L85">
        <f t="shared" si="2"/>
        <v>746789</v>
      </c>
    </row>
    <row r="86" spans="1:12" x14ac:dyDescent="0.3">
      <c r="A86" t="s">
        <v>163</v>
      </c>
      <c r="B86" t="s">
        <v>42</v>
      </c>
      <c r="C86" t="s">
        <v>35</v>
      </c>
      <c r="D86" t="s">
        <v>36</v>
      </c>
      <c r="E86">
        <v>36</v>
      </c>
      <c r="F86">
        <v>71184</v>
      </c>
      <c r="G86">
        <v>12</v>
      </c>
      <c r="H86">
        <v>12</v>
      </c>
      <c r="I86">
        <v>2525722.21</v>
      </c>
      <c r="J86" t="s">
        <v>21</v>
      </c>
      <c r="K86" t="s">
        <v>16</v>
      </c>
      <c r="L86">
        <f t="shared" si="2"/>
        <v>1427472</v>
      </c>
    </row>
    <row r="87" spans="1:12" x14ac:dyDescent="0.3">
      <c r="A87" t="s">
        <v>219</v>
      </c>
      <c r="B87" t="s">
        <v>42</v>
      </c>
      <c r="C87" t="s">
        <v>35</v>
      </c>
      <c r="D87" t="s">
        <v>36</v>
      </c>
      <c r="E87">
        <v>2</v>
      </c>
      <c r="F87">
        <v>7575</v>
      </c>
      <c r="G87">
        <v>10</v>
      </c>
      <c r="H87">
        <v>28</v>
      </c>
      <c r="I87">
        <v>17452.8</v>
      </c>
      <c r="J87" t="s">
        <v>15</v>
      </c>
      <c r="K87" t="s">
        <v>38</v>
      </c>
      <c r="L87">
        <f t="shared" si="2"/>
        <v>1427472</v>
      </c>
    </row>
    <row r="88" spans="1:12" x14ac:dyDescent="0.3">
      <c r="A88" t="s">
        <v>212</v>
      </c>
      <c r="B88" t="s">
        <v>42</v>
      </c>
      <c r="C88" t="s">
        <v>62</v>
      </c>
      <c r="D88" t="s">
        <v>63</v>
      </c>
      <c r="E88">
        <v>33</v>
      </c>
      <c r="F88">
        <v>24833</v>
      </c>
      <c r="G88">
        <v>12</v>
      </c>
      <c r="H88">
        <v>12</v>
      </c>
      <c r="I88">
        <v>807688.36</v>
      </c>
      <c r="J88" t="s">
        <v>46</v>
      </c>
      <c r="K88" t="s">
        <v>38</v>
      </c>
      <c r="L88">
        <f t="shared" si="2"/>
        <v>328117</v>
      </c>
    </row>
    <row r="89" spans="1:12" x14ac:dyDescent="0.3">
      <c r="A89" t="s">
        <v>223</v>
      </c>
      <c r="B89" t="s">
        <v>42</v>
      </c>
      <c r="C89" t="s">
        <v>13</v>
      </c>
      <c r="D89" t="s">
        <v>14</v>
      </c>
      <c r="E89">
        <v>32</v>
      </c>
      <c r="F89">
        <v>59026</v>
      </c>
      <c r="G89">
        <v>12</v>
      </c>
      <c r="H89">
        <v>12</v>
      </c>
      <c r="I89">
        <v>1861632.82</v>
      </c>
      <c r="J89" t="s">
        <v>46</v>
      </c>
      <c r="K89" t="s">
        <v>26</v>
      </c>
      <c r="L89">
        <f t="shared" si="2"/>
        <v>621136</v>
      </c>
    </row>
    <row r="90" spans="1:12" x14ac:dyDescent="0.3">
      <c r="A90" t="s">
        <v>220</v>
      </c>
      <c r="B90" t="s">
        <v>42</v>
      </c>
      <c r="C90" t="s">
        <v>29</v>
      </c>
      <c r="D90" t="s">
        <v>30</v>
      </c>
      <c r="E90">
        <v>20</v>
      </c>
      <c r="F90">
        <v>82764</v>
      </c>
      <c r="G90">
        <v>5</v>
      </c>
      <c r="H90">
        <v>28</v>
      </c>
      <c r="I90">
        <v>2012820.48</v>
      </c>
      <c r="J90" t="s">
        <v>46</v>
      </c>
      <c r="K90" t="s">
        <v>26</v>
      </c>
      <c r="L90">
        <f t="shared" si="2"/>
        <v>436163</v>
      </c>
    </row>
    <row r="91" spans="1:12" x14ac:dyDescent="0.3">
      <c r="A91" t="s">
        <v>78</v>
      </c>
      <c r="B91" t="s">
        <v>42</v>
      </c>
      <c r="C91" t="s">
        <v>13</v>
      </c>
      <c r="D91" t="s">
        <v>14</v>
      </c>
      <c r="E91">
        <v>11</v>
      </c>
      <c r="F91">
        <v>35962</v>
      </c>
      <c r="G91">
        <v>10</v>
      </c>
      <c r="H91">
        <v>12</v>
      </c>
      <c r="I91">
        <v>398746.66</v>
      </c>
      <c r="J91" t="s">
        <v>15</v>
      </c>
      <c r="K91" t="s">
        <v>33</v>
      </c>
      <c r="L91">
        <f t="shared" si="2"/>
        <v>621136</v>
      </c>
    </row>
    <row r="92" spans="1:12" x14ac:dyDescent="0.3">
      <c r="A92" t="s">
        <v>162</v>
      </c>
      <c r="B92" t="s">
        <v>42</v>
      </c>
      <c r="C92" t="s">
        <v>24</v>
      </c>
      <c r="D92" t="s">
        <v>25</v>
      </c>
      <c r="E92">
        <v>39</v>
      </c>
      <c r="F92">
        <v>51037</v>
      </c>
      <c r="G92">
        <v>12</v>
      </c>
      <c r="H92">
        <v>28</v>
      </c>
      <c r="I92">
        <v>2242035</v>
      </c>
      <c r="J92" t="s">
        <v>46</v>
      </c>
      <c r="K92" t="s">
        <v>33</v>
      </c>
      <c r="L92">
        <f t="shared" si="2"/>
        <v>746789</v>
      </c>
    </row>
    <row r="93" spans="1:12" x14ac:dyDescent="0.3">
      <c r="A93" t="s">
        <v>75</v>
      </c>
      <c r="B93" t="s">
        <v>42</v>
      </c>
      <c r="C93" t="s">
        <v>44</v>
      </c>
      <c r="D93" t="s">
        <v>45</v>
      </c>
      <c r="E93">
        <v>34</v>
      </c>
      <c r="F93">
        <v>84981</v>
      </c>
      <c r="G93">
        <v>12</v>
      </c>
      <c r="H93">
        <v>18</v>
      </c>
      <c r="I93">
        <v>3000305.19</v>
      </c>
      <c r="J93" t="s">
        <v>46</v>
      </c>
      <c r="K93" t="s">
        <v>26</v>
      </c>
      <c r="L93">
        <f t="shared" si="2"/>
        <v>778340</v>
      </c>
    </row>
    <row r="94" spans="1:12" x14ac:dyDescent="0.3">
      <c r="A94" t="s">
        <v>166</v>
      </c>
      <c r="B94" t="s">
        <v>42</v>
      </c>
      <c r="C94" t="s">
        <v>13</v>
      </c>
      <c r="D94" t="s">
        <v>14</v>
      </c>
      <c r="E94">
        <v>20</v>
      </c>
      <c r="F94">
        <v>47942</v>
      </c>
      <c r="G94">
        <v>5</v>
      </c>
      <c r="H94">
        <v>28</v>
      </c>
      <c r="I94">
        <v>1165949.4399999999</v>
      </c>
      <c r="J94" t="s">
        <v>37</v>
      </c>
      <c r="K94" t="s">
        <v>33</v>
      </c>
      <c r="L94">
        <f t="shared" si="2"/>
        <v>621136</v>
      </c>
    </row>
    <row r="95" spans="1:12" x14ac:dyDescent="0.3">
      <c r="A95" t="s">
        <v>125</v>
      </c>
      <c r="B95" t="s">
        <v>42</v>
      </c>
      <c r="C95" t="s">
        <v>44</v>
      </c>
      <c r="D95" t="s">
        <v>45</v>
      </c>
      <c r="E95">
        <v>28</v>
      </c>
      <c r="F95">
        <v>30000</v>
      </c>
      <c r="G95">
        <v>10</v>
      </c>
      <c r="H95">
        <v>18</v>
      </c>
      <c r="I95">
        <v>892080</v>
      </c>
      <c r="J95" t="s">
        <v>46</v>
      </c>
      <c r="K95" t="s">
        <v>26</v>
      </c>
      <c r="L95">
        <f t="shared" si="2"/>
        <v>778340</v>
      </c>
    </row>
    <row r="96" spans="1:12" x14ac:dyDescent="0.3">
      <c r="A96" t="s">
        <v>97</v>
      </c>
      <c r="B96" t="s">
        <v>42</v>
      </c>
      <c r="C96" t="s">
        <v>24</v>
      </c>
      <c r="D96" t="s">
        <v>40</v>
      </c>
      <c r="E96">
        <v>1</v>
      </c>
      <c r="F96">
        <v>37637</v>
      </c>
      <c r="G96">
        <v>10</v>
      </c>
      <c r="H96">
        <v>18</v>
      </c>
      <c r="I96">
        <v>39970.49</v>
      </c>
      <c r="J96" t="s">
        <v>37</v>
      </c>
      <c r="K96" t="s">
        <v>26</v>
      </c>
      <c r="L96">
        <f t="shared" si="2"/>
        <v>746789</v>
      </c>
    </row>
    <row r="97" spans="1:12" x14ac:dyDescent="0.3">
      <c r="A97" t="s">
        <v>11</v>
      </c>
      <c r="B97" t="s">
        <v>42</v>
      </c>
      <c r="C97" t="s">
        <v>29</v>
      </c>
      <c r="D97" t="s">
        <v>30</v>
      </c>
      <c r="E97">
        <v>6</v>
      </c>
      <c r="F97">
        <v>55682</v>
      </c>
      <c r="G97">
        <v>5</v>
      </c>
      <c r="H97">
        <v>12</v>
      </c>
      <c r="I97">
        <v>355473.89</v>
      </c>
      <c r="J97" t="s">
        <v>15</v>
      </c>
      <c r="K97" t="s">
        <v>38</v>
      </c>
      <c r="L97">
        <f t="shared" si="2"/>
        <v>436163</v>
      </c>
    </row>
    <row r="98" spans="1:12" x14ac:dyDescent="0.3">
      <c r="A98" t="s">
        <v>90</v>
      </c>
      <c r="B98" t="s">
        <v>42</v>
      </c>
      <c r="C98" t="s">
        <v>35</v>
      </c>
      <c r="D98" t="s">
        <v>36</v>
      </c>
      <c r="E98">
        <v>19</v>
      </c>
      <c r="F98">
        <v>78636</v>
      </c>
      <c r="G98">
        <v>10</v>
      </c>
      <c r="H98">
        <v>28</v>
      </c>
      <c r="I98">
        <v>1721184.77</v>
      </c>
      <c r="J98" t="s">
        <v>21</v>
      </c>
      <c r="K98" t="s">
        <v>26</v>
      </c>
      <c r="L98">
        <f t="shared" ref="L98:L113" si="3">SUMIF(C:C,C98,F:F)</f>
        <v>1427472</v>
      </c>
    </row>
    <row r="99" spans="1:12" x14ac:dyDescent="0.3">
      <c r="A99" t="s">
        <v>229</v>
      </c>
      <c r="B99" t="s">
        <v>42</v>
      </c>
      <c r="C99" t="s">
        <v>44</v>
      </c>
      <c r="D99" t="s">
        <v>45</v>
      </c>
      <c r="E99">
        <v>6</v>
      </c>
      <c r="F99">
        <v>84348</v>
      </c>
      <c r="G99">
        <v>12</v>
      </c>
      <c r="H99">
        <v>28</v>
      </c>
      <c r="I99">
        <v>570057.52</v>
      </c>
      <c r="J99" t="s">
        <v>46</v>
      </c>
      <c r="K99" t="s">
        <v>16</v>
      </c>
      <c r="L99">
        <f t="shared" si="3"/>
        <v>778340</v>
      </c>
    </row>
    <row r="100" spans="1:12" x14ac:dyDescent="0.3">
      <c r="A100" t="s">
        <v>198</v>
      </c>
      <c r="B100" t="s">
        <v>42</v>
      </c>
      <c r="C100" t="s">
        <v>35</v>
      </c>
      <c r="D100" t="s">
        <v>36</v>
      </c>
      <c r="E100">
        <v>38</v>
      </c>
      <c r="F100">
        <v>38998</v>
      </c>
      <c r="G100">
        <v>12</v>
      </c>
      <c r="H100">
        <v>28</v>
      </c>
      <c r="I100">
        <v>1669239.19</v>
      </c>
      <c r="J100" t="s">
        <v>46</v>
      </c>
      <c r="K100" t="s">
        <v>33</v>
      </c>
      <c r="L100">
        <f t="shared" si="3"/>
        <v>1427472</v>
      </c>
    </row>
    <row r="101" spans="1:12" x14ac:dyDescent="0.3">
      <c r="A101" t="s">
        <v>154</v>
      </c>
      <c r="B101" t="s">
        <v>42</v>
      </c>
      <c r="C101" t="s">
        <v>13</v>
      </c>
      <c r="D101" t="s">
        <v>32</v>
      </c>
      <c r="E101">
        <v>9</v>
      </c>
      <c r="F101">
        <v>18915</v>
      </c>
      <c r="G101">
        <v>12</v>
      </c>
      <c r="H101">
        <v>12</v>
      </c>
      <c r="I101">
        <v>167783.62</v>
      </c>
      <c r="J101" t="s">
        <v>37</v>
      </c>
      <c r="K101" t="s">
        <v>26</v>
      </c>
      <c r="L101">
        <f t="shared" si="3"/>
        <v>621136</v>
      </c>
    </row>
    <row r="102" spans="1:12" x14ac:dyDescent="0.3">
      <c r="A102" t="s">
        <v>166</v>
      </c>
      <c r="B102" t="s">
        <v>42</v>
      </c>
      <c r="C102" t="s">
        <v>35</v>
      </c>
      <c r="D102" t="s">
        <v>77</v>
      </c>
      <c r="E102">
        <v>25</v>
      </c>
      <c r="F102">
        <v>78131</v>
      </c>
      <c r="G102">
        <v>10</v>
      </c>
      <c r="H102">
        <v>18</v>
      </c>
      <c r="I102">
        <v>2074378.05</v>
      </c>
      <c r="J102" t="s">
        <v>15</v>
      </c>
      <c r="K102" t="s">
        <v>16</v>
      </c>
      <c r="L102">
        <f t="shared" si="3"/>
        <v>1427472</v>
      </c>
    </row>
    <row r="103" spans="1:12" x14ac:dyDescent="0.3">
      <c r="A103" t="s">
        <v>57</v>
      </c>
      <c r="B103" t="s">
        <v>42</v>
      </c>
      <c r="C103" t="s">
        <v>48</v>
      </c>
      <c r="D103" t="s">
        <v>59</v>
      </c>
      <c r="E103">
        <v>36</v>
      </c>
      <c r="F103">
        <v>28083</v>
      </c>
      <c r="G103">
        <v>0</v>
      </c>
      <c r="H103">
        <v>18</v>
      </c>
      <c r="I103">
        <v>1192965.8400000001</v>
      </c>
      <c r="J103" t="s">
        <v>21</v>
      </c>
      <c r="K103" t="s">
        <v>26</v>
      </c>
      <c r="L103">
        <f t="shared" si="3"/>
        <v>654187</v>
      </c>
    </row>
    <row r="104" spans="1:12" x14ac:dyDescent="0.3">
      <c r="A104" t="s">
        <v>107</v>
      </c>
      <c r="B104" t="s">
        <v>42</v>
      </c>
      <c r="C104" t="s">
        <v>44</v>
      </c>
      <c r="D104" t="s">
        <v>45</v>
      </c>
      <c r="E104">
        <v>7</v>
      </c>
      <c r="F104">
        <v>57686</v>
      </c>
      <c r="G104">
        <v>10</v>
      </c>
      <c r="H104">
        <v>28</v>
      </c>
      <c r="I104">
        <v>465179.9</v>
      </c>
      <c r="J104" t="s">
        <v>46</v>
      </c>
      <c r="K104" t="s">
        <v>38</v>
      </c>
      <c r="L104">
        <f t="shared" si="3"/>
        <v>778340</v>
      </c>
    </row>
    <row r="105" spans="1:12" x14ac:dyDescent="0.3">
      <c r="A105" t="s">
        <v>107</v>
      </c>
      <c r="B105" t="s">
        <v>42</v>
      </c>
      <c r="C105" t="s">
        <v>29</v>
      </c>
      <c r="D105" t="s">
        <v>30</v>
      </c>
      <c r="E105">
        <v>37</v>
      </c>
      <c r="F105">
        <v>66209</v>
      </c>
      <c r="G105">
        <v>0</v>
      </c>
      <c r="H105">
        <v>28</v>
      </c>
      <c r="I105">
        <v>3135658.24</v>
      </c>
      <c r="J105" t="s">
        <v>21</v>
      </c>
      <c r="K105" t="s">
        <v>16</v>
      </c>
      <c r="L105">
        <f t="shared" si="3"/>
        <v>436163</v>
      </c>
    </row>
    <row r="106" spans="1:12" x14ac:dyDescent="0.3">
      <c r="A106" t="s">
        <v>78</v>
      </c>
      <c r="B106" t="s">
        <v>42</v>
      </c>
      <c r="C106" t="s">
        <v>13</v>
      </c>
      <c r="D106" t="s">
        <v>32</v>
      </c>
      <c r="E106">
        <v>34</v>
      </c>
      <c r="F106">
        <v>54104</v>
      </c>
      <c r="G106">
        <v>0</v>
      </c>
      <c r="H106">
        <v>28</v>
      </c>
      <c r="I106">
        <v>2354606.0800000001</v>
      </c>
      <c r="J106" t="s">
        <v>15</v>
      </c>
      <c r="K106" t="s">
        <v>33</v>
      </c>
      <c r="L106">
        <f t="shared" si="3"/>
        <v>621136</v>
      </c>
    </row>
    <row r="107" spans="1:12" x14ac:dyDescent="0.3">
      <c r="A107" t="s">
        <v>94</v>
      </c>
      <c r="B107" t="s">
        <v>42</v>
      </c>
      <c r="C107" t="s">
        <v>24</v>
      </c>
      <c r="D107" t="s">
        <v>76</v>
      </c>
      <c r="E107">
        <v>8</v>
      </c>
      <c r="F107">
        <v>1586</v>
      </c>
      <c r="G107">
        <v>10</v>
      </c>
      <c r="H107">
        <v>12</v>
      </c>
      <c r="I107">
        <v>12789.5</v>
      </c>
      <c r="J107" t="s">
        <v>37</v>
      </c>
      <c r="K107" t="s">
        <v>26</v>
      </c>
      <c r="L107">
        <f t="shared" si="3"/>
        <v>746789</v>
      </c>
    </row>
    <row r="108" spans="1:12" x14ac:dyDescent="0.3">
      <c r="A108" t="s">
        <v>148</v>
      </c>
      <c r="B108" t="s">
        <v>42</v>
      </c>
      <c r="C108" t="s">
        <v>24</v>
      </c>
      <c r="D108" t="s">
        <v>76</v>
      </c>
      <c r="E108">
        <v>17</v>
      </c>
      <c r="F108">
        <v>14223</v>
      </c>
      <c r="G108">
        <v>5</v>
      </c>
      <c r="H108">
        <v>12</v>
      </c>
      <c r="I108">
        <v>257265.62</v>
      </c>
      <c r="J108" t="s">
        <v>15</v>
      </c>
      <c r="K108" t="s">
        <v>26</v>
      </c>
      <c r="L108">
        <f t="shared" si="3"/>
        <v>746789</v>
      </c>
    </row>
    <row r="109" spans="1:12" x14ac:dyDescent="0.3">
      <c r="A109" t="s">
        <v>132</v>
      </c>
      <c r="B109" t="s">
        <v>42</v>
      </c>
      <c r="C109" t="s">
        <v>35</v>
      </c>
      <c r="D109" t="s">
        <v>56</v>
      </c>
      <c r="E109">
        <v>34</v>
      </c>
      <c r="F109">
        <v>76678</v>
      </c>
      <c r="G109">
        <v>12</v>
      </c>
      <c r="H109">
        <v>28</v>
      </c>
      <c r="I109">
        <v>2936583.37</v>
      </c>
      <c r="J109" t="s">
        <v>15</v>
      </c>
      <c r="K109" t="s">
        <v>16</v>
      </c>
      <c r="L109">
        <f t="shared" si="3"/>
        <v>1427472</v>
      </c>
    </row>
    <row r="110" spans="1:12" x14ac:dyDescent="0.3">
      <c r="A110" t="s">
        <v>173</v>
      </c>
      <c r="B110" t="s">
        <v>42</v>
      </c>
      <c r="C110" t="s">
        <v>48</v>
      </c>
      <c r="D110" t="s">
        <v>49</v>
      </c>
      <c r="E110">
        <v>33</v>
      </c>
      <c r="F110">
        <v>68676</v>
      </c>
      <c r="G110">
        <v>5</v>
      </c>
      <c r="H110">
        <v>28</v>
      </c>
      <c r="I110">
        <v>2755830.53</v>
      </c>
      <c r="J110" t="s">
        <v>46</v>
      </c>
      <c r="K110" t="s">
        <v>26</v>
      </c>
      <c r="L110">
        <f t="shared" si="3"/>
        <v>654187</v>
      </c>
    </row>
    <row r="111" spans="1:12" x14ac:dyDescent="0.3">
      <c r="A111" t="s">
        <v>158</v>
      </c>
      <c r="B111" t="s">
        <v>42</v>
      </c>
      <c r="C111" t="s">
        <v>35</v>
      </c>
      <c r="D111" t="s">
        <v>36</v>
      </c>
      <c r="E111">
        <v>3</v>
      </c>
      <c r="F111">
        <v>10652</v>
      </c>
      <c r="G111">
        <v>10</v>
      </c>
      <c r="H111">
        <v>12</v>
      </c>
      <c r="I111">
        <v>32211.65</v>
      </c>
      <c r="J111" t="s">
        <v>21</v>
      </c>
      <c r="K111" t="s">
        <v>16</v>
      </c>
      <c r="L111">
        <f t="shared" si="3"/>
        <v>1427472</v>
      </c>
    </row>
    <row r="112" spans="1:12" x14ac:dyDescent="0.3">
      <c r="A112" t="s">
        <v>194</v>
      </c>
      <c r="B112" t="s">
        <v>42</v>
      </c>
      <c r="C112" t="s">
        <v>29</v>
      </c>
      <c r="D112" t="s">
        <v>30</v>
      </c>
      <c r="E112">
        <v>23</v>
      </c>
      <c r="F112">
        <v>1506</v>
      </c>
      <c r="G112">
        <v>5</v>
      </c>
      <c r="H112">
        <v>12</v>
      </c>
      <c r="I112">
        <v>36854.83</v>
      </c>
      <c r="J112" t="s">
        <v>46</v>
      </c>
      <c r="K112" t="s">
        <v>26</v>
      </c>
      <c r="L112">
        <f t="shared" si="3"/>
        <v>436163</v>
      </c>
    </row>
    <row r="113" spans="1:12" x14ac:dyDescent="0.3">
      <c r="A113" t="s">
        <v>187</v>
      </c>
      <c r="B113" t="s">
        <v>42</v>
      </c>
      <c r="C113" t="s">
        <v>62</v>
      </c>
      <c r="D113" t="s">
        <v>63</v>
      </c>
      <c r="E113">
        <v>23</v>
      </c>
      <c r="F113">
        <v>74167</v>
      </c>
      <c r="G113">
        <v>5</v>
      </c>
      <c r="H113">
        <v>28</v>
      </c>
      <c r="I113">
        <v>2074302.66</v>
      </c>
      <c r="J113" t="s">
        <v>21</v>
      </c>
      <c r="K113" t="s">
        <v>16</v>
      </c>
      <c r="L113">
        <f t="shared" si="3"/>
        <v>328117</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L113"/>
  <sheetViews>
    <sheetView workbookViewId="0">
      <selection activeCell="L2" sqref="L2"/>
    </sheetView>
  </sheetViews>
  <sheetFormatPr defaultRowHeight="14.4" x14ac:dyDescent="0.3"/>
  <cols>
    <col min="1" max="1" width="15.88671875" bestFit="1" customWidth="1"/>
    <col min="2" max="2" width="13.33203125" bestFit="1" customWidth="1"/>
    <col min="3" max="3" width="16" bestFit="1" customWidth="1"/>
    <col min="4" max="4" width="14.109375" bestFit="1" customWidth="1"/>
    <col min="5" max="5" width="6.21875" bestFit="1" customWidth="1"/>
    <col min="6" max="6" width="11.88671875" bestFit="1" customWidth="1"/>
    <col min="7" max="7" width="13" bestFit="1" customWidth="1"/>
    <col min="9" max="9" width="15.44140625" bestFit="1" customWidth="1"/>
    <col min="10" max="10" width="12.77734375" bestFit="1" customWidth="1"/>
    <col min="11" max="11" width="16.88671875" bestFit="1" customWidth="1"/>
  </cols>
  <sheetData>
    <row r="1" spans="1:12" x14ac:dyDescent="0.3">
      <c r="A1" t="s">
        <v>0</v>
      </c>
      <c r="B1" t="s">
        <v>1</v>
      </c>
      <c r="C1" t="s">
        <v>2</v>
      </c>
      <c r="D1" t="s">
        <v>3</v>
      </c>
      <c r="E1" t="s">
        <v>4</v>
      </c>
      <c r="F1" t="s">
        <v>5</v>
      </c>
      <c r="G1" t="s">
        <v>6</v>
      </c>
      <c r="H1" t="s">
        <v>7</v>
      </c>
      <c r="I1" t="s">
        <v>8</v>
      </c>
      <c r="J1" t="s">
        <v>9</v>
      </c>
      <c r="K1" t="s">
        <v>10</v>
      </c>
      <c r="L1" t="s">
        <v>251</v>
      </c>
    </row>
    <row r="2" spans="1:12" x14ac:dyDescent="0.3">
      <c r="A2" t="s">
        <v>178</v>
      </c>
      <c r="B2" t="s">
        <v>23</v>
      </c>
      <c r="C2" t="s">
        <v>48</v>
      </c>
      <c r="D2" t="s">
        <v>59</v>
      </c>
      <c r="E2">
        <v>30</v>
      </c>
      <c r="F2">
        <v>24102</v>
      </c>
      <c r="G2">
        <v>12</v>
      </c>
      <c r="H2">
        <v>18</v>
      </c>
      <c r="I2">
        <v>750825.5</v>
      </c>
      <c r="J2" t="s">
        <v>21</v>
      </c>
      <c r="K2" t="s">
        <v>38</v>
      </c>
      <c r="L2">
        <f t="shared" ref="L2:L33" si="0">SUMIF(C:C,C2,F:F)</f>
        <v>794882</v>
      </c>
    </row>
    <row r="3" spans="1:12" x14ac:dyDescent="0.3">
      <c r="A3" t="s">
        <v>231</v>
      </c>
      <c r="B3" t="s">
        <v>23</v>
      </c>
      <c r="C3" t="s">
        <v>24</v>
      </c>
      <c r="D3" t="s">
        <v>76</v>
      </c>
      <c r="E3">
        <v>15</v>
      </c>
      <c r="F3">
        <v>36957</v>
      </c>
      <c r="G3">
        <v>5</v>
      </c>
      <c r="H3">
        <v>18</v>
      </c>
      <c r="I3">
        <v>621431.94999999995</v>
      </c>
      <c r="J3" t="s">
        <v>21</v>
      </c>
      <c r="K3" t="s">
        <v>38</v>
      </c>
      <c r="L3">
        <f t="shared" si="0"/>
        <v>701495</v>
      </c>
    </row>
    <row r="4" spans="1:12" x14ac:dyDescent="0.3">
      <c r="A4" t="s">
        <v>181</v>
      </c>
      <c r="B4" t="s">
        <v>23</v>
      </c>
      <c r="C4" t="s">
        <v>35</v>
      </c>
      <c r="D4" t="s">
        <v>56</v>
      </c>
      <c r="E4">
        <v>2</v>
      </c>
      <c r="F4">
        <v>21518</v>
      </c>
      <c r="G4">
        <v>0</v>
      </c>
      <c r="H4">
        <v>18</v>
      </c>
      <c r="I4">
        <v>50782.48</v>
      </c>
      <c r="J4" t="s">
        <v>21</v>
      </c>
      <c r="K4" t="s">
        <v>38</v>
      </c>
      <c r="L4">
        <f t="shared" si="0"/>
        <v>1014780</v>
      </c>
    </row>
    <row r="5" spans="1:12" x14ac:dyDescent="0.3">
      <c r="A5" t="s">
        <v>96</v>
      </c>
      <c r="B5" t="s">
        <v>23</v>
      </c>
      <c r="C5" t="s">
        <v>48</v>
      </c>
      <c r="D5" t="s">
        <v>49</v>
      </c>
      <c r="E5">
        <v>9</v>
      </c>
      <c r="F5">
        <v>52758</v>
      </c>
      <c r="G5">
        <v>10</v>
      </c>
      <c r="H5">
        <v>18</v>
      </c>
      <c r="I5">
        <v>504260.96</v>
      </c>
      <c r="J5" t="s">
        <v>21</v>
      </c>
      <c r="K5" t="s">
        <v>33</v>
      </c>
      <c r="L5">
        <f t="shared" si="0"/>
        <v>794882</v>
      </c>
    </row>
    <row r="6" spans="1:12" x14ac:dyDescent="0.3">
      <c r="A6" t="s">
        <v>192</v>
      </c>
      <c r="B6" t="s">
        <v>23</v>
      </c>
      <c r="C6" t="s">
        <v>48</v>
      </c>
      <c r="D6" t="s">
        <v>49</v>
      </c>
      <c r="E6">
        <v>39</v>
      </c>
      <c r="F6">
        <v>14182</v>
      </c>
      <c r="G6">
        <v>10</v>
      </c>
      <c r="H6">
        <v>18</v>
      </c>
      <c r="I6">
        <v>587390.07999999996</v>
      </c>
      <c r="J6" t="s">
        <v>46</v>
      </c>
      <c r="K6" t="s">
        <v>16</v>
      </c>
      <c r="L6">
        <f t="shared" si="0"/>
        <v>794882</v>
      </c>
    </row>
    <row r="7" spans="1:12" x14ac:dyDescent="0.3">
      <c r="A7" t="s">
        <v>120</v>
      </c>
      <c r="B7" t="s">
        <v>23</v>
      </c>
      <c r="C7" t="s">
        <v>35</v>
      </c>
      <c r="D7" t="s">
        <v>56</v>
      </c>
      <c r="E7">
        <v>21</v>
      </c>
      <c r="F7">
        <v>62033</v>
      </c>
      <c r="G7">
        <v>12</v>
      </c>
      <c r="H7">
        <v>12</v>
      </c>
      <c r="I7">
        <v>1283934.22</v>
      </c>
      <c r="J7" t="s">
        <v>37</v>
      </c>
      <c r="K7" t="s">
        <v>33</v>
      </c>
      <c r="L7">
        <f t="shared" si="0"/>
        <v>1014780</v>
      </c>
    </row>
    <row r="8" spans="1:12" x14ac:dyDescent="0.3">
      <c r="A8" t="s">
        <v>221</v>
      </c>
      <c r="B8" t="s">
        <v>23</v>
      </c>
      <c r="C8" t="s">
        <v>35</v>
      </c>
      <c r="D8" t="s">
        <v>56</v>
      </c>
      <c r="E8">
        <v>27</v>
      </c>
      <c r="F8">
        <v>32210</v>
      </c>
      <c r="G8">
        <v>5</v>
      </c>
      <c r="H8">
        <v>12</v>
      </c>
      <c r="I8">
        <v>925328.88</v>
      </c>
      <c r="J8" t="s">
        <v>15</v>
      </c>
      <c r="K8" t="s">
        <v>26</v>
      </c>
      <c r="L8">
        <f t="shared" si="0"/>
        <v>1014780</v>
      </c>
    </row>
    <row r="9" spans="1:12" x14ac:dyDescent="0.3">
      <c r="A9" t="s">
        <v>225</v>
      </c>
      <c r="B9" t="s">
        <v>23</v>
      </c>
      <c r="C9" t="s">
        <v>62</v>
      </c>
      <c r="D9" t="s">
        <v>63</v>
      </c>
      <c r="E9">
        <v>38</v>
      </c>
      <c r="F9">
        <v>29563</v>
      </c>
      <c r="G9">
        <v>10</v>
      </c>
      <c r="H9">
        <v>28</v>
      </c>
      <c r="I9">
        <v>1294149.8899999999</v>
      </c>
      <c r="J9" t="s">
        <v>37</v>
      </c>
      <c r="K9" t="s">
        <v>33</v>
      </c>
      <c r="L9">
        <f t="shared" si="0"/>
        <v>449028</v>
      </c>
    </row>
    <row r="10" spans="1:12" x14ac:dyDescent="0.3">
      <c r="A10" t="s">
        <v>155</v>
      </c>
      <c r="B10" t="s">
        <v>23</v>
      </c>
      <c r="C10" t="s">
        <v>35</v>
      </c>
      <c r="D10" t="s">
        <v>56</v>
      </c>
      <c r="E10">
        <v>3</v>
      </c>
      <c r="F10">
        <v>66421</v>
      </c>
      <c r="G10">
        <v>0</v>
      </c>
      <c r="H10">
        <v>18</v>
      </c>
      <c r="I10">
        <v>235130.34</v>
      </c>
      <c r="J10" t="s">
        <v>46</v>
      </c>
      <c r="K10" t="s">
        <v>38</v>
      </c>
      <c r="L10">
        <f t="shared" si="0"/>
        <v>1014780</v>
      </c>
    </row>
    <row r="11" spans="1:12" x14ac:dyDescent="0.3">
      <c r="A11" t="s">
        <v>123</v>
      </c>
      <c r="B11" t="s">
        <v>23</v>
      </c>
      <c r="C11" t="s">
        <v>13</v>
      </c>
      <c r="D11" t="s">
        <v>14</v>
      </c>
      <c r="E11">
        <v>13</v>
      </c>
      <c r="F11">
        <v>75439</v>
      </c>
      <c r="G11">
        <v>10</v>
      </c>
      <c r="H11">
        <v>28</v>
      </c>
      <c r="I11">
        <v>1129774.46</v>
      </c>
      <c r="J11" t="s">
        <v>15</v>
      </c>
      <c r="K11" t="s">
        <v>33</v>
      </c>
      <c r="L11">
        <f t="shared" si="0"/>
        <v>721670</v>
      </c>
    </row>
    <row r="12" spans="1:12" x14ac:dyDescent="0.3">
      <c r="A12" t="s">
        <v>52</v>
      </c>
      <c r="B12" t="s">
        <v>23</v>
      </c>
      <c r="C12" t="s">
        <v>35</v>
      </c>
      <c r="D12" t="s">
        <v>77</v>
      </c>
      <c r="E12">
        <v>34</v>
      </c>
      <c r="F12">
        <v>57454</v>
      </c>
      <c r="G12">
        <v>0</v>
      </c>
      <c r="H12">
        <v>18</v>
      </c>
      <c r="I12">
        <v>2305054.48</v>
      </c>
      <c r="J12" t="s">
        <v>21</v>
      </c>
      <c r="K12" t="s">
        <v>33</v>
      </c>
      <c r="L12">
        <f t="shared" si="0"/>
        <v>1014780</v>
      </c>
    </row>
    <row r="13" spans="1:12" x14ac:dyDescent="0.3">
      <c r="A13" t="s">
        <v>34</v>
      </c>
      <c r="B13" t="s">
        <v>23</v>
      </c>
      <c r="C13" t="s">
        <v>48</v>
      </c>
      <c r="D13" t="s">
        <v>49</v>
      </c>
      <c r="E13">
        <v>26</v>
      </c>
      <c r="F13">
        <v>71564</v>
      </c>
      <c r="G13">
        <v>5</v>
      </c>
      <c r="H13">
        <v>28</v>
      </c>
      <c r="I13">
        <v>2262567.42</v>
      </c>
      <c r="J13" t="s">
        <v>21</v>
      </c>
      <c r="K13" t="s">
        <v>16</v>
      </c>
      <c r="L13">
        <f t="shared" si="0"/>
        <v>794882</v>
      </c>
    </row>
    <row r="14" spans="1:12" x14ac:dyDescent="0.3">
      <c r="A14" t="s">
        <v>142</v>
      </c>
      <c r="B14" t="s">
        <v>23</v>
      </c>
      <c r="C14" t="s">
        <v>29</v>
      </c>
      <c r="D14" t="s">
        <v>30</v>
      </c>
      <c r="E14">
        <v>23</v>
      </c>
      <c r="F14">
        <v>32473</v>
      </c>
      <c r="G14">
        <v>0</v>
      </c>
      <c r="H14">
        <v>28</v>
      </c>
      <c r="I14">
        <v>956005.12</v>
      </c>
      <c r="J14" t="s">
        <v>15</v>
      </c>
      <c r="K14" t="s">
        <v>38</v>
      </c>
      <c r="L14">
        <f t="shared" si="0"/>
        <v>222058</v>
      </c>
    </row>
    <row r="15" spans="1:12" x14ac:dyDescent="0.3">
      <c r="A15" t="s">
        <v>106</v>
      </c>
      <c r="B15" t="s">
        <v>23</v>
      </c>
      <c r="C15" t="s">
        <v>44</v>
      </c>
      <c r="D15" t="s">
        <v>45</v>
      </c>
      <c r="E15">
        <v>20</v>
      </c>
      <c r="F15">
        <v>79967</v>
      </c>
      <c r="G15">
        <v>10</v>
      </c>
      <c r="H15">
        <v>28</v>
      </c>
      <c r="I15">
        <v>1842439.68</v>
      </c>
      <c r="J15" t="s">
        <v>15</v>
      </c>
      <c r="K15" t="s">
        <v>38</v>
      </c>
      <c r="L15">
        <f t="shared" si="0"/>
        <v>365359</v>
      </c>
    </row>
    <row r="16" spans="1:12" x14ac:dyDescent="0.3">
      <c r="A16" t="s">
        <v>82</v>
      </c>
      <c r="B16" t="s">
        <v>23</v>
      </c>
      <c r="C16" t="s">
        <v>13</v>
      </c>
      <c r="D16" t="s">
        <v>14</v>
      </c>
      <c r="E16">
        <v>26</v>
      </c>
      <c r="F16">
        <v>13931</v>
      </c>
      <c r="G16">
        <v>0</v>
      </c>
      <c r="H16">
        <v>12</v>
      </c>
      <c r="I16">
        <v>405670.72</v>
      </c>
      <c r="J16" t="s">
        <v>15</v>
      </c>
      <c r="K16" t="s">
        <v>26</v>
      </c>
      <c r="L16">
        <f t="shared" si="0"/>
        <v>721670</v>
      </c>
    </row>
    <row r="17" spans="1:12" x14ac:dyDescent="0.3">
      <c r="A17" t="s">
        <v>103</v>
      </c>
      <c r="B17" t="s">
        <v>23</v>
      </c>
      <c r="C17" t="s">
        <v>24</v>
      </c>
      <c r="D17" t="s">
        <v>76</v>
      </c>
      <c r="E17">
        <v>26</v>
      </c>
      <c r="F17">
        <v>64693</v>
      </c>
      <c r="G17">
        <v>12</v>
      </c>
      <c r="H17">
        <v>28</v>
      </c>
      <c r="I17">
        <v>1894625.08</v>
      </c>
      <c r="J17" t="s">
        <v>46</v>
      </c>
      <c r="K17" t="s">
        <v>33</v>
      </c>
      <c r="L17">
        <f t="shared" si="0"/>
        <v>701495</v>
      </c>
    </row>
    <row r="18" spans="1:12" x14ac:dyDescent="0.3">
      <c r="A18" t="s">
        <v>74</v>
      </c>
      <c r="B18" t="s">
        <v>23</v>
      </c>
      <c r="C18" t="s">
        <v>44</v>
      </c>
      <c r="D18" t="s">
        <v>51</v>
      </c>
      <c r="E18">
        <v>8</v>
      </c>
      <c r="F18">
        <v>81141</v>
      </c>
      <c r="G18">
        <v>5</v>
      </c>
      <c r="H18">
        <v>12</v>
      </c>
      <c r="I18">
        <v>690672.19</v>
      </c>
      <c r="J18" t="s">
        <v>46</v>
      </c>
      <c r="K18" t="s">
        <v>16</v>
      </c>
      <c r="L18">
        <f t="shared" si="0"/>
        <v>365359</v>
      </c>
    </row>
    <row r="19" spans="1:12" x14ac:dyDescent="0.3">
      <c r="A19" t="s">
        <v>205</v>
      </c>
      <c r="B19" t="s">
        <v>23</v>
      </c>
      <c r="C19" t="s">
        <v>35</v>
      </c>
      <c r="D19" t="s">
        <v>56</v>
      </c>
      <c r="E19">
        <v>30</v>
      </c>
      <c r="F19">
        <v>11862</v>
      </c>
      <c r="G19">
        <v>12</v>
      </c>
      <c r="H19">
        <v>18</v>
      </c>
      <c r="I19">
        <v>369525.02</v>
      </c>
      <c r="J19" t="s">
        <v>46</v>
      </c>
      <c r="K19" t="s">
        <v>16</v>
      </c>
      <c r="L19">
        <f t="shared" si="0"/>
        <v>1014780</v>
      </c>
    </row>
    <row r="20" spans="1:12" x14ac:dyDescent="0.3">
      <c r="A20" t="s">
        <v>39</v>
      </c>
      <c r="B20" t="s">
        <v>23</v>
      </c>
      <c r="C20" t="s">
        <v>62</v>
      </c>
      <c r="D20" t="s">
        <v>63</v>
      </c>
      <c r="E20">
        <v>11</v>
      </c>
      <c r="F20">
        <v>16398</v>
      </c>
      <c r="G20">
        <v>10</v>
      </c>
      <c r="H20">
        <v>18</v>
      </c>
      <c r="I20">
        <v>191561.44</v>
      </c>
      <c r="J20" t="s">
        <v>46</v>
      </c>
      <c r="K20" t="s">
        <v>16</v>
      </c>
      <c r="L20">
        <f t="shared" si="0"/>
        <v>449028</v>
      </c>
    </row>
    <row r="21" spans="1:12" x14ac:dyDescent="0.3">
      <c r="A21" t="s">
        <v>226</v>
      </c>
      <c r="B21" t="s">
        <v>23</v>
      </c>
      <c r="C21" t="s">
        <v>24</v>
      </c>
      <c r="D21" t="s">
        <v>76</v>
      </c>
      <c r="E21">
        <v>9</v>
      </c>
      <c r="F21">
        <v>40563</v>
      </c>
      <c r="G21">
        <v>0</v>
      </c>
      <c r="H21">
        <v>18</v>
      </c>
      <c r="I21">
        <v>430779.06</v>
      </c>
      <c r="J21" t="s">
        <v>37</v>
      </c>
      <c r="K21" t="s">
        <v>26</v>
      </c>
      <c r="L21">
        <f t="shared" si="0"/>
        <v>701495</v>
      </c>
    </row>
    <row r="22" spans="1:12" x14ac:dyDescent="0.3">
      <c r="A22" t="s">
        <v>191</v>
      </c>
      <c r="B22" t="s">
        <v>23</v>
      </c>
      <c r="C22" t="s">
        <v>35</v>
      </c>
      <c r="D22" t="s">
        <v>77</v>
      </c>
      <c r="E22">
        <v>34</v>
      </c>
      <c r="F22">
        <v>51468</v>
      </c>
      <c r="G22">
        <v>12</v>
      </c>
      <c r="H22">
        <v>18</v>
      </c>
      <c r="I22">
        <v>1817108.62</v>
      </c>
      <c r="J22" t="s">
        <v>46</v>
      </c>
      <c r="K22" t="s">
        <v>38</v>
      </c>
      <c r="L22">
        <f t="shared" si="0"/>
        <v>1014780</v>
      </c>
    </row>
    <row r="23" spans="1:12" x14ac:dyDescent="0.3">
      <c r="A23" t="s">
        <v>143</v>
      </c>
      <c r="B23" t="s">
        <v>23</v>
      </c>
      <c r="C23" t="s">
        <v>48</v>
      </c>
      <c r="D23" t="s">
        <v>49</v>
      </c>
      <c r="E23">
        <v>10</v>
      </c>
      <c r="F23">
        <v>1419</v>
      </c>
      <c r="G23">
        <v>12</v>
      </c>
      <c r="H23">
        <v>12</v>
      </c>
      <c r="I23">
        <v>13985.66</v>
      </c>
      <c r="J23" t="s">
        <v>46</v>
      </c>
      <c r="K23" t="s">
        <v>26</v>
      </c>
      <c r="L23">
        <f t="shared" si="0"/>
        <v>794882</v>
      </c>
    </row>
    <row r="24" spans="1:12" x14ac:dyDescent="0.3">
      <c r="A24" t="s">
        <v>157</v>
      </c>
      <c r="B24" t="s">
        <v>23</v>
      </c>
      <c r="C24" t="s">
        <v>35</v>
      </c>
      <c r="D24" t="s">
        <v>56</v>
      </c>
      <c r="E24">
        <v>26</v>
      </c>
      <c r="F24">
        <v>73070</v>
      </c>
      <c r="G24">
        <v>0</v>
      </c>
      <c r="H24">
        <v>28</v>
      </c>
      <c r="I24">
        <v>2431769.6000000001</v>
      </c>
      <c r="J24" t="s">
        <v>37</v>
      </c>
      <c r="K24" t="s">
        <v>16</v>
      </c>
      <c r="L24">
        <f t="shared" si="0"/>
        <v>1014780</v>
      </c>
    </row>
    <row r="25" spans="1:12" x14ac:dyDescent="0.3">
      <c r="A25" t="s">
        <v>64</v>
      </c>
      <c r="B25" t="s">
        <v>23</v>
      </c>
      <c r="C25" t="s">
        <v>29</v>
      </c>
      <c r="D25" t="s">
        <v>30</v>
      </c>
      <c r="E25">
        <v>6</v>
      </c>
      <c r="F25">
        <v>11203</v>
      </c>
      <c r="G25">
        <v>12</v>
      </c>
      <c r="H25">
        <v>18</v>
      </c>
      <c r="I25">
        <v>69799.17</v>
      </c>
      <c r="J25" t="s">
        <v>15</v>
      </c>
      <c r="K25" t="s">
        <v>16</v>
      </c>
      <c r="L25">
        <f t="shared" si="0"/>
        <v>222058</v>
      </c>
    </row>
    <row r="26" spans="1:12" x14ac:dyDescent="0.3">
      <c r="A26" t="s">
        <v>93</v>
      </c>
      <c r="B26" t="s">
        <v>23</v>
      </c>
      <c r="C26" t="s">
        <v>35</v>
      </c>
      <c r="D26" t="s">
        <v>56</v>
      </c>
      <c r="E26">
        <v>1</v>
      </c>
      <c r="F26">
        <v>64143</v>
      </c>
      <c r="G26">
        <v>10</v>
      </c>
      <c r="H26">
        <v>18</v>
      </c>
      <c r="I26">
        <v>68119.87</v>
      </c>
      <c r="J26" t="s">
        <v>15</v>
      </c>
      <c r="K26" t="s">
        <v>16</v>
      </c>
      <c r="L26">
        <f t="shared" si="0"/>
        <v>1014780</v>
      </c>
    </row>
    <row r="27" spans="1:12" x14ac:dyDescent="0.3">
      <c r="A27" t="s">
        <v>166</v>
      </c>
      <c r="B27" t="s">
        <v>23</v>
      </c>
      <c r="C27" t="s">
        <v>35</v>
      </c>
      <c r="D27" t="s">
        <v>56</v>
      </c>
      <c r="E27">
        <v>24</v>
      </c>
      <c r="F27">
        <v>8667</v>
      </c>
      <c r="G27">
        <v>0</v>
      </c>
      <c r="H27">
        <v>18</v>
      </c>
      <c r="I27">
        <v>245449.44</v>
      </c>
      <c r="J27" t="s">
        <v>21</v>
      </c>
      <c r="K27" t="s">
        <v>26</v>
      </c>
      <c r="L27">
        <f t="shared" si="0"/>
        <v>1014780</v>
      </c>
    </row>
    <row r="28" spans="1:12" x14ac:dyDescent="0.3">
      <c r="A28" t="s">
        <v>127</v>
      </c>
      <c r="B28" t="s">
        <v>23</v>
      </c>
      <c r="C28" t="s">
        <v>19</v>
      </c>
      <c r="D28" t="s">
        <v>20</v>
      </c>
      <c r="E28">
        <v>20</v>
      </c>
      <c r="F28">
        <v>81165</v>
      </c>
      <c r="G28">
        <v>12</v>
      </c>
      <c r="H28">
        <v>18</v>
      </c>
      <c r="I28">
        <v>1685634.72</v>
      </c>
      <c r="J28" t="s">
        <v>46</v>
      </c>
      <c r="K28" t="s">
        <v>26</v>
      </c>
      <c r="L28">
        <f t="shared" si="0"/>
        <v>606938</v>
      </c>
    </row>
    <row r="29" spans="1:12" x14ac:dyDescent="0.3">
      <c r="A29" t="s">
        <v>226</v>
      </c>
      <c r="B29" t="s">
        <v>23</v>
      </c>
      <c r="C29" t="s">
        <v>62</v>
      </c>
      <c r="D29" t="s">
        <v>63</v>
      </c>
      <c r="E29">
        <v>3</v>
      </c>
      <c r="F29">
        <v>59475</v>
      </c>
      <c r="G29">
        <v>10</v>
      </c>
      <c r="H29">
        <v>18</v>
      </c>
      <c r="I29">
        <v>189487.35</v>
      </c>
      <c r="J29" t="s">
        <v>46</v>
      </c>
      <c r="K29" t="s">
        <v>16</v>
      </c>
      <c r="L29">
        <f t="shared" si="0"/>
        <v>449028</v>
      </c>
    </row>
    <row r="30" spans="1:12" x14ac:dyDescent="0.3">
      <c r="A30" t="s">
        <v>126</v>
      </c>
      <c r="B30" t="s">
        <v>23</v>
      </c>
      <c r="C30" t="s">
        <v>29</v>
      </c>
      <c r="D30" t="s">
        <v>30</v>
      </c>
      <c r="E30">
        <v>40</v>
      </c>
      <c r="F30">
        <v>2306</v>
      </c>
      <c r="G30">
        <v>10</v>
      </c>
      <c r="H30">
        <v>18</v>
      </c>
      <c r="I30">
        <v>97958.88</v>
      </c>
      <c r="J30" t="s">
        <v>37</v>
      </c>
      <c r="K30" t="s">
        <v>16</v>
      </c>
      <c r="L30">
        <f t="shared" si="0"/>
        <v>222058</v>
      </c>
    </row>
    <row r="31" spans="1:12" x14ac:dyDescent="0.3">
      <c r="A31" t="s">
        <v>61</v>
      </c>
      <c r="B31" t="s">
        <v>23</v>
      </c>
      <c r="C31" t="s">
        <v>13</v>
      </c>
      <c r="D31" t="s">
        <v>14</v>
      </c>
      <c r="E31">
        <v>23</v>
      </c>
      <c r="F31">
        <v>49411</v>
      </c>
      <c r="G31">
        <v>0</v>
      </c>
      <c r="H31">
        <v>12</v>
      </c>
      <c r="I31">
        <v>1272827.3600000001</v>
      </c>
      <c r="J31" t="s">
        <v>37</v>
      </c>
      <c r="K31" t="s">
        <v>26</v>
      </c>
      <c r="L31">
        <f t="shared" si="0"/>
        <v>721670</v>
      </c>
    </row>
    <row r="32" spans="1:12" x14ac:dyDescent="0.3">
      <c r="A32" t="s">
        <v>83</v>
      </c>
      <c r="B32" t="s">
        <v>23</v>
      </c>
      <c r="C32" t="s">
        <v>62</v>
      </c>
      <c r="D32" t="s">
        <v>92</v>
      </c>
      <c r="E32">
        <v>17</v>
      </c>
      <c r="F32">
        <v>42356</v>
      </c>
      <c r="G32">
        <v>10</v>
      </c>
      <c r="H32">
        <v>28</v>
      </c>
      <c r="I32">
        <v>829499.9</v>
      </c>
      <c r="J32" t="s">
        <v>15</v>
      </c>
      <c r="K32" t="s">
        <v>38</v>
      </c>
      <c r="L32">
        <f t="shared" si="0"/>
        <v>449028</v>
      </c>
    </row>
    <row r="33" spans="1:12" x14ac:dyDescent="0.3">
      <c r="A33" t="s">
        <v>196</v>
      </c>
      <c r="B33" t="s">
        <v>23</v>
      </c>
      <c r="C33" t="s">
        <v>62</v>
      </c>
      <c r="D33" t="s">
        <v>92</v>
      </c>
      <c r="E33">
        <v>35</v>
      </c>
      <c r="F33">
        <v>21408</v>
      </c>
      <c r="G33">
        <v>5</v>
      </c>
      <c r="H33">
        <v>18</v>
      </c>
      <c r="I33">
        <v>839942.88</v>
      </c>
      <c r="J33" t="s">
        <v>21</v>
      </c>
      <c r="K33" t="s">
        <v>26</v>
      </c>
      <c r="L33">
        <f t="shared" si="0"/>
        <v>449028</v>
      </c>
    </row>
    <row r="34" spans="1:12" x14ac:dyDescent="0.3">
      <c r="A34" t="s">
        <v>158</v>
      </c>
      <c r="B34" t="s">
        <v>23</v>
      </c>
      <c r="C34" t="s">
        <v>44</v>
      </c>
      <c r="D34" t="s">
        <v>45</v>
      </c>
      <c r="E34">
        <v>24</v>
      </c>
      <c r="F34">
        <v>35023</v>
      </c>
      <c r="G34">
        <v>10</v>
      </c>
      <c r="H34">
        <v>28</v>
      </c>
      <c r="I34">
        <v>968315.9</v>
      </c>
      <c r="J34" t="s">
        <v>15</v>
      </c>
      <c r="K34" t="s">
        <v>16</v>
      </c>
      <c r="L34">
        <f t="shared" ref="L34:L65" si="1">SUMIF(C:C,C34,F:F)</f>
        <v>365359</v>
      </c>
    </row>
    <row r="35" spans="1:12" x14ac:dyDescent="0.3">
      <c r="A35" t="s">
        <v>171</v>
      </c>
      <c r="B35" t="s">
        <v>23</v>
      </c>
      <c r="C35" t="s">
        <v>48</v>
      </c>
      <c r="D35" t="s">
        <v>49</v>
      </c>
      <c r="E35">
        <v>7</v>
      </c>
      <c r="F35">
        <v>79663</v>
      </c>
      <c r="G35">
        <v>12</v>
      </c>
      <c r="H35">
        <v>12</v>
      </c>
      <c r="I35">
        <v>549610.97</v>
      </c>
      <c r="J35" t="s">
        <v>21</v>
      </c>
      <c r="K35" t="s">
        <v>16</v>
      </c>
      <c r="L35">
        <f t="shared" si="1"/>
        <v>794882</v>
      </c>
    </row>
    <row r="36" spans="1:12" x14ac:dyDescent="0.3">
      <c r="A36" t="s">
        <v>74</v>
      </c>
      <c r="B36" t="s">
        <v>23</v>
      </c>
      <c r="C36" t="s">
        <v>19</v>
      </c>
      <c r="D36" t="s">
        <v>20</v>
      </c>
      <c r="E36">
        <v>14</v>
      </c>
      <c r="F36">
        <v>13235</v>
      </c>
      <c r="G36">
        <v>10</v>
      </c>
      <c r="H36">
        <v>18</v>
      </c>
      <c r="I36">
        <v>196777.98</v>
      </c>
      <c r="J36" t="s">
        <v>46</v>
      </c>
      <c r="K36" t="s">
        <v>33</v>
      </c>
      <c r="L36">
        <f t="shared" si="1"/>
        <v>606938</v>
      </c>
    </row>
    <row r="37" spans="1:12" x14ac:dyDescent="0.3">
      <c r="A37" t="s">
        <v>189</v>
      </c>
      <c r="B37" t="s">
        <v>23</v>
      </c>
      <c r="C37" t="s">
        <v>29</v>
      </c>
      <c r="D37" t="s">
        <v>30</v>
      </c>
      <c r="E37">
        <v>14</v>
      </c>
      <c r="F37">
        <v>5067</v>
      </c>
      <c r="G37">
        <v>5</v>
      </c>
      <c r="H37">
        <v>12</v>
      </c>
      <c r="I37">
        <v>75478.03</v>
      </c>
      <c r="J37" t="s">
        <v>21</v>
      </c>
      <c r="K37" t="s">
        <v>33</v>
      </c>
      <c r="L37">
        <f t="shared" si="1"/>
        <v>222058</v>
      </c>
    </row>
    <row r="38" spans="1:12" x14ac:dyDescent="0.3">
      <c r="A38" t="s">
        <v>180</v>
      </c>
      <c r="B38" t="s">
        <v>23</v>
      </c>
      <c r="C38" t="s">
        <v>48</v>
      </c>
      <c r="D38" t="s">
        <v>59</v>
      </c>
      <c r="E38">
        <v>38</v>
      </c>
      <c r="F38">
        <v>12501</v>
      </c>
      <c r="G38">
        <v>12</v>
      </c>
      <c r="H38">
        <v>28</v>
      </c>
      <c r="I38">
        <v>535082.80000000005</v>
      </c>
      <c r="J38" t="s">
        <v>37</v>
      </c>
      <c r="K38" t="s">
        <v>33</v>
      </c>
      <c r="L38">
        <f t="shared" si="1"/>
        <v>794882</v>
      </c>
    </row>
    <row r="39" spans="1:12" x14ac:dyDescent="0.3">
      <c r="A39" t="s">
        <v>129</v>
      </c>
      <c r="B39" t="s">
        <v>23</v>
      </c>
      <c r="C39" t="s">
        <v>35</v>
      </c>
      <c r="D39" t="s">
        <v>36</v>
      </c>
      <c r="E39">
        <v>26</v>
      </c>
      <c r="F39">
        <v>57374</v>
      </c>
      <c r="G39">
        <v>5</v>
      </c>
      <c r="H39">
        <v>28</v>
      </c>
      <c r="I39">
        <v>1813936.38</v>
      </c>
      <c r="J39" t="s">
        <v>37</v>
      </c>
      <c r="K39" t="s">
        <v>33</v>
      </c>
      <c r="L39">
        <f t="shared" si="1"/>
        <v>1014780</v>
      </c>
    </row>
    <row r="40" spans="1:12" x14ac:dyDescent="0.3">
      <c r="A40" t="s">
        <v>131</v>
      </c>
      <c r="B40" t="s">
        <v>23</v>
      </c>
      <c r="C40" t="s">
        <v>24</v>
      </c>
      <c r="D40" t="s">
        <v>25</v>
      </c>
      <c r="E40">
        <v>38</v>
      </c>
      <c r="F40">
        <v>46840</v>
      </c>
      <c r="G40">
        <v>0</v>
      </c>
      <c r="H40">
        <v>28</v>
      </c>
      <c r="I40">
        <v>2278297.6000000001</v>
      </c>
      <c r="J40" t="s">
        <v>21</v>
      </c>
      <c r="K40" t="s">
        <v>16</v>
      </c>
      <c r="L40">
        <f t="shared" si="1"/>
        <v>701495</v>
      </c>
    </row>
    <row r="41" spans="1:12" x14ac:dyDescent="0.3">
      <c r="A41" t="s">
        <v>149</v>
      </c>
      <c r="B41" t="s">
        <v>23</v>
      </c>
      <c r="C41" t="s">
        <v>35</v>
      </c>
      <c r="D41" t="s">
        <v>77</v>
      </c>
      <c r="E41">
        <v>6</v>
      </c>
      <c r="F41">
        <v>46827</v>
      </c>
      <c r="G41">
        <v>0</v>
      </c>
      <c r="H41">
        <v>28</v>
      </c>
      <c r="I41">
        <v>359631.35999999999</v>
      </c>
      <c r="J41" t="s">
        <v>15</v>
      </c>
      <c r="K41" t="s">
        <v>26</v>
      </c>
      <c r="L41">
        <f t="shared" si="1"/>
        <v>1014780</v>
      </c>
    </row>
    <row r="42" spans="1:12" x14ac:dyDescent="0.3">
      <c r="A42" t="s">
        <v>106</v>
      </c>
      <c r="B42" t="s">
        <v>23</v>
      </c>
      <c r="C42" t="s">
        <v>62</v>
      </c>
      <c r="D42" t="s">
        <v>63</v>
      </c>
      <c r="E42">
        <v>26</v>
      </c>
      <c r="F42">
        <v>35324</v>
      </c>
      <c r="G42">
        <v>0</v>
      </c>
      <c r="H42">
        <v>18</v>
      </c>
      <c r="I42">
        <v>1083740.32</v>
      </c>
      <c r="J42" t="s">
        <v>15</v>
      </c>
      <c r="K42" t="s">
        <v>33</v>
      </c>
      <c r="L42">
        <f t="shared" si="1"/>
        <v>449028</v>
      </c>
    </row>
    <row r="43" spans="1:12" x14ac:dyDescent="0.3">
      <c r="A43" t="s">
        <v>193</v>
      </c>
      <c r="B43" t="s">
        <v>23</v>
      </c>
      <c r="C43" t="s">
        <v>35</v>
      </c>
      <c r="D43" t="s">
        <v>77</v>
      </c>
      <c r="E43">
        <v>12</v>
      </c>
      <c r="F43">
        <v>14727</v>
      </c>
      <c r="G43">
        <v>10</v>
      </c>
      <c r="H43">
        <v>12</v>
      </c>
      <c r="I43">
        <v>178137.79</v>
      </c>
      <c r="J43" t="s">
        <v>15</v>
      </c>
      <c r="K43" t="s">
        <v>16</v>
      </c>
      <c r="L43">
        <f t="shared" si="1"/>
        <v>1014780</v>
      </c>
    </row>
    <row r="44" spans="1:12" x14ac:dyDescent="0.3">
      <c r="A44" t="s">
        <v>73</v>
      </c>
      <c r="B44" t="s">
        <v>23</v>
      </c>
      <c r="C44" t="s">
        <v>29</v>
      </c>
      <c r="D44" t="s">
        <v>30</v>
      </c>
      <c r="E44">
        <v>24</v>
      </c>
      <c r="F44">
        <v>18552</v>
      </c>
      <c r="G44">
        <v>5</v>
      </c>
      <c r="H44">
        <v>12</v>
      </c>
      <c r="I44">
        <v>473743.87</v>
      </c>
      <c r="J44" t="s">
        <v>21</v>
      </c>
      <c r="K44" t="s">
        <v>26</v>
      </c>
      <c r="L44">
        <f t="shared" si="1"/>
        <v>222058</v>
      </c>
    </row>
    <row r="45" spans="1:12" x14ac:dyDescent="0.3">
      <c r="A45" t="s">
        <v>94</v>
      </c>
      <c r="B45" t="s">
        <v>23</v>
      </c>
      <c r="C45" t="s">
        <v>29</v>
      </c>
      <c r="D45" t="s">
        <v>30</v>
      </c>
      <c r="E45">
        <v>5</v>
      </c>
      <c r="F45">
        <v>30562</v>
      </c>
      <c r="G45">
        <v>0</v>
      </c>
      <c r="H45">
        <v>12</v>
      </c>
      <c r="I45">
        <v>171147.2</v>
      </c>
      <c r="J45" t="s">
        <v>46</v>
      </c>
      <c r="K45" t="s">
        <v>33</v>
      </c>
      <c r="L45">
        <f t="shared" si="1"/>
        <v>222058</v>
      </c>
    </row>
    <row r="46" spans="1:12" x14ac:dyDescent="0.3">
      <c r="A46" t="s">
        <v>197</v>
      </c>
      <c r="B46" t="s">
        <v>23</v>
      </c>
      <c r="C46" t="s">
        <v>62</v>
      </c>
      <c r="D46" t="s">
        <v>63</v>
      </c>
      <c r="E46">
        <v>31</v>
      </c>
      <c r="F46">
        <v>28780</v>
      </c>
      <c r="G46">
        <v>5</v>
      </c>
      <c r="H46">
        <v>28</v>
      </c>
      <c r="I46">
        <v>1084890.8799999999</v>
      </c>
      <c r="J46" t="s">
        <v>37</v>
      </c>
      <c r="K46" t="s">
        <v>26</v>
      </c>
      <c r="L46">
        <f t="shared" si="1"/>
        <v>449028</v>
      </c>
    </row>
    <row r="47" spans="1:12" x14ac:dyDescent="0.3">
      <c r="A47" t="s">
        <v>65</v>
      </c>
      <c r="B47" t="s">
        <v>23</v>
      </c>
      <c r="C47" t="s">
        <v>13</v>
      </c>
      <c r="D47" t="s">
        <v>32</v>
      </c>
      <c r="E47">
        <v>12</v>
      </c>
      <c r="F47">
        <v>70055</v>
      </c>
      <c r="G47">
        <v>5</v>
      </c>
      <c r="H47">
        <v>12</v>
      </c>
      <c r="I47">
        <v>894462.24</v>
      </c>
      <c r="J47" t="s">
        <v>37</v>
      </c>
      <c r="K47" t="s">
        <v>26</v>
      </c>
      <c r="L47">
        <f t="shared" si="1"/>
        <v>721670</v>
      </c>
    </row>
    <row r="48" spans="1:12" x14ac:dyDescent="0.3">
      <c r="A48" t="s">
        <v>181</v>
      </c>
      <c r="B48" t="s">
        <v>23</v>
      </c>
      <c r="C48" t="s">
        <v>29</v>
      </c>
      <c r="D48" t="s">
        <v>30</v>
      </c>
      <c r="E48">
        <v>2</v>
      </c>
      <c r="F48">
        <v>8550</v>
      </c>
      <c r="G48">
        <v>12</v>
      </c>
      <c r="H48">
        <v>18</v>
      </c>
      <c r="I48">
        <v>17756.64</v>
      </c>
      <c r="J48" t="s">
        <v>15</v>
      </c>
      <c r="K48" t="s">
        <v>16</v>
      </c>
      <c r="L48">
        <f t="shared" si="1"/>
        <v>222058</v>
      </c>
    </row>
    <row r="49" spans="1:12" x14ac:dyDescent="0.3">
      <c r="A49" t="s">
        <v>43</v>
      </c>
      <c r="B49" t="s">
        <v>23</v>
      </c>
      <c r="C49" t="s">
        <v>19</v>
      </c>
      <c r="D49" t="s">
        <v>20</v>
      </c>
      <c r="E49">
        <v>10</v>
      </c>
      <c r="F49">
        <v>41106</v>
      </c>
      <c r="G49">
        <v>10</v>
      </c>
      <c r="H49">
        <v>28</v>
      </c>
      <c r="I49">
        <v>473541.12</v>
      </c>
      <c r="J49" t="s">
        <v>37</v>
      </c>
      <c r="K49" t="s">
        <v>16</v>
      </c>
      <c r="L49">
        <f t="shared" si="1"/>
        <v>606938</v>
      </c>
    </row>
    <row r="50" spans="1:12" x14ac:dyDescent="0.3">
      <c r="A50" t="s">
        <v>125</v>
      </c>
      <c r="B50" t="s">
        <v>23</v>
      </c>
      <c r="C50" t="s">
        <v>62</v>
      </c>
      <c r="D50" t="s">
        <v>92</v>
      </c>
      <c r="E50">
        <v>18</v>
      </c>
      <c r="F50">
        <v>75851</v>
      </c>
      <c r="G50">
        <v>12</v>
      </c>
      <c r="H50">
        <v>28</v>
      </c>
      <c r="I50">
        <v>1537894.2</v>
      </c>
      <c r="J50" t="s">
        <v>46</v>
      </c>
      <c r="K50" t="s">
        <v>26</v>
      </c>
      <c r="L50">
        <f t="shared" si="1"/>
        <v>449028</v>
      </c>
    </row>
    <row r="51" spans="1:12" x14ac:dyDescent="0.3">
      <c r="A51" t="s">
        <v>105</v>
      </c>
      <c r="B51" t="s">
        <v>23</v>
      </c>
      <c r="C51" t="s">
        <v>13</v>
      </c>
      <c r="D51" t="s">
        <v>14</v>
      </c>
      <c r="E51">
        <v>10</v>
      </c>
      <c r="F51">
        <v>47092</v>
      </c>
      <c r="G51">
        <v>12</v>
      </c>
      <c r="H51">
        <v>28</v>
      </c>
      <c r="I51">
        <v>530444.29</v>
      </c>
      <c r="J51" t="s">
        <v>37</v>
      </c>
      <c r="K51" t="s">
        <v>33</v>
      </c>
      <c r="L51">
        <f t="shared" si="1"/>
        <v>721670</v>
      </c>
    </row>
    <row r="52" spans="1:12" x14ac:dyDescent="0.3">
      <c r="A52" t="s">
        <v>87</v>
      </c>
      <c r="B52" t="s">
        <v>23</v>
      </c>
      <c r="C52" t="s">
        <v>19</v>
      </c>
      <c r="D52" t="s">
        <v>20</v>
      </c>
      <c r="E52">
        <v>25</v>
      </c>
      <c r="F52">
        <v>43461</v>
      </c>
      <c r="G52">
        <v>0</v>
      </c>
      <c r="H52">
        <v>12</v>
      </c>
      <c r="I52">
        <v>1216908</v>
      </c>
      <c r="J52" t="s">
        <v>15</v>
      </c>
      <c r="K52" t="s">
        <v>38</v>
      </c>
      <c r="L52">
        <f t="shared" si="1"/>
        <v>606938</v>
      </c>
    </row>
    <row r="53" spans="1:12" x14ac:dyDescent="0.3">
      <c r="A53" t="s">
        <v>133</v>
      </c>
      <c r="B53" t="s">
        <v>23</v>
      </c>
      <c r="C53" t="s">
        <v>35</v>
      </c>
      <c r="D53" t="s">
        <v>77</v>
      </c>
      <c r="E53">
        <v>34</v>
      </c>
      <c r="F53">
        <v>23798</v>
      </c>
      <c r="G53">
        <v>0</v>
      </c>
      <c r="H53">
        <v>28</v>
      </c>
      <c r="I53">
        <v>1035688.96</v>
      </c>
      <c r="J53" t="s">
        <v>15</v>
      </c>
      <c r="K53" t="s">
        <v>33</v>
      </c>
      <c r="L53">
        <f t="shared" si="1"/>
        <v>1014780</v>
      </c>
    </row>
    <row r="54" spans="1:12" x14ac:dyDescent="0.3">
      <c r="A54" t="s">
        <v>134</v>
      </c>
      <c r="B54" t="s">
        <v>23</v>
      </c>
      <c r="C54" t="s">
        <v>19</v>
      </c>
      <c r="D54" t="s">
        <v>20</v>
      </c>
      <c r="E54">
        <v>4</v>
      </c>
      <c r="F54">
        <v>75675</v>
      </c>
      <c r="G54">
        <v>10</v>
      </c>
      <c r="H54">
        <v>28</v>
      </c>
      <c r="I54">
        <v>348710.40000000002</v>
      </c>
      <c r="J54" t="s">
        <v>15</v>
      </c>
      <c r="K54" t="s">
        <v>33</v>
      </c>
      <c r="L54">
        <f t="shared" si="1"/>
        <v>606938</v>
      </c>
    </row>
    <row r="55" spans="1:12" x14ac:dyDescent="0.3">
      <c r="A55" t="s">
        <v>137</v>
      </c>
      <c r="B55" t="s">
        <v>23</v>
      </c>
      <c r="C55" t="s">
        <v>48</v>
      </c>
      <c r="D55" t="s">
        <v>59</v>
      </c>
      <c r="E55">
        <v>39</v>
      </c>
      <c r="F55">
        <v>62498</v>
      </c>
      <c r="G55">
        <v>5</v>
      </c>
      <c r="H55">
        <v>12</v>
      </c>
      <c r="I55">
        <v>2593417.0099999998</v>
      </c>
      <c r="J55" t="s">
        <v>37</v>
      </c>
      <c r="K55" t="s">
        <v>33</v>
      </c>
      <c r="L55">
        <f t="shared" si="1"/>
        <v>794882</v>
      </c>
    </row>
    <row r="56" spans="1:12" x14ac:dyDescent="0.3">
      <c r="A56" t="s">
        <v>215</v>
      </c>
      <c r="B56" t="s">
        <v>23</v>
      </c>
      <c r="C56" t="s">
        <v>19</v>
      </c>
      <c r="D56" t="s">
        <v>20</v>
      </c>
      <c r="E56">
        <v>40</v>
      </c>
      <c r="F56">
        <v>63500</v>
      </c>
      <c r="G56">
        <v>10</v>
      </c>
      <c r="H56">
        <v>28</v>
      </c>
      <c r="I56">
        <v>2926080</v>
      </c>
      <c r="J56" t="s">
        <v>21</v>
      </c>
      <c r="K56" t="s">
        <v>26</v>
      </c>
      <c r="L56">
        <f t="shared" si="1"/>
        <v>606938</v>
      </c>
    </row>
    <row r="57" spans="1:12" x14ac:dyDescent="0.3">
      <c r="A57" t="s">
        <v>182</v>
      </c>
      <c r="B57" t="s">
        <v>23</v>
      </c>
      <c r="C57" t="s">
        <v>44</v>
      </c>
      <c r="D57" t="s">
        <v>51</v>
      </c>
      <c r="E57">
        <v>31</v>
      </c>
      <c r="F57">
        <v>7866</v>
      </c>
      <c r="G57">
        <v>5</v>
      </c>
      <c r="H57">
        <v>12</v>
      </c>
      <c r="I57">
        <v>259452.14</v>
      </c>
      <c r="J57" t="s">
        <v>37</v>
      </c>
      <c r="K57" t="s">
        <v>16</v>
      </c>
      <c r="L57">
        <f t="shared" si="1"/>
        <v>365359</v>
      </c>
    </row>
    <row r="58" spans="1:12" x14ac:dyDescent="0.3">
      <c r="A58" t="s">
        <v>171</v>
      </c>
      <c r="B58" t="s">
        <v>23</v>
      </c>
      <c r="C58" t="s">
        <v>35</v>
      </c>
      <c r="D58" t="s">
        <v>56</v>
      </c>
      <c r="E58">
        <v>6</v>
      </c>
      <c r="F58">
        <v>15925</v>
      </c>
      <c r="G58">
        <v>12</v>
      </c>
      <c r="H58">
        <v>12</v>
      </c>
      <c r="I58">
        <v>94174.080000000002</v>
      </c>
      <c r="J58" t="s">
        <v>46</v>
      </c>
      <c r="K58" t="s">
        <v>38</v>
      </c>
      <c r="L58">
        <f t="shared" si="1"/>
        <v>1014780</v>
      </c>
    </row>
    <row r="59" spans="1:12" x14ac:dyDescent="0.3">
      <c r="A59" t="s">
        <v>54</v>
      </c>
      <c r="B59" t="s">
        <v>23</v>
      </c>
      <c r="C59" t="s">
        <v>35</v>
      </c>
      <c r="D59" t="s">
        <v>36</v>
      </c>
      <c r="E59">
        <v>15</v>
      </c>
      <c r="F59">
        <v>78995</v>
      </c>
      <c r="G59">
        <v>12</v>
      </c>
      <c r="H59">
        <v>12</v>
      </c>
      <c r="I59">
        <v>1167862.08</v>
      </c>
      <c r="J59" t="s">
        <v>37</v>
      </c>
      <c r="K59" t="s">
        <v>26</v>
      </c>
      <c r="L59">
        <f t="shared" si="1"/>
        <v>1014780</v>
      </c>
    </row>
    <row r="60" spans="1:12" x14ac:dyDescent="0.3">
      <c r="A60" t="s">
        <v>229</v>
      </c>
      <c r="B60" t="s">
        <v>23</v>
      </c>
      <c r="C60" t="s">
        <v>13</v>
      </c>
      <c r="D60" t="s">
        <v>14</v>
      </c>
      <c r="E60">
        <v>24</v>
      </c>
      <c r="F60">
        <v>50722</v>
      </c>
      <c r="G60">
        <v>12</v>
      </c>
      <c r="H60">
        <v>28</v>
      </c>
      <c r="I60">
        <v>1371198.26</v>
      </c>
      <c r="J60" t="s">
        <v>37</v>
      </c>
      <c r="K60" t="s">
        <v>38</v>
      </c>
      <c r="L60">
        <f t="shared" si="1"/>
        <v>721670</v>
      </c>
    </row>
    <row r="61" spans="1:12" x14ac:dyDescent="0.3">
      <c r="A61" t="s">
        <v>94</v>
      </c>
      <c r="B61" t="s">
        <v>23</v>
      </c>
      <c r="C61" t="s">
        <v>19</v>
      </c>
      <c r="D61" t="s">
        <v>20</v>
      </c>
      <c r="E61">
        <v>35</v>
      </c>
      <c r="F61">
        <v>63768</v>
      </c>
      <c r="G61">
        <v>12</v>
      </c>
      <c r="H61">
        <v>18</v>
      </c>
      <c r="I61">
        <v>2317584.19</v>
      </c>
      <c r="J61" t="s">
        <v>21</v>
      </c>
      <c r="K61" t="s">
        <v>26</v>
      </c>
      <c r="L61">
        <f t="shared" si="1"/>
        <v>606938</v>
      </c>
    </row>
    <row r="62" spans="1:12" x14ac:dyDescent="0.3">
      <c r="A62" t="s">
        <v>93</v>
      </c>
      <c r="B62" t="s">
        <v>23</v>
      </c>
      <c r="C62" t="s">
        <v>13</v>
      </c>
      <c r="D62" t="s">
        <v>32</v>
      </c>
      <c r="E62">
        <v>26</v>
      </c>
      <c r="F62">
        <v>79370</v>
      </c>
      <c r="G62">
        <v>0</v>
      </c>
      <c r="H62">
        <v>12</v>
      </c>
      <c r="I62">
        <v>2311254.4</v>
      </c>
      <c r="J62" t="s">
        <v>15</v>
      </c>
      <c r="K62" t="s">
        <v>16</v>
      </c>
      <c r="L62">
        <f t="shared" si="1"/>
        <v>721670</v>
      </c>
    </row>
    <row r="63" spans="1:12" x14ac:dyDescent="0.3">
      <c r="A63" t="s">
        <v>91</v>
      </c>
      <c r="B63" t="s">
        <v>23</v>
      </c>
      <c r="C63" t="s">
        <v>24</v>
      </c>
      <c r="D63" t="s">
        <v>76</v>
      </c>
      <c r="E63">
        <v>27</v>
      </c>
      <c r="F63">
        <v>42956</v>
      </c>
      <c r="G63">
        <v>10</v>
      </c>
      <c r="H63">
        <v>12</v>
      </c>
      <c r="I63">
        <v>1169090.5</v>
      </c>
      <c r="J63" t="s">
        <v>15</v>
      </c>
      <c r="K63" t="s">
        <v>33</v>
      </c>
      <c r="L63">
        <f t="shared" si="1"/>
        <v>701495</v>
      </c>
    </row>
    <row r="64" spans="1:12" x14ac:dyDescent="0.3">
      <c r="A64" t="s">
        <v>71</v>
      </c>
      <c r="B64" t="s">
        <v>23</v>
      </c>
      <c r="C64" t="s">
        <v>48</v>
      </c>
      <c r="D64" t="s">
        <v>49</v>
      </c>
      <c r="E64">
        <v>13</v>
      </c>
      <c r="F64">
        <v>13346</v>
      </c>
      <c r="G64">
        <v>5</v>
      </c>
      <c r="H64">
        <v>28</v>
      </c>
      <c r="I64">
        <v>210973.57</v>
      </c>
      <c r="J64" t="s">
        <v>46</v>
      </c>
      <c r="K64" t="s">
        <v>26</v>
      </c>
      <c r="L64">
        <f t="shared" si="1"/>
        <v>794882</v>
      </c>
    </row>
    <row r="65" spans="1:12" x14ac:dyDescent="0.3">
      <c r="A65" t="s">
        <v>79</v>
      </c>
      <c r="B65" t="s">
        <v>23</v>
      </c>
      <c r="C65" t="s">
        <v>13</v>
      </c>
      <c r="D65" t="s">
        <v>14</v>
      </c>
      <c r="E65">
        <v>28</v>
      </c>
      <c r="F65">
        <v>77521</v>
      </c>
      <c r="G65">
        <v>5</v>
      </c>
      <c r="H65">
        <v>18</v>
      </c>
      <c r="I65">
        <v>2433229.15</v>
      </c>
      <c r="J65" t="s">
        <v>37</v>
      </c>
      <c r="K65" t="s">
        <v>33</v>
      </c>
      <c r="L65">
        <f t="shared" si="1"/>
        <v>721670</v>
      </c>
    </row>
    <row r="66" spans="1:12" x14ac:dyDescent="0.3">
      <c r="A66" t="s">
        <v>224</v>
      </c>
      <c r="B66" t="s">
        <v>23</v>
      </c>
      <c r="C66" t="s">
        <v>44</v>
      </c>
      <c r="D66" t="s">
        <v>51</v>
      </c>
      <c r="E66">
        <v>20</v>
      </c>
      <c r="F66">
        <v>79689</v>
      </c>
      <c r="G66">
        <v>10</v>
      </c>
      <c r="H66">
        <v>28</v>
      </c>
      <c r="I66">
        <v>1836034.56</v>
      </c>
      <c r="J66" t="s">
        <v>21</v>
      </c>
      <c r="K66" t="s">
        <v>33</v>
      </c>
      <c r="L66">
        <f t="shared" ref="L66:L97" si="2">SUMIF(C:C,C66,F:F)</f>
        <v>365359</v>
      </c>
    </row>
    <row r="67" spans="1:12" x14ac:dyDescent="0.3">
      <c r="A67" t="s">
        <v>93</v>
      </c>
      <c r="B67" t="s">
        <v>23</v>
      </c>
      <c r="C67" t="s">
        <v>24</v>
      </c>
      <c r="D67" t="s">
        <v>25</v>
      </c>
      <c r="E67">
        <v>33</v>
      </c>
      <c r="F67">
        <v>51880</v>
      </c>
      <c r="G67">
        <v>5</v>
      </c>
      <c r="H67">
        <v>18</v>
      </c>
      <c r="I67">
        <v>1919196.84</v>
      </c>
      <c r="J67" t="s">
        <v>37</v>
      </c>
      <c r="K67" t="s">
        <v>38</v>
      </c>
      <c r="L67">
        <f t="shared" si="2"/>
        <v>701495</v>
      </c>
    </row>
    <row r="68" spans="1:12" x14ac:dyDescent="0.3">
      <c r="A68" t="s">
        <v>222</v>
      </c>
      <c r="B68" t="s">
        <v>23</v>
      </c>
      <c r="C68" t="s">
        <v>13</v>
      </c>
      <c r="D68" t="s">
        <v>32</v>
      </c>
      <c r="E68">
        <v>28</v>
      </c>
      <c r="F68">
        <v>32499</v>
      </c>
      <c r="G68">
        <v>0</v>
      </c>
      <c r="H68">
        <v>18</v>
      </c>
      <c r="I68">
        <v>1073766.96</v>
      </c>
      <c r="J68" t="s">
        <v>21</v>
      </c>
      <c r="K68" t="s">
        <v>33</v>
      </c>
      <c r="L68">
        <f t="shared" si="2"/>
        <v>721670</v>
      </c>
    </row>
    <row r="69" spans="1:12" x14ac:dyDescent="0.3">
      <c r="A69" t="s">
        <v>164</v>
      </c>
      <c r="B69" t="s">
        <v>23</v>
      </c>
      <c r="C69" t="s">
        <v>48</v>
      </c>
      <c r="D69" t="s">
        <v>59</v>
      </c>
      <c r="E69">
        <v>1</v>
      </c>
      <c r="F69">
        <v>63606</v>
      </c>
      <c r="G69">
        <v>10</v>
      </c>
      <c r="H69">
        <v>28</v>
      </c>
      <c r="I69">
        <v>73274.11</v>
      </c>
      <c r="J69" t="s">
        <v>37</v>
      </c>
      <c r="K69" t="s">
        <v>16</v>
      </c>
      <c r="L69">
        <f t="shared" si="2"/>
        <v>794882</v>
      </c>
    </row>
    <row r="70" spans="1:12" x14ac:dyDescent="0.3">
      <c r="A70" t="s">
        <v>118</v>
      </c>
      <c r="B70" t="s">
        <v>23</v>
      </c>
      <c r="C70" t="s">
        <v>13</v>
      </c>
      <c r="D70" t="s">
        <v>14</v>
      </c>
      <c r="E70">
        <v>39</v>
      </c>
      <c r="F70">
        <v>4423</v>
      </c>
      <c r="G70">
        <v>12</v>
      </c>
      <c r="H70">
        <v>28</v>
      </c>
      <c r="I70">
        <v>194300.62</v>
      </c>
      <c r="J70" t="s">
        <v>15</v>
      </c>
      <c r="K70" t="s">
        <v>16</v>
      </c>
      <c r="L70">
        <f t="shared" si="2"/>
        <v>721670</v>
      </c>
    </row>
    <row r="71" spans="1:12" x14ac:dyDescent="0.3">
      <c r="A71" t="s">
        <v>179</v>
      </c>
      <c r="B71" t="s">
        <v>23</v>
      </c>
      <c r="C71" t="s">
        <v>62</v>
      </c>
      <c r="D71" t="s">
        <v>63</v>
      </c>
      <c r="E71">
        <v>12</v>
      </c>
      <c r="F71">
        <v>68761</v>
      </c>
      <c r="G71">
        <v>12</v>
      </c>
      <c r="H71">
        <v>28</v>
      </c>
      <c r="I71">
        <v>929428.68</v>
      </c>
      <c r="J71" t="s">
        <v>21</v>
      </c>
      <c r="K71" t="s">
        <v>38</v>
      </c>
      <c r="L71">
        <f t="shared" si="2"/>
        <v>449028</v>
      </c>
    </row>
    <row r="72" spans="1:12" x14ac:dyDescent="0.3">
      <c r="A72" t="s">
        <v>210</v>
      </c>
      <c r="B72" t="s">
        <v>23</v>
      </c>
      <c r="C72" t="s">
        <v>24</v>
      </c>
      <c r="D72" t="s">
        <v>25</v>
      </c>
      <c r="E72">
        <v>22</v>
      </c>
      <c r="F72">
        <v>75942</v>
      </c>
      <c r="G72">
        <v>12</v>
      </c>
      <c r="H72">
        <v>28</v>
      </c>
      <c r="I72">
        <v>1881903.51</v>
      </c>
      <c r="J72" t="s">
        <v>15</v>
      </c>
      <c r="K72" t="s">
        <v>33</v>
      </c>
      <c r="L72">
        <f t="shared" si="2"/>
        <v>701495</v>
      </c>
    </row>
    <row r="73" spans="1:12" x14ac:dyDescent="0.3">
      <c r="A73" t="s">
        <v>145</v>
      </c>
      <c r="B73" t="s">
        <v>23</v>
      </c>
      <c r="C73" t="s">
        <v>48</v>
      </c>
      <c r="D73" t="s">
        <v>49</v>
      </c>
      <c r="E73">
        <v>16</v>
      </c>
      <c r="F73">
        <v>80403</v>
      </c>
      <c r="G73">
        <v>12</v>
      </c>
      <c r="H73">
        <v>18</v>
      </c>
      <c r="I73">
        <v>1335847.6000000001</v>
      </c>
      <c r="J73" t="s">
        <v>46</v>
      </c>
      <c r="K73" t="s">
        <v>16</v>
      </c>
      <c r="L73">
        <f t="shared" si="2"/>
        <v>794882</v>
      </c>
    </row>
    <row r="74" spans="1:12" x14ac:dyDescent="0.3">
      <c r="A74" t="s">
        <v>152</v>
      </c>
      <c r="B74" t="s">
        <v>23</v>
      </c>
      <c r="C74" t="s">
        <v>13</v>
      </c>
      <c r="D74" t="s">
        <v>14</v>
      </c>
      <c r="E74">
        <v>27</v>
      </c>
      <c r="F74">
        <v>22554</v>
      </c>
      <c r="G74">
        <v>5</v>
      </c>
      <c r="H74">
        <v>12</v>
      </c>
      <c r="I74">
        <v>647931.31000000006</v>
      </c>
      <c r="J74" t="s">
        <v>15</v>
      </c>
      <c r="K74" t="s">
        <v>33</v>
      </c>
      <c r="L74">
        <f t="shared" si="2"/>
        <v>721670</v>
      </c>
    </row>
    <row r="75" spans="1:12" x14ac:dyDescent="0.3">
      <c r="A75" t="s">
        <v>129</v>
      </c>
      <c r="B75" t="s">
        <v>23</v>
      </c>
      <c r="C75" t="s">
        <v>48</v>
      </c>
      <c r="D75" t="s">
        <v>59</v>
      </c>
      <c r="E75">
        <v>18</v>
      </c>
      <c r="F75">
        <v>72327</v>
      </c>
      <c r="G75">
        <v>0</v>
      </c>
      <c r="H75">
        <v>28</v>
      </c>
      <c r="I75">
        <v>1666414.08</v>
      </c>
      <c r="J75" t="s">
        <v>21</v>
      </c>
      <c r="K75" t="s">
        <v>38</v>
      </c>
      <c r="L75">
        <f t="shared" si="2"/>
        <v>794882</v>
      </c>
    </row>
    <row r="76" spans="1:12" x14ac:dyDescent="0.3">
      <c r="A76" t="s">
        <v>219</v>
      </c>
      <c r="B76" t="s">
        <v>23</v>
      </c>
      <c r="C76" t="s">
        <v>48</v>
      </c>
      <c r="D76" t="s">
        <v>49</v>
      </c>
      <c r="E76">
        <v>31</v>
      </c>
      <c r="F76">
        <v>48309</v>
      </c>
      <c r="G76">
        <v>10</v>
      </c>
      <c r="H76">
        <v>18</v>
      </c>
      <c r="I76">
        <v>1590428.9</v>
      </c>
      <c r="J76" t="s">
        <v>21</v>
      </c>
      <c r="K76" t="s">
        <v>33</v>
      </c>
      <c r="L76">
        <f t="shared" si="2"/>
        <v>794882</v>
      </c>
    </row>
    <row r="77" spans="1:12" x14ac:dyDescent="0.3">
      <c r="A77" t="s">
        <v>221</v>
      </c>
      <c r="B77" t="s">
        <v>23</v>
      </c>
      <c r="C77" t="s">
        <v>24</v>
      </c>
      <c r="D77" t="s">
        <v>76</v>
      </c>
      <c r="E77">
        <v>31</v>
      </c>
      <c r="F77">
        <v>11777</v>
      </c>
      <c r="G77">
        <v>0</v>
      </c>
      <c r="H77">
        <v>12</v>
      </c>
      <c r="I77">
        <v>408897.44</v>
      </c>
      <c r="J77" t="s">
        <v>37</v>
      </c>
      <c r="K77" t="s">
        <v>33</v>
      </c>
      <c r="L77">
        <f t="shared" si="2"/>
        <v>701495</v>
      </c>
    </row>
    <row r="78" spans="1:12" x14ac:dyDescent="0.3">
      <c r="A78" t="s">
        <v>171</v>
      </c>
      <c r="B78" t="s">
        <v>23</v>
      </c>
      <c r="C78" t="s">
        <v>29</v>
      </c>
      <c r="D78" t="s">
        <v>30</v>
      </c>
      <c r="E78">
        <v>11</v>
      </c>
      <c r="F78">
        <v>60054</v>
      </c>
      <c r="G78">
        <v>0</v>
      </c>
      <c r="H78">
        <v>12</v>
      </c>
      <c r="I78">
        <v>739865.28</v>
      </c>
      <c r="J78" t="s">
        <v>37</v>
      </c>
      <c r="K78" t="s">
        <v>26</v>
      </c>
      <c r="L78">
        <f t="shared" si="2"/>
        <v>222058</v>
      </c>
    </row>
    <row r="79" spans="1:12" x14ac:dyDescent="0.3">
      <c r="A79" t="s">
        <v>164</v>
      </c>
      <c r="B79" t="s">
        <v>23</v>
      </c>
      <c r="C79" t="s">
        <v>13</v>
      </c>
      <c r="D79" t="s">
        <v>32</v>
      </c>
      <c r="E79">
        <v>2</v>
      </c>
      <c r="F79">
        <v>12725</v>
      </c>
      <c r="G79">
        <v>12</v>
      </c>
      <c r="H79">
        <v>12</v>
      </c>
      <c r="I79">
        <v>25083.52</v>
      </c>
      <c r="J79" t="s">
        <v>15</v>
      </c>
      <c r="K79" t="s">
        <v>33</v>
      </c>
      <c r="L79">
        <f t="shared" si="2"/>
        <v>721670</v>
      </c>
    </row>
    <row r="80" spans="1:12" x14ac:dyDescent="0.3">
      <c r="A80" t="s">
        <v>213</v>
      </c>
      <c r="B80" t="s">
        <v>23</v>
      </c>
      <c r="C80" t="s">
        <v>24</v>
      </c>
      <c r="D80" t="s">
        <v>76</v>
      </c>
      <c r="E80">
        <v>5</v>
      </c>
      <c r="F80">
        <v>63220</v>
      </c>
      <c r="G80">
        <v>10</v>
      </c>
      <c r="H80">
        <v>18</v>
      </c>
      <c r="I80">
        <v>335698.2</v>
      </c>
      <c r="J80" t="s">
        <v>46</v>
      </c>
      <c r="K80" t="s">
        <v>16</v>
      </c>
      <c r="L80">
        <f t="shared" si="2"/>
        <v>701495</v>
      </c>
    </row>
    <row r="81" spans="1:12" x14ac:dyDescent="0.3">
      <c r="A81" t="s">
        <v>166</v>
      </c>
      <c r="B81" t="s">
        <v>23</v>
      </c>
      <c r="C81" t="s">
        <v>24</v>
      </c>
      <c r="D81" t="s">
        <v>25</v>
      </c>
      <c r="E81">
        <v>25</v>
      </c>
      <c r="F81">
        <v>12252</v>
      </c>
      <c r="G81">
        <v>0</v>
      </c>
      <c r="H81">
        <v>12</v>
      </c>
      <c r="I81">
        <v>343056</v>
      </c>
      <c r="J81" t="s">
        <v>46</v>
      </c>
      <c r="K81" t="s">
        <v>26</v>
      </c>
      <c r="L81">
        <f t="shared" si="2"/>
        <v>701495</v>
      </c>
    </row>
    <row r="82" spans="1:12" x14ac:dyDescent="0.3">
      <c r="A82" t="s">
        <v>178</v>
      </c>
      <c r="B82" t="s">
        <v>23</v>
      </c>
      <c r="C82" t="s">
        <v>48</v>
      </c>
      <c r="D82" t="s">
        <v>59</v>
      </c>
      <c r="E82">
        <v>12</v>
      </c>
      <c r="F82">
        <v>75385</v>
      </c>
      <c r="G82">
        <v>0</v>
      </c>
      <c r="H82">
        <v>28</v>
      </c>
      <c r="I82">
        <v>1157913.6000000001</v>
      </c>
      <c r="J82" t="s">
        <v>15</v>
      </c>
      <c r="K82" t="s">
        <v>26</v>
      </c>
      <c r="L82">
        <f t="shared" si="2"/>
        <v>794882</v>
      </c>
    </row>
    <row r="83" spans="1:12" x14ac:dyDescent="0.3">
      <c r="A83" t="s">
        <v>187</v>
      </c>
      <c r="B83" t="s">
        <v>23</v>
      </c>
      <c r="C83" t="s">
        <v>35</v>
      </c>
      <c r="D83" t="s">
        <v>36</v>
      </c>
      <c r="E83">
        <v>11</v>
      </c>
      <c r="F83">
        <v>75149</v>
      </c>
      <c r="G83">
        <v>12</v>
      </c>
      <c r="H83">
        <v>28</v>
      </c>
      <c r="I83">
        <v>931126.17</v>
      </c>
      <c r="J83" t="s">
        <v>37</v>
      </c>
      <c r="K83" t="s">
        <v>33</v>
      </c>
      <c r="L83">
        <f t="shared" si="2"/>
        <v>1014780</v>
      </c>
    </row>
    <row r="84" spans="1:12" x14ac:dyDescent="0.3">
      <c r="A84" t="s">
        <v>159</v>
      </c>
      <c r="B84" t="s">
        <v>23</v>
      </c>
      <c r="C84" t="s">
        <v>19</v>
      </c>
      <c r="D84" t="s">
        <v>20</v>
      </c>
      <c r="E84">
        <v>31</v>
      </c>
      <c r="F84">
        <v>65582</v>
      </c>
      <c r="G84">
        <v>0</v>
      </c>
      <c r="H84">
        <v>28</v>
      </c>
      <c r="I84">
        <v>2602293.7599999998</v>
      </c>
      <c r="J84" t="s">
        <v>46</v>
      </c>
      <c r="K84" t="s">
        <v>38</v>
      </c>
      <c r="L84">
        <f t="shared" si="2"/>
        <v>606938</v>
      </c>
    </row>
    <row r="85" spans="1:12" x14ac:dyDescent="0.3">
      <c r="A85" t="s">
        <v>195</v>
      </c>
      <c r="B85" t="s">
        <v>23</v>
      </c>
      <c r="C85" t="s">
        <v>19</v>
      </c>
      <c r="D85" t="s">
        <v>20</v>
      </c>
      <c r="E85">
        <v>12</v>
      </c>
      <c r="F85">
        <v>22967</v>
      </c>
      <c r="G85">
        <v>10</v>
      </c>
      <c r="H85">
        <v>28</v>
      </c>
      <c r="I85">
        <v>317495.81</v>
      </c>
      <c r="J85" t="s">
        <v>37</v>
      </c>
      <c r="K85" t="s">
        <v>26</v>
      </c>
      <c r="L85">
        <f t="shared" si="2"/>
        <v>606938</v>
      </c>
    </row>
    <row r="86" spans="1:12" x14ac:dyDescent="0.3">
      <c r="A86" t="s">
        <v>123</v>
      </c>
      <c r="B86" t="s">
        <v>23</v>
      </c>
      <c r="C86" t="s">
        <v>44</v>
      </c>
      <c r="D86" t="s">
        <v>45</v>
      </c>
      <c r="E86">
        <v>13</v>
      </c>
      <c r="F86">
        <v>81673</v>
      </c>
      <c r="G86">
        <v>5</v>
      </c>
      <c r="H86">
        <v>12</v>
      </c>
      <c r="I86">
        <v>1129700.94</v>
      </c>
      <c r="J86" t="s">
        <v>21</v>
      </c>
      <c r="K86" t="s">
        <v>38</v>
      </c>
      <c r="L86">
        <f t="shared" si="2"/>
        <v>365359</v>
      </c>
    </row>
    <row r="87" spans="1:12" x14ac:dyDescent="0.3">
      <c r="A87" t="s">
        <v>160</v>
      </c>
      <c r="B87" t="s">
        <v>23</v>
      </c>
      <c r="C87" t="s">
        <v>13</v>
      </c>
      <c r="D87" t="s">
        <v>14</v>
      </c>
      <c r="E87">
        <v>36</v>
      </c>
      <c r="F87">
        <v>15054</v>
      </c>
      <c r="G87">
        <v>5</v>
      </c>
      <c r="H87">
        <v>28</v>
      </c>
      <c r="I87">
        <v>659003.9</v>
      </c>
      <c r="J87" t="s">
        <v>37</v>
      </c>
      <c r="K87" t="s">
        <v>16</v>
      </c>
      <c r="L87">
        <f t="shared" si="2"/>
        <v>721670</v>
      </c>
    </row>
    <row r="88" spans="1:12" x14ac:dyDescent="0.3">
      <c r="A88" t="s">
        <v>140</v>
      </c>
      <c r="B88" t="s">
        <v>23</v>
      </c>
      <c r="C88" t="s">
        <v>24</v>
      </c>
      <c r="D88" t="s">
        <v>40</v>
      </c>
      <c r="E88">
        <v>31</v>
      </c>
      <c r="F88">
        <v>22668</v>
      </c>
      <c r="G88">
        <v>0</v>
      </c>
      <c r="H88">
        <v>28</v>
      </c>
      <c r="I88">
        <v>899466.23999999999</v>
      </c>
      <c r="J88" t="s">
        <v>37</v>
      </c>
      <c r="K88" t="s">
        <v>33</v>
      </c>
      <c r="L88">
        <f t="shared" si="2"/>
        <v>701495</v>
      </c>
    </row>
    <row r="89" spans="1:12" x14ac:dyDescent="0.3">
      <c r="A89" t="s">
        <v>123</v>
      </c>
      <c r="B89" t="s">
        <v>23</v>
      </c>
      <c r="C89" t="s">
        <v>19</v>
      </c>
      <c r="D89" t="s">
        <v>20</v>
      </c>
      <c r="E89">
        <v>30</v>
      </c>
      <c r="F89">
        <v>25741</v>
      </c>
      <c r="G89">
        <v>0</v>
      </c>
      <c r="H89">
        <v>12</v>
      </c>
      <c r="I89">
        <v>864897.6</v>
      </c>
      <c r="J89" t="s">
        <v>15</v>
      </c>
      <c r="K89" t="s">
        <v>16</v>
      </c>
      <c r="L89">
        <f t="shared" si="2"/>
        <v>606938</v>
      </c>
    </row>
    <row r="90" spans="1:12" x14ac:dyDescent="0.3">
      <c r="A90" t="s">
        <v>128</v>
      </c>
      <c r="B90" t="s">
        <v>23</v>
      </c>
      <c r="C90" t="s">
        <v>35</v>
      </c>
      <c r="D90" t="s">
        <v>36</v>
      </c>
      <c r="E90">
        <v>4</v>
      </c>
      <c r="F90">
        <v>16085</v>
      </c>
      <c r="G90">
        <v>5</v>
      </c>
      <c r="H90">
        <v>28</v>
      </c>
      <c r="I90">
        <v>78237.440000000002</v>
      </c>
      <c r="J90" t="s">
        <v>21</v>
      </c>
      <c r="K90" t="s">
        <v>38</v>
      </c>
      <c r="L90">
        <f t="shared" si="2"/>
        <v>1014780</v>
      </c>
    </row>
    <row r="91" spans="1:12" x14ac:dyDescent="0.3">
      <c r="A91" t="s">
        <v>212</v>
      </c>
      <c r="B91" t="s">
        <v>23</v>
      </c>
      <c r="C91" t="s">
        <v>19</v>
      </c>
      <c r="D91" t="s">
        <v>20</v>
      </c>
      <c r="E91">
        <v>8</v>
      </c>
      <c r="F91">
        <v>23825</v>
      </c>
      <c r="G91">
        <v>5</v>
      </c>
      <c r="H91">
        <v>18</v>
      </c>
      <c r="I91">
        <v>213662.6</v>
      </c>
      <c r="J91" t="s">
        <v>37</v>
      </c>
      <c r="K91" t="s">
        <v>33</v>
      </c>
      <c r="L91">
        <f t="shared" si="2"/>
        <v>606938</v>
      </c>
    </row>
    <row r="92" spans="1:12" x14ac:dyDescent="0.3">
      <c r="A92" t="s">
        <v>66</v>
      </c>
      <c r="B92" t="s">
        <v>23</v>
      </c>
      <c r="C92" t="s">
        <v>13</v>
      </c>
      <c r="D92" t="s">
        <v>32</v>
      </c>
      <c r="E92">
        <v>9</v>
      </c>
      <c r="F92">
        <v>46340</v>
      </c>
      <c r="G92">
        <v>12</v>
      </c>
      <c r="H92">
        <v>12</v>
      </c>
      <c r="I92">
        <v>411054.34</v>
      </c>
      <c r="J92" t="s">
        <v>21</v>
      </c>
      <c r="K92" t="s">
        <v>38</v>
      </c>
      <c r="L92">
        <f t="shared" si="2"/>
        <v>721670</v>
      </c>
    </row>
    <row r="93" spans="1:12" x14ac:dyDescent="0.3">
      <c r="A93" t="s">
        <v>225</v>
      </c>
      <c r="B93" t="s">
        <v>23</v>
      </c>
      <c r="C93" t="s">
        <v>24</v>
      </c>
      <c r="D93" t="s">
        <v>25</v>
      </c>
      <c r="E93">
        <v>33</v>
      </c>
      <c r="F93">
        <v>35522</v>
      </c>
      <c r="G93">
        <v>0</v>
      </c>
      <c r="H93">
        <v>28</v>
      </c>
      <c r="I93">
        <v>1500449.28</v>
      </c>
      <c r="J93" t="s">
        <v>46</v>
      </c>
      <c r="K93" t="s">
        <v>16</v>
      </c>
      <c r="L93">
        <f t="shared" si="2"/>
        <v>701495</v>
      </c>
    </row>
    <row r="94" spans="1:12" x14ac:dyDescent="0.3">
      <c r="A94" t="s">
        <v>145</v>
      </c>
      <c r="B94" t="s">
        <v>23</v>
      </c>
      <c r="C94" t="s">
        <v>24</v>
      </c>
      <c r="D94" t="s">
        <v>40</v>
      </c>
      <c r="E94">
        <v>22</v>
      </c>
      <c r="F94">
        <v>3864</v>
      </c>
      <c r="G94">
        <v>0</v>
      </c>
      <c r="H94">
        <v>18</v>
      </c>
      <c r="I94">
        <v>100309.44</v>
      </c>
      <c r="J94" t="s">
        <v>21</v>
      </c>
      <c r="K94" t="s">
        <v>33</v>
      </c>
      <c r="L94">
        <f t="shared" si="2"/>
        <v>701495</v>
      </c>
    </row>
    <row r="95" spans="1:12" x14ac:dyDescent="0.3">
      <c r="A95" t="s">
        <v>167</v>
      </c>
      <c r="B95" t="s">
        <v>23</v>
      </c>
      <c r="C95" t="s">
        <v>19</v>
      </c>
      <c r="D95" t="s">
        <v>20</v>
      </c>
      <c r="E95">
        <v>35</v>
      </c>
      <c r="F95">
        <v>78449</v>
      </c>
      <c r="G95">
        <v>5</v>
      </c>
      <c r="H95">
        <v>18</v>
      </c>
      <c r="I95">
        <v>3077946.51</v>
      </c>
      <c r="J95" t="s">
        <v>15</v>
      </c>
      <c r="K95" t="s">
        <v>16</v>
      </c>
      <c r="L95">
        <f t="shared" si="2"/>
        <v>606938</v>
      </c>
    </row>
    <row r="96" spans="1:12" x14ac:dyDescent="0.3">
      <c r="A96" t="s">
        <v>75</v>
      </c>
      <c r="B96" t="s">
        <v>23</v>
      </c>
      <c r="C96" t="s">
        <v>35</v>
      </c>
      <c r="D96" t="s">
        <v>56</v>
      </c>
      <c r="E96">
        <v>40</v>
      </c>
      <c r="F96">
        <v>65032</v>
      </c>
      <c r="G96">
        <v>0</v>
      </c>
      <c r="H96">
        <v>28</v>
      </c>
      <c r="I96">
        <v>3329638.3999999999</v>
      </c>
      <c r="J96" t="s">
        <v>37</v>
      </c>
      <c r="K96" t="s">
        <v>16</v>
      </c>
      <c r="L96">
        <f t="shared" si="2"/>
        <v>1014780</v>
      </c>
    </row>
    <row r="97" spans="1:12" x14ac:dyDescent="0.3">
      <c r="A97" t="s">
        <v>126</v>
      </c>
      <c r="B97" t="s">
        <v>23</v>
      </c>
      <c r="C97" t="s">
        <v>24</v>
      </c>
      <c r="D97" t="s">
        <v>25</v>
      </c>
      <c r="E97">
        <v>20</v>
      </c>
      <c r="F97">
        <v>77864</v>
      </c>
      <c r="G97">
        <v>10</v>
      </c>
      <c r="H97">
        <v>28</v>
      </c>
      <c r="I97">
        <v>1793986.5600000001</v>
      </c>
      <c r="J97" t="s">
        <v>15</v>
      </c>
      <c r="K97" t="s">
        <v>33</v>
      </c>
      <c r="L97">
        <f t="shared" si="2"/>
        <v>701495</v>
      </c>
    </row>
    <row r="98" spans="1:12" x14ac:dyDescent="0.3">
      <c r="A98" t="s">
        <v>120</v>
      </c>
      <c r="B98" t="s">
        <v>23</v>
      </c>
      <c r="C98" t="s">
        <v>24</v>
      </c>
      <c r="D98" t="s">
        <v>40</v>
      </c>
      <c r="E98">
        <v>35</v>
      </c>
      <c r="F98">
        <v>80093</v>
      </c>
      <c r="G98">
        <v>0</v>
      </c>
      <c r="H98">
        <v>12</v>
      </c>
      <c r="I98">
        <v>3139645.6</v>
      </c>
      <c r="J98" t="s">
        <v>37</v>
      </c>
      <c r="K98" t="s">
        <v>26</v>
      </c>
      <c r="L98">
        <f t="shared" ref="L98:L113" si="3">SUMIF(C:C,C98,F:F)</f>
        <v>701495</v>
      </c>
    </row>
    <row r="99" spans="1:12" x14ac:dyDescent="0.3">
      <c r="A99" t="s">
        <v>105</v>
      </c>
      <c r="B99" t="s">
        <v>23</v>
      </c>
      <c r="C99" t="s">
        <v>48</v>
      </c>
      <c r="D99" t="s">
        <v>49</v>
      </c>
      <c r="E99">
        <v>21</v>
      </c>
      <c r="F99">
        <v>56199</v>
      </c>
      <c r="G99">
        <v>5</v>
      </c>
      <c r="H99">
        <v>28</v>
      </c>
      <c r="I99">
        <v>1435097.66</v>
      </c>
      <c r="J99" t="s">
        <v>15</v>
      </c>
      <c r="K99" t="s">
        <v>38</v>
      </c>
      <c r="L99">
        <f t="shared" si="3"/>
        <v>794882</v>
      </c>
    </row>
    <row r="100" spans="1:12" x14ac:dyDescent="0.3">
      <c r="A100" t="s">
        <v>73</v>
      </c>
      <c r="B100" t="s">
        <v>23</v>
      </c>
      <c r="C100" t="s">
        <v>19</v>
      </c>
      <c r="D100" t="s">
        <v>20</v>
      </c>
      <c r="E100">
        <v>39</v>
      </c>
      <c r="F100">
        <v>8464</v>
      </c>
      <c r="G100">
        <v>0</v>
      </c>
      <c r="H100">
        <v>28</v>
      </c>
      <c r="I100">
        <v>422522.88</v>
      </c>
      <c r="J100" t="s">
        <v>21</v>
      </c>
      <c r="K100" t="s">
        <v>16</v>
      </c>
      <c r="L100">
        <f t="shared" si="3"/>
        <v>606938</v>
      </c>
    </row>
    <row r="101" spans="1:12" x14ac:dyDescent="0.3">
      <c r="A101" t="s">
        <v>136</v>
      </c>
      <c r="B101" t="s">
        <v>23</v>
      </c>
      <c r="C101" t="s">
        <v>35</v>
      </c>
      <c r="D101" t="s">
        <v>36</v>
      </c>
      <c r="E101">
        <v>21</v>
      </c>
      <c r="F101">
        <v>64121</v>
      </c>
      <c r="G101">
        <v>0</v>
      </c>
      <c r="H101">
        <v>28</v>
      </c>
      <c r="I101">
        <v>1723572.48</v>
      </c>
      <c r="J101" t="s">
        <v>37</v>
      </c>
      <c r="K101" t="s">
        <v>16</v>
      </c>
      <c r="L101">
        <f t="shared" si="3"/>
        <v>1014780</v>
      </c>
    </row>
    <row r="102" spans="1:12" x14ac:dyDescent="0.3">
      <c r="A102" t="s">
        <v>142</v>
      </c>
      <c r="B102" t="s">
        <v>23</v>
      </c>
      <c r="C102" t="s">
        <v>13</v>
      </c>
      <c r="D102" t="s">
        <v>32</v>
      </c>
      <c r="E102">
        <v>34</v>
      </c>
      <c r="F102">
        <v>43333</v>
      </c>
      <c r="G102">
        <v>10</v>
      </c>
      <c r="H102">
        <v>18</v>
      </c>
      <c r="I102">
        <v>1564667.96</v>
      </c>
      <c r="J102" t="s">
        <v>21</v>
      </c>
      <c r="K102" t="s">
        <v>33</v>
      </c>
      <c r="L102">
        <f t="shared" si="3"/>
        <v>721670</v>
      </c>
    </row>
    <row r="103" spans="1:12" x14ac:dyDescent="0.3">
      <c r="A103" t="s">
        <v>207</v>
      </c>
      <c r="B103" t="s">
        <v>23</v>
      </c>
      <c r="C103" t="s">
        <v>48</v>
      </c>
      <c r="D103" t="s">
        <v>59</v>
      </c>
      <c r="E103">
        <v>6</v>
      </c>
      <c r="F103">
        <v>22824</v>
      </c>
      <c r="G103">
        <v>0</v>
      </c>
      <c r="H103">
        <v>18</v>
      </c>
      <c r="I103">
        <v>161593.92000000001</v>
      </c>
      <c r="J103" t="s">
        <v>37</v>
      </c>
      <c r="K103" t="s">
        <v>16</v>
      </c>
      <c r="L103">
        <f t="shared" si="3"/>
        <v>794882</v>
      </c>
    </row>
    <row r="104" spans="1:12" x14ac:dyDescent="0.3">
      <c r="A104" t="s">
        <v>41</v>
      </c>
      <c r="B104" t="s">
        <v>23</v>
      </c>
      <c r="C104" t="s">
        <v>48</v>
      </c>
      <c r="D104" t="s">
        <v>49</v>
      </c>
      <c r="E104">
        <v>32</v>
      </c>
      <c r="F104">
        <v>11591</v>
      </c>
      <c r="G104">
        <v>10</v>
      </c>
      <c r="H104">
        <v>28</v>
      </c>
      <c r="I104">
        <v>427290.62</v>
      </c>
      <c r="J104" t="s">
        <v>15</v>
      </c>
      <c r="K104" t="s">
        <v>38</v>
      </c>
      <c r="L104">
        <f t="shared" si="3"/>
        <v>794882</v>
      </c>
    </row>
    <row r="105" spans="1:12" x14ac:dyDescent="0.3">
      <c r="A105" t="s">
        <v>143</v>
      </c>
      <c r="B105" t="s">
        <v>23</v>
      </c>
      <c r="C105" t="s">
        <v>48</v>
      </c>
      <c r="D105" t="s">
        <v>59</v>
      </c>
      <c r="E105">
        <v>11</v>
      </c>
      <c r="F105">
        <v>32205</v>
      </c>
      <c r="G105">
        <v>12</v>
      </c>
      <c r="H105">
        <v>12</v>
      </c>
      <c r="I105">
        <v>349153.73</v>
      </c>
      <c r="J105" t="s">
        <v>21</v>
      </c>
      <c r="K105" t="s">
        <v>26</v>
      </c>
      <c r="L105">
        <f t="shared" si="3"/>
        <v>794882</v>
      </c>
    </row>
    <row r="106" spans="1:12" x14ac:dyDescent="0.3">
      <c r="A106" t="s">
        <v>109</v>
      </c>
      <c r="B106" t="s">
        <v>23</v>
      </c>
      <c r="C106" t="s">
        <v>62</v>
      </c>
      <c r="D106" t="s">
        <v>92</v>
      </c>
      <c r="E106">
        <v>25</v>
      </c>
      <c r="F106">
        <v>71112</v>
      </c>
      <c r="G106">
        <v>0</v>
      </c>
      <c r="H106">
        <v>18</v>
      </c>
      <c r="I106">
        <v>2097804</v>
      </c>
      <c r="J106" t="s">
        <v>37</v>
      </c>
      <c r="K106" t="s">
        <v>26</v>
      </c>
      <c r="L106">
        <f t="shared" si="3"/>
        <v>449028</v>
      </c>
    </row>
    <row r="107" spans="1:12" x14ac:dyDescent="0.3">
      <c r="A107" t="s">
        <v>134</v>
      </c>
      <c r="B107" t="s">
        <v>23</v>
      </c>
      <c r="C107" t="s">
        <v>29</v>
      </c>
      <c r="D107" t="s">
        <v>30</v>
      </c>
      <c r="E107">
        <v>6</v>
      </c>
      <c r="F107">
        <v>53291</v>
      </c>
      <c r="G107">
        <v>12</v>
      </c>
      <c r="H107">
        <v>12</v>
      </c>
      <c r="I107">
        <v>315141.65999999997</v>
      </c>
      <c r="J107" t="s">
        <v>15</v>
      </c>
      <c r="K107" t="s">
        <v>33</v>
      </c>
      <c r="L107">
        <f t="shared" si="3"/>
        <v>222058</v>
      </c>
    </row>
    <row r="108" spans="1:12" x14ac:dyDescent="0.3">
      <c r="A108" t="s">
        <v>182</v>
      </c>
      <c r="B108" t="s">
        <v>23</v>
      </c>
      <c r="C108" t="s">
        <v>24</v>
      </c>
      <c r="D108" t="s">
        <v>25</v>
      </c>
      <c r="E108">
        <v>8</v>
      </c>
      <c r="F108">
        <v>14923</v>
      </c>
      <c r="G108">
        <v>12</v>
      </c>
      <c r="H108">
        <v>12</v>
      </c>
      <c r="I108">
        <v>117664.87</v>
      </c>
      <c r="J108" t="s">
        <v>21</v>
      </c>
      <c r="K108" t="s">
        <v>33</v>
      </c>
      <c r="L108">
        <f t="shared" si="3"/>
        <v>701495</v>
      </c>
    </row>
    <row r="109" spans="1:12" x14ac:dyDescent="0.3">
      <c r="A109" t="s">
        <v>120</v>
      </c>
      <c r="B109" t="s">
        <v>23</v>
      </c>
      <c r="C109" t="s">
        <v>35</v>
      </c>
      <c r="D109" t="s">
        <v>56</v>
      </c>
      <c r="E109">
        <v>29</v>
      </c>
      <c r="F109">
        <v>14929</v>
      </c>
      <c r="G109">
        <v>5</v>
      </c>
      <c r="H109">
        <v>12</v>
      </c>
      <c r="I109">
        <v>460649.22</v>
      </c>
      <c r="J109" t="s">
        <v>46</v>
      </c>
      <c r="K109" t="s">
        <v>26</v>
      </c>
      <c r="L109">
        <f t="shared" si="3"/>
        <v>1014780</v>
      </c>
    </row>
    <row r="110" spans="1:12" x14ac:dyDescent="0.3">
      <c r="A110" t="s">
        <v>204</v>
      </c>
      <c r="B110" t="s">
        <v>23</v>
      </c>
      <c r="C110" t="s">
        <v>13</v>
      </c>
      <c r="D110" t="s">
        <v>32</v>
      </c>
      <c r="E110">
        <v>8</v>
      </c>
      <c r="F110">
        <v>81201</v>
      </c>
      <c r="G110">
        <v>5</v>
      </c>
      <c r="H110">
        <v>12</v>
      </c>
      <c r="I110">
        <v>691182.91</v>
      </c>
      <c r="J110" t="s">
        <v>37</v>
      </c>
      <c r="K110" t="s">
        <v>33</v>
      </c>
      <c r="L110">
        <f t="shared" si="3"/>
        <v>721670</v>
      </c>
    </row>
    <row r="111" spans="1:12" x14ac:dyDescent="0.3">
      <c r="A111" t="s">
        <v>213</v>
      </c>
      <c r="B111" t="s">
        <v>23</v>
      </c>
      <c r="C111" t="s">
        <v>35</v>
      </c>
      <c r="D111" t="s">
        <v>56</v>
      </c>
      <c r="E111">
        <v>16</v>
      </c>
      <c r="F111">
        <v>71086</v>
      </c>
      <c r="G111">
        <v>5</v>
      </c>
      <c r="H111">
        <v>28</v>
      </c>
      <c r="I111">
        <v>1383049.22</v>
      </c>
      <c r="J111" t="s">
        <v>21</v>
      </c>
      <c r="K111" t="s">
        <v>16</v>
      </c>
      <c r="L111">
        <f t="shared" si="3"/>
        <v>1014780</v>
      </c>
    </row>
    <row r="112" spans="1:12" x14ac:dyDescent="0.3">
      <c r="A112" t="s">
        <v>109</v>
      </c>
      <c r="B112" t="s">
        <v>23</v>
      </c>
      <c r="C112" t="s">
        <v>24</v>
      </c>
      <c r="D112" t="s">
        <v>25</v>
      </c>
      <c r="E112">
        <v>11</v>
      </c>
      <c r="F112">
        <v>19481</v>
      </c>
      <c r="G112">
        <v>12</v>
      </c>
      <c r="H112">
        <v>12</v>
      </c>
      <c r="I112">
        <v>211205.21</v>
      </c>
      <c r="J112" t="s">
        <v>21</v>
      </c>
      <c r="K112" t="s">
        <v>26</v>
      </c>
      <c r="L112">
        <f t="shared" si="3"/>
        <v>701495</v>
      </c>
    </row>
    <row r="113" spans="1:12" x14ac:dyDescent="0.3">
      <c r="A113" t="s">
        <v>112</v>
      </c>
      <c r="B113" t="s">
        <v>23</v>
      </c>
      <c r="C113" t="s">
        <v>35</v>
      </c>
      <c r="D113" t="s">
        <v>36</v>
      </c>
      <c r="E113">
        <v>22</v>
      </c>
      <c r="F113">
        <v>21886</v>
      </c>
      <c r="G113">
        <v>12</v>
      </c>
      <c r="H113">
        <v>12</v>
      </c>
      <c r="I113">
        <v>474558.52</v>
      </c>
      <c r="J113" t="s">
        <v>37</v>
      </c>
      <c r="K113" t="s">
        <v>16</v>
      </c>
      <c r="L113">
        <f t="shared" si="3"/>
        <v>1014780</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L113"/>
  <sheetViews>
    <sheetView topLeftCell="A85" workbookViewId="0">
      <selection sqref="A1:L113"/>
    </sheetView>
  </sheetViews>
  <sheetFormatPr defaultRowHeight="14.4" x14ac:dyDescent="0.3"/>
  <cols>
    <col min="1" max="1" width="15.88671875" bestFit="1" customWidth="1"/>
    <col min="2" max="2" width="19.44140625" bestFit="1" customWidth="1"/>
    <col min="3" max="3" width="16" bestFit="1" customWidth="1"/>
    <col min="4" max="4" width="14.109375" bestFit="1" customWidth="1"/>
    <col min="5" max="5" width="6.21875" bestFit="1" customWidth="1"/>
    <col min="6" max="6" width="11.88671875" bestFit="1" customWidth="1"/>
    <col min="7" max="7" width="13" bestFit="1" customWidth="1"/>
    <col min="9" max="9" width="15.44140625" bestFit="1" customWidth="1"/>
    <col min="10" max="10" width="12.77734375" bestFit="1" customWidth="1"/>
    <col min="11" max="11" width="16.88671875" bestFit="1" customWidth="1"/>
  </cols>
  <sheetData>
    <row r="1" spans="1:12" x14ac:dyDescent="0.3">
      <c r="A1" t="s">
        <v>0</v>
      </c>
      <c r="B1" t="s">
        <v>1</v>
      </c>
      <c r="C1" t="s">
        <v>2</v>
      </c>
      <c r="D1" t="s">
        <v>3</v>
      </c>
      <c r="E1" t="s">
        <v>4</v>
      </c>
      <c r="F1" t="s">
        <v>5</v>
      </c>
      <c r="G1" t="s">
        <v>6</v>
      </c>
      <c r="H1" t="s">
        <v>7</v>
      </c>
      <c r="I1" t="s">
        <v>8</v>
      </c>
      <c r="J1" t="s">
        <v>9</v>
      </c>
      <c r="K1" t="s">
        <v>10</v>
      </c>
      <c r="L1" t="s">
        <v>251</v>
      </c>
    </row>
    <row r="2" spans="1:12" x14ac:dyDescent="0.3">
      <c r="A2" t="s">
        <v>169</v>
      </c>
      <c r="B2" t="s">
        <v>18</v>
      </c>
      <c r="C2" t="s">
        <v>62</v>
      </c>
      <c r="D2" t="s">
        <v>92</v>
      </c>
      <c r="E2">
        <v>36</v>
      </c>
      <c r="F2">
        <v>22121</v>
      </c>
      <c r="G2">
        <v>5</v>
      </c>
      <c r="H2">
        <v>18</v>
      </c>
      <c r="I2">
        <v>892715.08</v>
      </c>
      <c r="J2" t="s">
        <v>21</v>
      </c>
      <c r="K2" t="s">
        <v>16</v>
      </c>
      <c r="L2">
        <f t="shared" ref="L2:L33" si="0">SUMIF(C:C,C2,F:F)</f>
        <v>678305</v>
      </c>
    </row>
    <row r="3" spans="1:12" x14ac:dyDescent="0.3">
      <c r="A3" t="s">
        <v>226</v>
      </c>
      <c r="B3" t="s">
        <v>18</v>
      </c>
      <c r="C3" t="s">
        <v>19</v>
      </c>
      <c r="D3" t="s">
        <v>20</v>
      </c>
      <c r="E3">
        <v>8</v>
      </c>
      <c r="F3">
        <v>44459</v>
      </c>
      <c r="G3">
        <v>5</v>
      </c>
      <c r="H3">
        <v>28</v>
      </c>
      <c r="I3">
        <v>432497.15</v>
      </c>
      <c r="J3" t="s">
        <v>37</v>
      </c>
      <c r="K3" t="s">
        <v>33</v>
      </c>
      <c r="L3">
        <f t="shared" si="0"/>
        <v>175255</v>
      </c>
    </row>
    <row r="4" spans="1:12" x14ac:dyDescent="0.3">
      <c r="A4" t="s">
        <v>95</v>
      </c>
      <c r="B4" t="s">
        <v>18</v>
      </c>
      <c r="C4" t="s">
        <v>24</v>
      </c>
      <c r="D4" t="s">
        <v>25</v>
      </c>
      <c r="E4">
        <v>12</v>
      </c>
      <c r="F4">
        <v>62014</v>
      </c>
      <c r="G4">
        <v>0</v>
      </c>
      <c r="H4">
        <v>18</v>
      </c>
      <c r="I4">
        <v>878118.24</v>
      </c>
      <c r="J4" t="s">
        <v>46</v>
      </c>
      <c r="K4" t="s">
        <v>38</v>
      </c>
      <c r="L4">
        <f t="shared" si="0"/>
        <v>932689</v>
      </c>
    </row>
    <row r="5" spans="1:12" x14ac:dyDescent="0.3">
      <c r="A5" t="s">
        <v>208</v>
      </c>
      <c r="B5" t="s">
        <v>18</v>
      </c>
      <c r="C5" t="s">
        <v>24</v>
      </c>
      <c r="D5" t="s">
        <v>76</v>
      </c>
      <c r="E5">
        <v>26</v>
      </c>
      <c r="F5">
        <v>75052</v>
      </c>
      <c r="G5">
        <v>0</v>
      </c>
      <c r="H5">
        <v>18</v>
      </c>
      <c r="I5">
        <v>2302595.36</v>
      </c>
      <c r="J5" t="s">
        <v>21</v>
      </c>
      <c r="K5" t="s">
        <v>26</v>
      </c>
      <c r="L5">
        <f t="shared" si="0"/>
        <v>932689</v>
      </c>
    </row>
    <row r="6" spans="1:12" x14ac:dyDescent="0.3">
      <c r="A6" t="s">
        <v>129</v>
      </c>
      <c r="B6" t="s">
        <v>18</v>
      </c>
      <c r="C6" t="s">
        <v>19</v>
      </c>
      <c r="D6" t="s">
        <v>20</v>
      </c>
      <c r="E6">
        <v>5</v>
      </c>
      <c r="F6">
        <v>18968</v>
      </c>
      <c r="G6">
        <v>5</v>
      </c>
      <c r="H6">
        <v>12</v>
      </c>
      <c r="I6">
        <v>100909.75999999999</v>
      </c>
      <c r="J6" t="s">
        <v>21</v>
      </c>
      <c r="K6" t="s">
        <v>33</v>
      </c>
      <c r="L6">
        <f t="shared" si="0"/>
        <v>175255</v>
      </c>
    </row>
    <row r="7" spans="1:12" x14ac:dyDescent="0.3">
      <c r="A7" t="s">
        <v>120</v>
      </c>
      <c r="B7" t="s">
        <v>18</v>
      </c>
      <c r="C7" t="s">
        <v>44</v>
      </c>
      <c r="D7" t="s">
        <v>51</v>
      </c>
      <c r="E7">
        <v>29</v>
      </c>
      <c r="F7">
        <v>60870</v>
      </c>
      <c r="G7">
        <v>10</v>
      </c>
      <c r="H7">
        <v>12</v>
      </c>
      <c r="I7">
        <v>1779351.84</v>
      </c>
      <c r="J7" t="s">
        <v>15</v>
      </c>
      <c r="K7" t="s">
        <v>33</v>
      </c>
      <c r="L7">
        <f t="shared" si="0"/>
        <v>356491</v>
      </c>
    </row>
    <row r="8" spans="1:12" x14ac:dyDescent="0.3">
      <c r="A8" t="s">
        <v>22</v>
      </c>
      <c r="B8" t="s">
        <v>18</v>
      </c>
      <c r="C8" t="s">
        <v>13</v>
      </c>
      <c r="D8" t="s">
        <v>32</v>
      </c>
      <c r="E8">
        <v>7</v>
      </c>
      <c r="F8">
        <v>33377</v>
      </c>
      <c r="G8">
        <v>0</v>
      </c>
      <c r="H8">
        <v>18</v>
      </c>
      <c r="I8">
        <v>275694.02</v>
      </c>
      <c r="J8" t="s">
        <v>15</v>
      </c>
      <c r="K8" t="s">
        <v>16</v>
      </c>
      <c r="L8">
        <f t="shared" si="0"/>
        <v>667863</v>
      </c>
    </row>
    <row r="9" spans="1:12" x14ac:dyDescent="0.3">
      <c r="A9" t="s">
        <v>172</v>
      </c>
      <c r="B9" t="s">
        <v>18</v>
      </c>
      <c r="C9" t="s">
        <v>19</v>
      </c>
      <c r="D9" t="s">
        <v>20</v>
      </c>
      <c r="E9">
        <v>3</v>
      </c>
      <c r="F9">
        <v>58699</v>
      </c>
      <c r="G9">
        <v>12</v>
      </c>
      <c r="H9">
        <v>18</v>
      </c>
      <c r="I9">
        <v>182859.12</v>
      </c>
      <c r="J9" t="s">
        <v>15</v>
      </c>
      <c r="K9" t="s">
        <v>26</v>
      </c>
      <c r="L9">
        <f t="shared" si="0"/>
        <v>175255</v>
      </c>
    </row>
    <row r="10" spans="1:12" x14ac:dyDescent="0.3">
      <c r="A10" t="s">
        <v>145</v>
      </c>
      <c r="B10" t="s">
        <v>18</v>
      </c>
      <c r="C10" t="s">
        <v>62</v>
      </c>
      <c r="D10" t="s">
        <v>92</v>
      </c>
      <c r="E10">
        <v>26</v>
      </c>
      <c r="F10">
        <v>44852</v>
      </c>
      <c r="G10">
        <v>5</v>
      </c>
      <c r="H10">
        <v>12</v>
      </c>
      <c r="I10">
        <v>1240785.73</v>
      </c>
      <c r="J10" t="s">
        <v>21</v>
      </c>
      <c r="K10" t="s">
        <v>16</v>
      </c>
      <c r="L10">
        <f t="shared" si="0"/>
        <v>678305</v>
      </c>
    </row>
    <row r="11" spans="1:12" x14ac:dyDescent="0.3">
      <c r="A11" t="s">
        <v>144</v>
      </c>
      <c r="B11" t="s">
        <v>18</v>
      </c>
      <c r="C11" t="s">
        <v>48</v>
      </c>
      <c r="D11" t="s">
        <v>49</v>
      </c>
      <c r="E11">
        <v>28</v>
      </c>
      <c r="F11">
        <v>51788</v>
      </c>
      <c r="G11">
        <v>5</v>
      </c>
      <c r="H11">
        <v>12</v>
      </c>
      <c r="I11">
        <v>1542868.1</v>
      </c>
      <c r="J11" t="s">
        <v>46</v>
      </c>
      <c r="K11" t="s">
        <v>26</v>
      </c>
      <c r="L11">
        <f t="shared" si="0"/>
        <v>435185</v>
      </c>
    </row>
    <row r="12" spans="1:12" x14ac:dyDescent="0.3">
      <c r="A12" t="s">
        <v>61</v>
      </c>
      <c r="B12" t="s">
        <v>18</v>
      </c>
      <c r="C12" t="s">
        <v>29</v>
      </c>
      <c r="D12" t="s">
        <v>30</v>
      </c>
      <c r="E12">
        <v>17</v>
      </c>
      <c r="F12">
        <v>7715</v>
      </c>
      <c r="G12">
        <v>5</v>
      </c>
      <c r="H12">
        <v>18</v>
      </c>
      <c r="I12">
        <v>147024.76</v>
      </c>
      <c r="J12" t="s">
        <v>37</v>
      </c>
      <c r="K12" t="s">
        <v>16</v>
      </c>
      <c r="L12">
        <f t="shared" si="0"/>
        <v>252741</v>
      </c>
    </row>
    <row r="13" spans="1:12" x14ac:dyDescent="0.3">
      <c r="A13" t="s">
        <v>65</v>
      </c>
      <c r="B13" t="s">
        <v>18</v>
      </c>
      <c r="C13" t="s">
        <v>13</v>
      </c>
      <c r="D13" t="s">
        <v>32</v>
      </c>
      <c r="E13">
        <v>26</v>
      </c>
      <c r="F13">
        <v>56644</v>
      </c>
      <c r="G13">
        <v>10</v>
      </c>
      <c r="H13">
        <v>28</v>
      </c>
      <c r="I13">
        <v>1696601.09</v>
      </c>
      <c r="J13" t="s">
        <v>15</v>
      </c>
      <c r="K13" t="s">
        <v>33</v>
      </c>
      <c r="L13">
        <f t="shared" si="0"/>
        <v>667863</v>
      </c>
    </row>
    <row r="14" spans="1:12" x14ac:dyDescent="0.3">
      <c r="A14" t="s">
        <v>212</v>
      </c>
      <c r="B14" t="s">
        <v>18</v>
      </c>
      <c r="C14" t="s">
        <v>35</v>
      </c>
      <c r="D14" t="s">
        <v>77</v>
      </c>
      <c r="E14">
        <v>4</v>
      </c>
      <c r="F14">
        <v>58413</v>
      </c>
      <c r="G14">
        <v>0</v>
      </c>
      <c r="H14">
        <v>12</v>
      </c>
      <c r="I14">
        <v>261690.23999999999</v>
      </c>
      <c r="J14" t="s">
        <v>15</v>
      </c>
      <c r="K14" t="s">
        <v>16</v>
      </c>
      <c r="L14">
        <f t="shared" si="0"/>
        <v>1182995</v>
      </c>
    </row>
    <row r="15" spans="1:12" x14ac:dyDescent="0.3">
      <c r="A15" t="s">
        <v>139</v>
      </c>
      <c r="B15" t="s">
        <v>18</v>
      </c>
      <c r="C15" t="s">
        <v>13</v>
      </c>
      <c r="D15" t="s">
        <v>32</v>
      </c>
      <c r="E15">
        <v>2</v>
      </c>
      <c r="F15">
        <v>66487</v>
      </c>
      <c r="G15">
        <v>0</v>
      </c>
      <c r="H15">
        <v>18</v>
      </c>
      <c r="I15">
        <v>156909.32</v>
      </c>
      <c r="J15" t="s">
        <v>21</v>
      </c>
      <c r="K15" t="s">
        <v>26</v>
      </c>
      <c r="L15">
        <f t="shared" si="0"/>
        <v>667863</v>
      </c>
    </row>
    <row r="16" spans="1:12" x14ac:dyDescent="0.3">
      <c r="A16" t="s">
        <v>174</v>
      </c>
      <c r="B16" t="s">
        <v>18</v>
      </c>
      <c r="C16" t="s">
        <v>13</v>
      </c>
      <c r="D16" t="s">
        <v>14</v>
      </c>
      <c r="E16">
        <v>8</v>
      </c>
      <c r="F16">
        <v>39860</v>
      </c>
      <c r="G16">
        <v>12</v>
      </c>
      <c r="H16">
        <v>18</v>
      </c>
      <c r="I16">
        <v>331124.99</v>
      </c>
      <c r="J16" t="s">
        <v>46</v>
      </c>
      <c r="K16" t="s">
        <v>26</v>
      </c>
      <c r="L16">
        <f t="shared" si="0"/>
        <v>667863</v>
      </c>
    </row>
    <row r="17" spans="1:12" x14ac:dyDescent="0.3">
      <c r="A17" t="s">
        <v>112</v>
      </c>
      <c r="B17" t="s">
        <v>18</v>
      </c>
      <c r="C17" t="s">
        <v>24</v>
      </c>
      <c r="D17" t="s">
        <v>25</v>
      </c>
      <c r="E17">
        <v>6</v>
      </c>
      <c r="F17">
        <v>26235</v>
      </c>
      <c r="G17">
        <v>0</v>
      </c>
      <c r="H17">
        <v>28</v>
      </c>
      <c r="I17">
        <v>201484.79999999999</v>
      </c>
      <c r="J17" t="s">
        <v>46</v>
      </c>
      <c r="K17" t="s">
        <v>26</v>
      </c>
      <c r="L17">
        <f t="shared" si="0"/>
        <v>932689</v>
      </c>
    </row>
    <row r="18" spans="1:12" x14ac:dyDescent="0.3">
      <c r="A18" t="s">
        <v>131</v>
      </c>
      <c r="B18" t="s">
        <v>18</v>
      </c>
      <c r="C18" t="s">
        <v>62</v>
      </c>
      <c r="D18" t="s">
        <v>63</v>
      </c>
      <c r="E18">
        <v>8</v>
      </c>
      <c r="F18">
        <v>50853</v>
      </c>
      <c r="G18">
        <v>12</v>
      </c>
      <c r="H18">
        <v>12</v>
      </c>
      <c r="I18">
        <v>400965.73</v>
      </c>
      <c r="J18" t="s">
        <v>21</v>
      </c>
      <c r="K18" t="s">
        <v>16</v>
      </c>
      <c r="L18">
        <f t="shared" si="0"/>
        <v>678305</v>
      </c>
    </row>
    <row r="19" spans="1:12" x14ac:dyDescent="0.3">
      <c r="A19" t="s">
        <v>226</v>
      </c>
      <c r="B19" t="s">
        <v>18</v>
      </c>
      <c r="C19" t="s">
        <v>35</v>
      </c>
      <c r="D19" t="s">
        <v>36</v>
      </c>
      <c r="E19">
        <v>16</v>
      </c>
      <c r="F19">
        <v>29760</v>
      </c>
      <c r="G19">
        <v>10</v>
      </c>
      <c r="H19">
        <v>12</v>
      </c>
      <c r="I19">
        <v>479969.28000000003</v>
      </c>
      <c r="J19" t="s">
        <v>37</v>
      </c>
      <c r="K19" t="s">
        <v>16</v>
      </c>
      <c r="L19">
        <f t="shared" si="0"/>
        <v>1182995</v>
      </c>
    </row>
    <row r="20" spans="1:12" x14ac:dyDescent="0.3">
      <c r="A20" t="s">
        <v>154</v>
      </c>
      <c r="B20" t="s">
        <v>18</v>
      </c>
      <c r="C20" t="s">
        <v>62</v>
      </c>
      <c r="D20" t="s">
        <v>92</v>
      </c>
      <c r="E20">
        <v>3</v>
      </c>
      <c r="F20">
        <v>25850</v>
      </c>
      <c r="G20">
        <v>12</v>
      </c>
      <c r="H20">
        <v>18</v>
      </c>
      <c r="I20">
        <v>80527.92</v>
      </c>
      <c r="J20" t="s">
        <v>15</v>
      </c>
      <c r="K20" t="s">
        <v>33</v>
      </c>
      <c r="L20">
        <f t="shared" si="0"/>
        <v>678305</v>
      </c>
    </row>
    <row r="21" spans="1:12" x14ac:dyDescent="0.3">
      <c r="A21" t="s">
        <v>60</v>
      </c>
      <c r="B21" t="s">
        <v>18</v>
      </c>
      <c r="C21" t="s">
        <v>13</v>
      </c>
      <c r="D21" t="s">
        <v>14</v>
      </c>
      <c r="E21">
        <v>35</v>
      </c>
      <c r="F21">
        <v>24674</v>
      </c>
      <c r="G21">
        <v>12</v>
      </c>
      <c r="H21">
        <v>28</v>
      </c>
      <c r="I21">
        <v>972747.78</v>
      </c>
      <c r="J21" t="s">
        <v>37</v>
      </c>
      <c r="K21" t="s">
        <v>16</v>
      </c>
      <c r="L21">
        <f t="shared" si="0"/>
        <v>667863</v>
      </c>
    </row>
    <row r="22" spans="1:12" x14ac:dyDescent="0.3">
      <c r="A22" t="s">
        <v>74</v>
      </c>
      <c r="B22" t="s">
        <v>18</v>
      </c>
      <c r="C22" t="s">
        <v>62</v>
      </c>
      <c r="D22" t="s">
        <v>92</v>
      </c>
      <c r="E22">
        <v>4</v>
      </c>
      <c r="F22">
        <v>47511</v>
      </c>
      <c r="G22">
        <v>5</v>
      </c>
      <c r="H22">
        <v>28</v>
      </c>
      <c r="I22">
        <v>231093.5</v>
      </c>
      <c r="J22" t="s">
        <v>15</v>
      </c>
      <c r="K22" t="s">
        <v>16</v>
      </c>
      <c r="L22">
        <f t="shared" si="0"/>
        <v>678305</v>
      </c>
    </row>
    <row r="23" spans="1:12" x14ac:dyDescent="0.3">
      <c r="A23" t="s">
        <v>66</v>
      </c>
      <c r="B23" t="s">
        <v>18</v>
      </c>
      <c r="C23" t="s">
        <v>24</v>
      </c>
      <c r="D23" t="s">
        <v>76</v>
      </c>
      <c r="E23">
        <v>17</v>
      </c>
      <c r="F23">
        <v>44884</v>
      </c>
      <c r="G23">
        <v>10</v>
      </c>
      <c r="H23">
        <v>12</v>
      </c>
      <c r="I23">
        <v>769132.22</v>
      </c>
      <c r="J23" t="s">
        <v>21</v>
      </c>
      <c r="K23" t="s">
        <v>16</v>
      </c>
      <c r="L23">
        <f t="shared" si="0"/>
        <v>932689</v>
      </c>
    </row>
    <row r="24" spans="1:12" x14ac:dyDescent="0.3">
      <c r="A24" t="s">
        <v>222</v>
      </c>
      <c r="B24" t="s">
        <v>18</v>
      </c>
      <c r="C24" t="s">
        <v>13</v>
      </c>
      <c r="D24" t="s">
        <v>14</v>
      </c>
      <c r="E24">
        <v>17</v>
      </c>
      <c r="F24">
        <v>40533</v>
      </c>
      <c r="G24">
        <v>5</v>
      </c>
      <c r="H24">
        <v>12</v>
      </c>
      <c r="I24">
        <v>733160.9</v>
      </c>
      <c r="J24" t="s">
        <v>21</v>
      </c>
      <c r="K24" t="s">
        <v>38</v>
      </c>
      <c r="L24">
        <f t="shared" si="0"/>
        <v>667863</v>
      </c>
    </row>
    <row r="25" spans="1:12" x14ac:dyDescent="0.3">
      <c r="A25" t="s">
        <v>166</v>
      </c>
      <c r="B25" t="s">
        <v>18</v>
      </c>
      <c r="C25" t="s">
        <v>13</v>
      </c>
      <c r="D25" t="s">
        <v>14</v>
      </c>
      <c r="E25">
        <v>3</v>
      </c>
      <c r="F25">
        <v>2148</v>
      </c>
      <c r="G25">
        <v>0</v>
      </c>
      <c r="H25">
        <v>28</v>
      </c>
      <c r="I25">
        <v>8248.32</v>
      </c>
      <c r="J25" t="s">
        <v>15</v>
      </c>
      <c r="K25" t="s">
        <v>26</v>
      </c>
      <c r="L25">
        <f t="shared" si="0"/>
        <v>667863</v>
      </c>
    </row>
    <row r="26" spans="1:12" x14ac:dyDescent="0.3">
      <c r="A26" t="s">
        <v>228</v>
      </c>
      <c r="B26" t="s">
        <v>18</v>
      </c>
      <c r="C26" t="s">
        <v>35</v>
      </c>
      <c r="D26" t="s">
        <v>36</v>
      </c>
      <c r="E26">
        <v>27</v>
      </c>
      <c r="F26">
        <v>75982</v>
      </c>
      <c r="G26">
        <v>0</v>
      </c>
      <c r="H26">
        <v>18</v>
      </c>
      <c r="I26">
        <v>2420786.52</v>
      </c>
      <c r="J26" t="s">
        <v>21</v>
      </c>
      <c r="K26" t="s">
        <v>38</v>
      </c>
      <c r="L26">
        <f t="shared" si="0"/>
        <v>1182995</v>
      </c>
    </row>
    <row r="27" spans="1:12" x14ac:dyDescent="0.3">
      <c r="A27" t="s">
        <v>122</v>
      </c>
      <c r="B27" t="s">
        <v>18</v>
      </c>
      <c r="C27" t="s">
        <v>62</v>
      </c>
      <c r="D27" t="s">
        <v>92</v>
      </c>
      <c r="E27">
        <v>6</v>
      </c>
      <c r="F27">
        <v>39218</v>
      </c>
      <c r="G27">
        <v>12</v>
      </c>
      <c r="H27">
        <v>12</v>
      </c>
      <c r="I27">
        <v>231919.56</v>
      </c>
      <c r="J27" t="s">
        <v>46</v>
      </c>
      <c r="K27" t="s">
        <v>33</v>
      </c>
      <c r="L27">
        <f t="shared" si="0"/>
        <v>678305</v>
      </c>
    </row>
    <row r="28" spans="1:12" x14ac:dyDescent="0.3">
      <c r="A28" t="s">
        <v>209</v>
      </c>
      <c r="B28" t="s">
        <v>18</v>
      </c>
      <c r="C28" t="s">
        <v>13</v>
      </c>
      <c r="D28" t="s">
        <v>14</v>
      </c>
      <c r="E28">
        <v>33</v>
      </c>
      <c r="F28">
        <v>53887</v>
      </c>
      <c r="G28">
        <v>0</v>
      </c>
      <c r="H28">
        <v>28</v>
      </c>
      <c r="I28">
        <v>2276186.88</v>
      </c>
      <c r="J28" t="s">
        <v>37</v>
      </c>
      <c r="K28" t="s">
        <v>26</v>
      </c>
      <c r="L28">
        <f t="shared" si="0"/>
        <v>667863</v>
      </c>
    </row>
    <row r="29" spans="1:12" x14ac:dyDescent="0.3">
      <c r="A29" t="s">
        <v>31</v>
      </c>
      <c r="B29" t="s">
        <v>18</v>
      </c>
      <c r="C29" t="s">
        <v>44</v>
      </c>
      <c r="D29" t="s">
        <v>51</v>
      </c>
      <c r="E29">
        <v>19</v>
      </c>
      <c r="F29">
        <v>42643</v>
      </c>
      <c r="G29">
        <v>12</v>
      </c>
      <c r="H29">
        <v>28</v>
      </c>
      <c r="I29">
        <v>912628.43</v>
      </c>
      <c r="J29" t="s">
        <v>21</v>
      </c>
      <c r="K29" t="s">
        <v>16</v>
      </c>
      <c r="L29">
        <f t="shared" si="0"/>
        <v>356491</v>
      </c>
    </row>
    <row r="30" spans="1:12" x14ac:dyDescent="0.3">
      <c r="A30" t="s">
        <v>156</v>
      </c>
      <c r="B30" t="s">
        <v>18</v>
      </c>
      <c r="C30" t="s">
        <v>13</v>
      </c>
      <c r="D30" t="s">
        <v>32</v>
      </c>
      <c r="E30">
        <v>28</v>
      </c>
      <c r="F30">
        <v>3894</v>
      </c>
      <c r="G30">
        <v>5</v>
      </c>
      <c r="H30">
        <v>18</v>
      </c>
      <c r="I30">
        <v>122224.87</v>
      </c>
      <c r="J30" t="s">
        <v>15</v>
      </c>
      <c r="K30" t="s">
        <v>33</v>
      </c>
      <c r="L30">
        <f t="shared" si="0"/>
        <v>667863</v>
      </c>
    </row>
    <row r="31" spans="1:12" x14ac:dyDescent="0.3">
      <c r="A31" t="s">
        <v>154</v>
      </c>
      <c r="B31" t="s">
        <v>18</v>
      </c>
      <c r="C31" t="s">
        <v>48</v>
      </c>
      <c r="D31" t="s">
        <v>49</v>
      </c>
      <c r="E31">
        <v>6</v>
      </c>
      <c r="F31">
        <v>33109</v>
      </c>
      <c r="G31">
        <v>12</v>
      </c>
      <c r="H31">
        <v>18</v>
      </c>
      <c r="I31">
        <v>206282.31</v>
      </c>
      <c r="J31" t="s">
        <v>21</v>
      </c>
      <c r="K31" t="s">
        <v>26</v>
      </c>
      <c r="L31">
        <f t="shared" si="0"/>
        <v>435185</v>
      </c>
    </row>
    <row r="32" spans="1:12" x14ac:dyDescent="0.3">
      <c r="A32" t="s">
        <v>203</v>
      </c>
      <c r="B32" t="s">
        <v>18</v>
      </c>
      <c r="C32" t="s">
        <v>24</v>
      </c>
      <c r="D32" t="s">
        <v>40</v>
      </c>
      <c r="E32">
        <v>36</v>
      </c>
      <c r="F32">
        <v>21589</v>
      </c>
      <c r="G32">
        <v>5</v>
      </c>
      <c r="H32">
        <v>28</v>
      </c>
      <c r="I32">
        <v>945080.06</v>
      </c>
      <c r="J32" t="s">
        <v>46</v>
      </c>
      <c r="K32" t="s">
        <v>26</v>
      </c>
      <c r="L32">
        <f t="shared" si="0"/>
        <v>932689</v>
      </c>
    </row>
    <row r="33" spans="1:12" x14ac:dyDescent="0.3">
      <c r="A33" t="s">
        <v>89</v>
      </c>
      <c r="B33" t="s">
        <v>18</v>
      </c>
      <c r="C33" t="s">
        <v>29</v>
      </c>
      <c r="D33" t="s">
        <v>30</v>
      </c>
      <c r="E33">
        <v>10</v>
      </c>
      <c r="F33">
        <v>82569</v>
      </c>
      <c r="G33">
        <v>10</v>
      </c>
      <c r="H33">
        <v>28</v>
      </c>
      <c r="I33">
        <v>951194.88</v>
      </c>
      <c r="J33" t="s">
        <v>21</v>
      </c>
      <c r="K33" t="s">
        <v>33</v>
      </c>
      <c r="L33">
        <f t="shared" si="0"/>
        <v>252741</v>
      </c>
    </row>
    <row r="34" spans="1:12" x14ac:dyDescent="0.3">
      <c r="A34" t="s">
        <v>27</v>
      </c>
      <c r="B34" t="s">
        <v>18</v>
      </c>
      <c r="C34" t="s">
        <v>62</v>
      </c>
      <c r="D34" t="s">
        <v>92</v>
      </c>
      <c r="E34">
        <v>31</v>
      </c>
      <c r="F34">
        <v>49343</v>
      </c>
      <c r="G34">
        <v>5</v>
      </c>
      <c r="H34">
        <v>28</v>
      </c>
      <c r="I34">
        <v>1860033.73</v>
      </c>
      <c r="J34" t="s">
        <v>46</v>
      </c>
      <c r="K34" t="s">
        <v>26</v>
      </c>
      <c r="L34">
        <f t="shared" ref="L34:L65" si="1">SUMIF(C:C,C34,F:F)</f>
        <v>678305</v>
      </c>
    </row>
    <row r="35" spans="1:12" x14ac:dyDescent="0.3">
      <c r="A35" t="s">
        <v>152</v>
      </c>
      <c r="B35" t="s">
        <v>18</v>
      </c>
      <c r="C35" t="s">
        <v>35</v>
      </c>
      <c r="D35" t="s">
        <v>56</v>
      </c>
      <c r="E35">
        <v>20</v>
      </c>
      <c r="F35">
        <v>30037</v>
      </c>
      <c r="G35">
        <v>0</v>
      </c>
      <c r="H35">
        <v>12</v>
      </c>
      <c r="I35">
        <v>672828.8</v>
      </c>
      <c r="J35" t="s">
        <v>15</v>
      </c>
      <c r="K35" t="s">
        <v>33</v>
      </c>
      <c r="L35">
        <f t="shared" si="1"/>
        <v>1182995</v>
      </c>
    </row>
    <row r="36" spans="1:12" x14ac:dyDescent="0.3">
      <c r="A36" t="s">
        <v>124</v>
      </c>
      <c r="B36" t="s">
        <v>18</v>
      </c>
      <c r="C36" t="s">
        <v>35</v>
      </c>
      <c r="D36" t="s">
        <v>77</v>
      </c>
      <c r="E36">
        <v>25</v>
      </c>
      <c r="F36">
        <v>46032</v>
      </c>
      <c r="G36">
        <v>10</v>
      </c>
      <c r="H36">
        <v>28</v>
      </c>
      <c r="I36">
        <v>1325721.6000000001</v>
      </c>
      <c r="J36" t="s">
        <v>37</v>
      </c>
      <c r="K36" t="s">
        <v>38</v>
      </c>
      <c r="L36">
        <f t="shared" si="1"/>
        <v>1182995</v>
      </c>
    </row>
    <row r="37" spans="1:12" x14ac:dyDescent="0.3">
      <c r="A37" t="s">
        <v>119</v>
      </c>
      <c r="B37" t="s">
        <v>18</v>
      </c>
      <c r="C37" t="s">
        <v>44</v>
      </c>
      <c r="D37" t="s">
        <v>51</v>
      </c>
      <c r="E37">
        <v>7</v>
      </c>
      <c r="F37">
        <v>51765</v>
      </c>
      <c r="G37">
        <v>12</v>
      </c>
      <c r="H37">
        <v>12</v>
      </c>
      <c r="I37">
        <v>357137.09</v>
      </c>
      <c r="J37" t="s">
        <v>15</v>
      </c>
      <c r="K37" t="s">
        <v>38</v>
      </c>
      <c r="L37">
        <f t="shared" si="1"/>
        <v>356491</v>
      </c>
    </row>
    <row r="38" spans="1:12" x14ac:dyDescent="0.3">
      <c r="A38" t="s">
        <v>126</v>
      </c>
      <c r="B38" t="s">
        <v>18</v>
      </c>
      <c r="C38" t="s">
        <v>44</v>
      </c>
      <c r="D38" t="s">
        <v>45</v>
      </c>
      <c r="E38">
        <v>6</v>
      </c>
      <c r="F38">
        <v>69675</v>
      </c>
      <c r="G38">
        <v>5</v>
      </c>
      <c r="H38">
        <v>12</v>
      </c>
      <c r="I38">
        <v>444805.2</v>
      </c>
      <c r="J38" t="s">
        <v>37</v>
      </c>
      <c r="K38" t="s">
        <v>38</v>
      </c>
      <c r="L38">
        <f t="shared" si="1"/>
        <v>356491</v>
      </c>
    </row>
    <row r="39" spans="1:12" x14ac:dyDescent="0.3">
      <c r="A39" t="s">
        <v>87</v>
      </c>
      <c r="B39" t="s">
        <v>18</v>
      </c>
      <c r="C39" t="s">
        <v>24</v>
      </c>
      <c r="D39" t="s">
        <v>40</v>
      </c>
      <c r="E39">
        <v>22</v>
      </c>
      <c r="F39">
        <v>12249</v>
      </c>
      <c r="G39">
        <v>10</v>
      </c>
      <c r="H39">
        <v>12</v>
      </c>
      <c r="I39">
        <v>271633.82</v>
      </c>
      <c r="J39" t="s">
        <v>21</v>
      </c>
      <c r="K39" t="s">
        <v>38</v>
      </c>
      <c r="L39">
        <f t="shared" si="1"/>
        <v>932689</v>
      </c>
    </row>
    <row r="40" spans="1:12" x14ac:dyDescent="0.3">
      <c r="A40" t="s">
        <v>160</v>
      </c>
      <c r="B40" t="s">
        <v>18</v>
      </c>
      <c r="C40" t="s">
        <v>24</v>
      </c>
      <c r="D40" t="s">
        <v>25</v>
      </c>
      <c r="E40">
        <v>18</v>
      </c>
      <c r="F40">
        <v>56290</v>
      </c>
      <c r="G40">
        <v>12</v>
      </c>
      <c r="H40">
        <v>28</v>
      </c>
      <c r="I40">
        <v>1141291.01</v>
      </c>
      <c r="J40" t="s">
        <v>46</v>
      </c>
      <c r="K40" t="s">
        <v>16</v>
      </c>
      <c r="L40">
        <f t="shared" si="1"/>
        <v>932689</v>
      </c>
    </row>
    <row r="41" spans="1:12" x14ac:dyDescent="0.3">
      <c r="A41" t="s">
        <v>130</v>
      </c>
      <c r="B41" t="s">
        <v>18</v>
      </c>
      <c r="C41" t="s">
        <v>24</v>
      </c>
      <c r="D41" t="s">
        <v>76</v>
      </c>
      <c r="E41">
        <v>11</v>
      </c>
      <c r="F41">
        <v>42950</v>
      </c>
      <c r="G41">
        <v>12</v>
      </c>
      <c r="H41">
        <v>28</v>
      </c>
      <c r="I41">
        <v>532167.68000000005</v>
      </c>
      <c r="J41" t="s">
        <v>37</v>
      </c>
      <c r="K41" t="s">
        <v>16</v>
      </c>
      <c r="L41">
        <f t="shared" si="1"/>
        <v>932689</v>
      </c>
    </row>
    <row r="42" spans="1:12" x14ac:dyDescent="0.3">
      <c r="A42" t="s">
        <v>97</v>
      </c>
      <c r="B42" t="s">
        <v>18</v>
      </c>
      <c r="C42" t="s">
        <v>48</v>
      </c>
      <c r="D42" t="s">
        <v>49</v>
      </c>
      <c r="E42">
        <v>6</v>
      </c>
      <c r="F42">
        <v>69435</v>
      </c>
      <c r="G42">
        <v>5</v>
      </c>
      <c r="H42">
        <v>18</v>
      </c>
      <c r="I42">
        <v>467019.81</v>
      </c>
      <c r="J42" t="s">
        <v>21</v>
      </c>
      <c r="K42" t="s">
        <v>16</v>
      </c>
      <c r="L42">
        <f t="shared" si="1"/>
        <v>435185</v>
      </c>
    </row>
    <row r="43" spans="1:12" x14ac:dyDescent="0.3">
      <c r="A43" t="s">
        <v>104</v>
      </c>
      <c r="B43" t="s">
        <v>18</v>
      </c>
      <c r="C43" t="s">
        <v>24</v>
      </c>
      <c r="D43" t="s">
        <v>76</v>
      </c>
      <c r="E43">
        <v>23</v>
      </c>
      <c r="F43">
        <v>51663</v>
      </c>
      <c r="G43">
        <v>10</v>
      </c>
      <c r="H43">
        <v>18</v>
      </c>
      <c r="I43">
        <v>1261920.44</v>
      </c>
      <c r="J43" t="s">
        <v>37</v>
      </c>
      <c r="K43" t="s">
        <v>33</v>
      </c>
      <c r="L43">
        <f t="shared" si="1"/>
        <v>932689</v>
      </c>
    </row>
    <row r="44" spans="1:12" x14ac:dyDescent="0.3">
      <c r="A44" t="s">
        <v>153</v>
      </c>
      <c r="B44" t="s">
        <v>18</v>
      </c>
      <c r="C44" t="s">
        <v>35</v>
      </c>
      <c r="D44" t="s">
        <v>56</v>
      </c>
      <c r="E44">
        <v>11</v>
      </c>
      <c r="F44">
        <v>36348</v>
      </c>
      <c r="G44">
        <v>5</v>
      </c>
      <c r="H44">
        <v>18</v>
      </c>
      <c r="I44">
        <v>448207.19</v>
      </c>
      <c r="J44" t="s">
        <v>46</v>
      </c>
      <c r="K44" t="s">
        <v>38</v>
      </c>
      <c r="L44">
        <f t="shared" si="1"/>
        <v>1182995</v>
      </c>
    </row>
    <row r="45" spans="1:12" x14ac:dyDescent="0.3">
      <c r="A45" t="s">
        <v>79</v>
      </c>
      <c r="B45" t="s">
        <v>18</v>
      </c>
      <c r="C45" t="s">
        <v>62</v>
      </c>
      <c r="D45" t="s">
        <v>92</v>
      </c>
      <c r="E45">
        <v>27</v>
      </c>
      <c r="F45">
        <v>61710</v>
      </c>
      <c r="G45">
        <v>5</v>
      </c>
      <c r="H45">
        <v>18</v>
      </c>
      <c r="I45">
        <v>1867776.57</v>
      </c>
      <c r="J45" t="s">
        <v>15</v>
      </c>
      <c r="K45" t="s">
        <v>38</v>
      </c>
      <c r="L45">
        <f t="shared" si="1"/>
        <v>678305</v>
      </c>
    </row>
    <row r="46" spans="1:12" x14ac:dyDescent="0.3">
      <c r="A46" t="s">
        <v>178</v>
      </c>
      <c r="B46" t="s">
        <v>18</v>
      </c>
      <c r="C46" t="s">
        <v>24</v>
      </c>
      <c r="D46" t="s">
        <v>40</v>
      </c>
      <c r="E46">
        <v>25</v>
      </c>
      <c r="F46">
        <v>4341</v>
      </c>
      <c r="G46">
        <v>12</v>
      </c>
      <c r="H46">
        <v>18</v>
      </c>
      <c r="I46">
        <v>112692.36</v>
      </c>
      <c r="J46" t="s">
        <v>21</v>
      </c>
      <c r="K46" t="s">
        <v>33</v>
      </c>
      <c r="L46">
        <f t="shared" si="1"/>
        <v>932689</v>
      </c>
    </row>
    <row r="47" spans="1:12" x14ac:dyDescent="0.3">
      <c r="A47" t="s">
        <v>67</v>
      </c>
      <c r="B47" t="s">
        <v>18</v>
      </c>
      <c r="C47" t="s">
        <v>44</v>
      </c>
      <c r="D47" t="s">
        <v>51</v>
      </c>
      <c r="E47">
        <v>9</v>
      </c>
      <c r="F47">
        <v>7767</v>
      </c>
      <c r="G47">
        <v>5</v>
      </c>
      <c r="H47">
        <v>18</v>
      </c>
      <c r="I47">
        <v>78361.259999999995</v>
      </c>
      <c r="J47" t="s">
        <v>46</v>
      </c>
      <c r="K47" t="s">
        <v>16</v>
      </c>
      <c r="L47">
        <f t="shared" si="1"/>
        <v>356491</v>
      </c>
    </row>
    <row r="48" spans="1:12" x14ac:dyDescent="0.3">
      <c r="A48" t="s">
        <v>147</v>
      </c>
      <c r="B48" t="s">
        <v>18</v>
      </c>
      <c r="C48" t="s">
        <v>35</v>
      </c>
      <c r="D48" t="s">
        <v>36</v>
      </c>
      <c r="E48">
        <v>29</v>
      </c>
      <c r="F48">
        <v>78268</v>
      </c>
      <c r="G48">
        <v>10</v>
      </c>
      <c r="H48">
        <v>18</v>
      </c>
      <c r="I48">
        <v>2410497.86</v>
      </c>
      <c r="J48" t="s">
        <v>37</v>
      </c>
      <c r="K48" t="s">
        <v>26</v>
      </c>
      <c r="L48">
        <f t="shared" si="1"/>
        <v>1182995</v>
      </c>
    </row>
    <row r="49" spans="1:12" x14ac:dyDescent="0.3">
      <c r="A49" t="s">
        <v>196</v>
      </c>
      <c r="B49" t="s">
        <v>18</v>
      </c>
      <c r="C49" t="s">
        <v>13</v>
      </c>
      <c r="D49" t="s">
        <v>14</v>
      </c>
      <c r="E49">
        <v>28</v>
      </c>
      <c r="F49">
        <v>77454</v>
      </c>
      <c r="G49">
        <v>0</v>
      </c>
      <c r="H49">
        <v>28</v>
      </c>
      <c r="I49">
        <v>2775951.3599999999</v>
      </c>
      <c r="J49" t="s">
        <v>37</v>
      </c>
      <c r="K49" t="s">
        <v>16</v>
      </c>
      <c r="L49">
        <f t="shared" si="1"/>
        <v>667863</v>
      </c>
    </row>
    <row r="50" spans="1:12" x14ac:dyDescent="0.3">
      <c r="A50" t="s">
        <v>71</v>
      </c>
      <c r="B50" t="s">
        <v>18</v>
      </c>
      <c r="C50" t="s">
        <v>35</v>
      </c>
      <c r="D50" t="s">
        <v>36</v>
      </c>
      <c r="E50">
        <v>18</v>
      </c>
      <c r="F50">
        <v>62309</v>
      </c>
      <c r="G50">
        <v>0</v>
      </c>
      <c r="H50">
        <v>28</v>
      </c>
      <c r="I50">
        <v>1435599.36</v>
      </c>
      <c r="J50" t="s">
        <v>15</v>
      </c>
      <c r="K50" t="s">
        <v>38</v>
      </c>
      <c r="L50">
        <f t="shared" si="1"/>
        <v>1182995</v>
      </c>
    </row>
    <row r="51" spans="1:12" x14ac:dyDescent="0.3">
      <c r="A51" t="s">
        <v>191</v>
      </c>
      <c r="B51" t="s">
        <v>18</v>
      </c>
      <c r="C51" t="s">
        <v>48</v>
      </c>
      <c r="D51" t="s">
        <v>59</v>
      </c>
      <c r="E51">
        <v>30</v>
      </c>
      <c r="F51">
        <v>55633</v>
      </c>
      <c r="G51">
        <v>10</v>
      </c>
      <c r="H51">
        <v>18</v>
      </c>
      <c r="I51">
        <v>1772467.38</v>
      </c>
      <c r="J51" t="s">
        <v>15</v>
      </c>
      <c r="K51" t="s">
        <v>33</v>
      </c>
      <c r="L51">
        <f t="shared" si="1"/>
        <v>435185</v>
      </c>
    </row>
    <row r="52" spans="1:12" x14ac:dyDescent="0.3">
      <c r="A52" t="s">
        <v>164</v>
      </c>
      <c r="B52" t="s">
        <v>18</v>
      </c>
      <c r="C52" t="s">
        <v>62</v>
      </c>
      <c r="D52" t="s">
        <v>63</v>
      </c>
      <c r="E52">
        <v>23</v>
      </c>
      <c r="F52">
        <v>76671</v>
      </c>
      <c r="G52">
        <v>0</v>
      </c>
      <c r="H52">
        <v>12</v>
      </c>
      <c r="I52">
        <v>1975044.96</v>
      </c>
      <c r="J52" t="s">
        <v>46</v>
      </c>
      <c r="K52" t="s">
        <v>33</v>
      </c>
      <c r="L52">
        <f t="shared" si="1"/>
        <v>678305</v>
      </c>
    </row>
    <row r="53" spans="1:12" x14ac:dyDescent="0.3">
      <c r="A53" t="s">
        <v>161</v>
      </c>
      <c r="B53" t="s">
        <v>18</v>
      </c>
      <c r="C53" t="s">
        <v>35</v>
      </c>
      <c r="D53" t="s">
        <v>56</v>
      </c>
      <c r="E53">
        <v>17</v>
      </c>
      <c r="F53">
        <v>54665</v>
      </c>
      <c r="G53">
        <v>0</v>
      </c>
      <c r="H53">
        <v>28</v>
      </c>
      <c r="I53">
        <v>1189510.3999999999</v>
      </c>
      <c r="J53" t="s">
        <v>37</v>
      </c>
      <c r="K53" t="s">
        <v>33</v>
      </c>
      <c r="L53">
        <f t="shared" si="1"/>
        <v>1182995</v>
      </c>
    </row>
    <row r="54" spans="1:12" x14ac:dyDescent="0.3">
      <c r="A54" t="s">
        <v>164</v>
      </c>
      <c r="B54" t="s">
        <v>18</v>
      </c>
      <c r="C54" t="s">
        <v>62</v>
      </c>
      <c r="D54" t="s">
        <v>63</v>
      </c>
      <c r="E54">
        <v>27</v>
      </c>
      <c r="F54">
        <v>18148</v>
      </c>
      <c r="G54">
        <v>12</v>
      </c>
      <c r="H54">
        <v>12</v>
      </c>
      <c r="I54">
        <v>482940.06</v>
      </c>
      <c r="J54" t="s">
        <v>46</v>
      </c>
      <c r="K54" t="s">
        <v>16</v>
      </c>
      <c r="L54">
        <f t="shared" si="1"/>
        <v>678305</v>
      </c>
    </row>
    <row r="55" spans="1:12" x14ac:dyDescent="0.3">
      <c r="A55" t="s">
        <v>90</v>
      </c>
      <c r="B55" t="s">
        <v>18</v>
      </c>
      <c r="C55" t="s">
        <v>13</v>
      </c>
      <c r="D55" t="s">
        <v>14</v>
      </c>
      <c r="E55">
        <v>5</v>
      </c>
      <c r="F55">
        <v>16146</v>
      </c>
      <c r="G55">
        <v>12</v>
      </c>
      <c r="H55">
        <v>28</v>
      </c>
      <c r="I55">
        <v>90934.27</v>
      </c>
      <c r="J55" t="s">
        <v>46</v>
      </c>
      <c r="K55" t="s">
        <v>16</v>
      </c>
      <c r="L55">
        <f t="shared" si="1"/>
        <v>667863</v>
      </c>
    </row>
    <row r="56" spans="1:12" x14ac:dyDescent="0.3">
      <c r="A56" t="s">
        <v>34</v>
      </c>
      <c r="B56" t="s">
        <v>18</v>
      </c>
      <c r="C56" t="s">
        <v>35</v>
      </c>
      <c r="D56" t="s">
        <v>77</v>
      </c>
      <c r="E56">
        <v>19</v>
      </c>
      <c r="F56">
        <v>80190</v>
      </c>
      <c r="G56">
        <v>10</v>
      </c>
      <c r="H56">
        <v>28</v>
      </c>
      <c r="I56">
        <v>1755198.72</v>
      </c>
      <c r="J56" t="s">
        <v>46</v>
      </c>
      <c r="K56" t="s">
        <v>38</v>
      </c>
      <c r="L56">
        <f t="shared" si="1"/>
        <v>1182995</v>
      </c>
    </row>
    <row r="57" spans="1:12" x14ac:dyDescent="0.3">
      <c r="A57" t="s">
        <v>145</v>
      </c>
      <c r="B57" t="s">
        <v>18</v>
      </c>
      <c r="C57" t="s">
        <v>62</v>
      </c>
      <c r="D57" t="s">
        <v>63</v>
      </c>
      <c r="E57">
        <v>29</v>
      </c>
      <c r="F57">
        <v>5690</v>
      </c>
      <c r="G57">
        <v>0</v>
      </c>
      <c r="H57">
        <v>28</v>
      </c>
      <c r="I57">
        <v>211212.79999999999</v>
      </c>
      <c r="J57" t="s">
        <v>15</v>
      </c>
      <c r="K57" t="s">
        <v>38</v>
      </c>
      <c r="L57">
        <f t="shared" si="1"/>
        <v>678305</v>
      </c>
    </row>
    <row r="58" spans="1:12" x14ac:dyDescent="0.3">
      <c r="A58" t="s">
        <v>160</v>
      </c>
      <c r="B58" t="s">
        <v>18</v>
      </c>
      <c r="C58" t="s">
        <v>24</v>
      </c>
      <c r="D58" t="s">
        <v>25</v>
      </c>
      <c r="E58">
        <v>29</v>
      </c>
      <c r="F58">
        <v>30939</v>
      </c>
      <c r="G58">
        <v>5</v>
      </c>
      <c r="H58">
        <v>18</v>
      </c>
      <c r="I58">
        <v>1005795.95</v>
      </c>
      <c r="J58" t="s">
        <v>46</v>
      </c>
      <c r="K58" t="s">
        <v>33</v>
      </c>
      <c r="L58">
        <f t="shared" si="1"/>
        <v>932689</v>
      </c>
    </row>
    <row r="59" spans="1:12" x14ac:dyDescent="0.3">
      <c r="A59" t="s">
        <v>157</v>
      </c>
      <c r="B59" t="s">
        <v>18</v>
      </c>
      <c r="C59" t="s">
        <v>29</v>
      </c>
      <c r="D59" t="s">
        <v>30</v>
      </c>
      <c r="E59">
        <v>39</v>
      </c>
      <c r="F59">
        <v>1306</v>
      </c>
      <c r="G59">
        <v>5</v>
      </c>
      <c r="H59">
        <v>28</v>
      </c>
      <c r="I59">
        <v>61935.74</v>
      </c>
      <c r="J59" t="s">
        <v>37</v>
      </c>
      <c r="K59" t="s">
        <v>33</v>
      </c>
      <c r="L59">
        <f t="shared" si="1"/>
        <v>252741</v>
      </c>
    </row>
    <row r="60" spans="1:12" x14ac:dyDescent="0.3">
      <c r="A60" t="s">
        <v>27</v>
      </c>
      <c r="B60" t="s">
        <v>18</v>
      </c>
      <c r="C60" t="s">
        <v>48</v>
      </c>
      <c r="D60" t="s">
        <v>59</v>
      </c>
      <c r="E60">
        <v>24</v>
      </c>
      <c r="F60">
        <v>8874</v>
      </c>
      <c r="G60">
        <v>12</v>
      </c>
      <c r="H60">
        <v>12</v>
      </c>
      <c r="I60">
        <v>209909.15</v>
      </c>
      <c r="J60" t="s">
        <v>37</v>
      </c>
      <c r="K60" t="s">
        <v>38</v>
      </c>
      <c r="L60">
        <f t="shared" si="1"/>
        <v>435185</v>
      </c>
    </row>
    <row r="61" spans="1:12" x14ac:dyDescent="0.3">
      <c r="A61" t="s">
        <v>118</v>
      </c>
      <c r="B61" t="s">
        <v>18</v>
      </c>
      <c r="C61" t="s">
        <v>44</v>
      </c>
      <c r="D61" t="s">
        <v>51</v>
      </c>
      <c r="E61">
        <v>32</v>
      </c>
      <c r="F61">
        <v>47125</v>
      </c>
      <c r="G61">
        <v>0</v>
      </c>
      <c r="H61">
        <v>12</v>
      </c>
      <c r="I61">
        <v>1688960</v>
      </c>
      <c r="J61" t="s">
        <v>15</v>
      </c>
      <c r="K61" t="s">
        <v>16</v>
      </c>
      <c r="L61">
        <f t="shared" si="1"/>
        <v>356491</v>
      </c>
    </row>
    <row r="62" spans="1:12" x14ac:dyDescent="0.3">
      <c r="A62" t="s">
        <v>174</v>
      </c>
      <c r="B62" t="s">
        <v>18</v>
      </c>
      <c r="C62" t="s">
        <v>19</v>
      </c>
      <c r="D62" t="s">
        <v>20</v>
      </c>
      <c r="E62">
        <v>13</v>
      </c>
      <c r="F62">
        <v>53129</v>
      </c>
      <c r="G62">
        <v>0</v>
      </c>
      <c r="H62">
        <v>18</v>
      </c>
      <c r="I62">
        <v>814998.86</v>
      </c>
      <c r="J62" t="s">
        <v>15</v>
      </c>
      <c r="K62" t="s">
        <v>33</v>
      </c>
      <c r="L62">
        <f t="shared" si="1"/>
        <v>175255</v>
      </c>
    </row>
    <row r="63" spans="1:12" x14ac:dyDescent="0.3">
      <c r="A63" t="s">
        <v>175</v>
      </c>
      <c r="B63" t="s">
        <v>18</v>
      </c>
      <c r="C63" t="s">
        <v>24</v>
      </c>
      <c r="D63" t="s">
        <v>40</v>
      </c>
      <c r="E63">
        <v>37</v>
      </c>
      <c r="F63">
        <v>15514</v>
      </c>
      <c r="G63">
        <v>10</v>
      </c>
      <c r="H63">
        <v>18</v>
      </c>
      <c r="I63">
        <v>609607.12</v>
      </c>
      <c r="J63" t="s">
        <v>37</v>
      </c>
      <c r="K63" t="s">
        <v>26</v>
      </c>
      <c r="L63">
        <f t="shared" si="1"/>
        <v>932689</v>
      </c>
    </row>
    <row r="64" spans="1:12" x14ac:dyDescent="0.3">
      <c r="A64" t="s">
        <v>224</v>
      </c>
      <c r="B64" t="s">
        <v>18</v>
      </c>
      <c r="C64" t="s">
        <v>35</v>
      </c>
      <c r="D64" t="s">
        <v>36</v>
      </c>
      <c r="E64">
        <v>9</v>
      </c>
      <c r="F64">
        <v>10150</v>
      </c>
      <c r="G64">
        <v>12</v>
      </c>
      <c r="H64">
        <v>18</v>
      </c>
      <c r="I64">
        <v>94857.84</v>
      </c>
      <c r="J64" t="s">
        <v>21</v>
      </c>
      <c r="K64" t="s">
        <v>38</v>
      </c>
      <c r="L64">
        <f t="shared" si="1"/>
        <v>1182995</v>
      </c>
    </row>
    <row r="65" spans="1:12" x14ac:dyDescent="0.3">
      <c r="A65" t="s">
        <v>147</v>
      </c>
      <c r="B65" t="s">
        <v>18</v>
      </c>
      <c r="C65" t="s">
        <v>35</v>
      </c>
      <c r="D65" t="s">
        <v>36</v>
      </c>
      <c r="E65">
        <v>23</v>
      </c>
      <c r="F65">
        <v>33160</v>
      </c>
      <c r="G65">
        <v>5</v>
      </c>
      <c r="H65">
        <v>12</v>
      </c>
      <c r="I65">
        <v>811491.52</v>
      </c>
      <c r="J65" t="s">
        <v>46</v>
      </c>
      <c r="K65" t="s">
        <v>16</v>
      </c>
      <c r="L65">
        <f t="shared" si="1"/>
        <v>1182995</v>
      </c>
    </row>
    <row r="66" spans="1:12" x14ac:dyDescent="0.3">
      <c r="A66" t="s">
        <v>172</v>
      </c>
      <c r="B66" t="s">
        <v>18</v>
      </c>
      <c r="C66" t="s">
        <v>48</v>
      </c>
      <c r="D66" t="s">
        <v>59</v>
      </c>
      <c r="E66">
        <v>16</v>
      </c>
      <c r="F66">
        <v>20229</v>
      </c>
      <c r="G66">
        <v>0</v>
      </c>
      <c r="H66">
        <v>28</v>
      </c>
      <c r="I66">
        <v>414289.91999999998</v>
      </c>
      <c r="J66" t="s">
        <v>15</v>
      </c>
      <c r="K66" t="s">
        <v>16</v>
      </c>
      <c r="L66">
        <f t="shared" ref="L66:L97" si="2">SUMIF(C:C,C66,F:F)</f>
        <v>435185</v>
      </c>
    </row>
    <row r="67" spans="1:12" x14ac:dyDescent="0.3">
      <c r="A67" t="s">
        <v>156</v>
      </c>
      <c r="B67" t="s">
        <v>18</v>
      </c>
      <c r="C67" t="s">
        <v>44</v>
      </c>
      <c r="D67" t="s">
        <v>51</v>
      </c>
      <c r="E67">
        <v>33</v>
      </c>
      <c r="F67">
        <v>56994</v>
      </c>
      <c r="G67">
        <v>10</v>
      </c>
      <c r="H67">
        <v>12</v>
      </c>
      <c r="I67">
        <v>1895848.42</v>
      </c>
      <c r="J67" t="s">
        <v>46</v>
      </c>
      <c r="K67" t="s">
        <v>16</v>
      </c>
      <c r="L67">
        <f t="shared" si="2"/>
        <v>356491</v>
      </c>
    </row>
    <row r="68" spans="1:12" x14ac:dyDescent="0.3">
      <c r="A68" t="s">
        <v>181</v>
      </c>
      <c r="B68" t="s">
        <v>18</v>
      </c>
      <c r="C68" t="s">
        <v>48</v>
      </c>
      <c r="D68" t="s">
        <v>49</v>
      </c>
      <c r="E68">
        <v>40</v>
      </c>
      <c r="F68">
        <v>77515</v>
      </c>
      <c r="G68">
        <v>10</v>
      </c>
      <c r="H68">
        <v>12</v>
      </c>
      <c r="I68">
        <v>3125404.8</v>
      </c>
      <c r="J68" t="s">
        <v>15</v>
      </c>
      <c r="K68" t="s">
        <v>38</v>
      </c>
      <c r="L68">
        <f t="shared" si="2"/>
        <v>435185</v>
      </c>
    </row>
    <row r="69" spans="1:12" x14ac:dyDescent="0.3">
      <c r="A69" t="s">
        <v>103</v>
      </c>
      <c r="B69" t="s">
        <v>18</v>
      </c>
      <c r="C69" t="s">
        <v>35</v>
      </c>
      <c r="D69" t="s">
        <v>36</v>
      </c>
      <c r="E69">
        <v>15</v>
      </c>
      <c r="F69">
        <v>3235</v>
      </c>
      <c r="G69">
        <v>0</v>
      </c>
      <c r="H69">
        <v>12</v>
      </c>
      <c r="I69">
        <v>54348</v>
      </c>
      <c r="J69" t="s">
        <v>15</v>
      </c>
      <c r="K69" t="s">
        <v>16</v>
      </c>
      <c r="L69">
        <f t="shared" si="2"/>
        <v>1182995</v>
      </c>
    </row>
    <row r="70" spans="1:12" x14ac:dyDescent="0.3">
      <c r="A70" t="s">
        <v>122</v>
      </c>
      <c r="B70" t="s">
        <v>18</v>
      </c>
      <c r="C70" t="s">
        <v>35</v>
      </c>
      <c r="D70" t="s">
        <v>77</v>
      </c>
      <c r="E70">
        <v>6</v>
      </c>
      <c r="F70">
        <v>23952</v>
      </c>
      <c r="G70">
        <v>5</v>
      </c>
      <c r="H70">
        <v>18</v>
      </c>
      <c r="I70">
        <v>161101.15</v>
      </c>
      <c r="J70" t="s">
        <v>37</v>
      </c>
      <c r="K70" t="s">
        <v>16</v>
      </c>
      <c r="L70">
        <f t="shared" si="2"/>
        <v>1182995</v>
      </c>
    </row>
    <row r="71" spans="1:12" x14ac:dyDescent="0.3">
      <c r="A71" t="s">
        <v>200</v>
      </c>
      <c r="B71" t="s">
        <v>18</v>
      </c>
      <c r="C71" t="s">
        <v>62</v>
      </c>
      <c r="D71" t="s">
        <v>63</v>
      </c>
      <c r="E71">
        <v>10</v>
      </c>
      <c r="F71">
        <v>6035</v>
      </c>
      <c r="G71">
        <v>10</v>
      </c>
      <c r="H71">
        <v>12</v>
      </c>
      <c r="I71">
        <v>60832.800000000003</v>
      </c>
      <c r="J71" t="s">
        <v>37</v>
      </c>
      <c r="K71" t="s">
        <v>26</v>
      </c>
      <c r="L71">
        <f t="shared" si="2"/>
        <v>678305</v>
      </c>
    </row>
    <row r="72" spans="1:12" x14ac:dyDescent="0.3">
      <c r="A72" t="s">
        <v>117</v>
      </c>
      <c r="B72" t="s">
        <v>18</v>
      </c>
      <c r="C72" t="s">
        <v>24</v>
      </c>
      <c r="D72" t="s">
        <v>76</v>
      </c>
      <c r="E72">
        <v>17</v>
      </c>
      <c r="F72">
        <v>68808</v>
      </c>
      <c r="G72">
        <v>10</v>
      </c>
      <c r="H72">
        <v>28</v>
      </c>
      <c r="I72">
        <v>1347535.87</v>
      </c>
      <c r="J72" t="s">
        <v>46</v>
      </c>
      <c r="K72" t="s">
        <v>16</v>
      </c>
      <c r="L72">
        <f t="shared" si="2"/>
        <v>932689</v>
      </c>
    </row>
    <row r="73" spans="1:12" x14ac:dyDescent="0.3">
      <c r="A73" t="s">
        <v>219</v>
      </c>
      <c r="B73" t="s">
        <v>18</v>
      </c>
      <c r="C73" t="s">
        <v>24</v>
      </c>
      <c r="D73" t="s">
        <v>25</v>
      </c>
      <c r="E73">
        <v>9</v>
      </c>
      <c r="F73">
        <v>84854</v>
      </c>
      <c r="G73">
        <v>0</v>
      </c>
      <c r="H73">
        <v>28</v>
      </c>
      <c r="I73">
        <v>977518.07999999996</v>
      </c>
      <c r="J73" t="s">
        <v>37</v>
      </c>
      <c r="K73" t="s">
        <v>38</v>
      </c>
      <c r="L73">
        <f t="shared" si="2"/>
        <v>932689</v>
      </c>
    </row>
    <row r="74" spans="1:12" x14ac:dyDescent="0.3">
      <c r="A74" t="s">
        <v>220</v>
      </c>
      <c r="B74" t="s">
        <v>18</v>
      </c>
      <c r="C74" t="s">
        <v>24</v>
      </c>
      <c r="D74" t="s">
        <v>40</v>
      </c>
      <c r="E74">
        <v>2</v>
      </c>
      <c r="F74">
        <v>44724</v>
      </c>
      <c r="G74">
        <v>10</v>
      </c>
      <c r="H74">
        <v>12</v>
      </c>
      <c r="I74">
        <v>90163.58</v>
      </c>
      <c r="J74" t="s">
        <v>21</v>
      </c>
      <c r="K74" t="s">
        <v>38</v>
      </c>
      <c r="L74">
        <f t="shared" si="2"/>
        <v>932689</v>
      </c>
    </row>
    <row r="75" spans="1:12" x14ac:dyDescent="0.3">
      <c r="A75" t="s">
        <v>143</v>
      </c>
      <c r="B75" t="s">
        <v>18</v>
      </c>
      <c r="C75" t="s">
        <v>35</v>
      </c>
      <c r="D75" t="s">
        <v>56</v>
      </c>
      <c r="E75">
        <v>4</v>
      </c>
      <c r="F75">
        <v>31278</v>
      </c>
      <c r="G75">
        <v>0</v>
      </c>
      <c r="H75">
        <v>18</v>
      </c>
      <c r="I75">
        <v>147632.16</v>
      </c>
      <c r="J75" t="s">
        <v>15</v>
      </c>
      <c r="K75" t="s">
        <v>16</v>
      </c>
      <c r="L75">
        <f t="shared" si="2"/>
        <v>1182995</v>
      </c>
    </row>
    <row r="76" spans="1:12" x14ac:dyDescent="0.3">
      <c r="A76" t="s">
        <v>55</v>
      </c>
      <c r="B76" t="s">
        <v>18</v>
      </c>
      <c r="C76" t="s">
        <v>48</v>
      </c>
      <c r="D76" t="s">
        <v>49</v>
      </c>
      <c r="E76">
        <v>4</v>
      </c>
      <c r="F76">
        <v>9782</v>
      </c>
      <c r="G76">
        <v>12</v>
      </c>
      <c r="H76">
        <v>12</v>
      </c>
      <c r="I76">
        <v>38564.559999999998</v>
      </c>
      <c r="J76" t="s">
        <v>15</v>
      </c>
      <c r="K76" t="s">
        <v>16</v>
      </c>
      <c r="L76">
        <f t="shared" si="2"/>
        <v>435185</v>
      </c>
    </row>
    <row r="77" spans="1:12" x14ac:dyDescent="0.3">
      <c r="A77" t="s">
        <v>231</v>
      </c>
      <c r="B77" t="s">
        <v>18</v>
      </c>
      <c r="C77" t="s">
        <v>35</v>
      </c>
      <c r="D77" t="s">
        <v>36</v>
      </c>
      <c r="E77">
        <v>40</v>
      </c>
      <c r="F77">
        <v>23259</v>
      </c>
      <c r="G77">
        <v>12</v>
      </c>
      <c r="H77">
        <v>18</v>
      </c>
      <c r="I77">
        <v>966085.82</v>
      </c>
      <c r="J77" t="s">
        <v>21</v>
      </c>
      <c r="K77" t="s">
        <v>16</v>
      </c>
      <c r="L77">
        <f t="shared" si="2"/>
        <v>1182995</v>
      </c>
    </row>
    <row r="78" spans="1:12" x14ac:dyDescent="0.3">
      <c r="A78" t="s">
        <v>141</v>
      </c>
      <c r="B78" t="s">
        <v>18</v>
      </c>
      <c r="C78" t="s">
        <v>24</v>
      </c>
      <c r="D78" t="s">
        <v>40</v>
      </c>
      <c r="E78">
        <v>22</v>
      </c>
      <c r="F78">
        <v>3406</v>
      </c>
      <c r="G78">
        <v>0</v>
      </c>
      <c r="H78">
        <v>18</v>
      </c>
      <c r="I78">
        <v>88419.76</v>
      </c>
      <c r="J78" t="s">
        <v>37</v>
      </c>
      <c r="K78" t="s">
        <v>16</v>
      </c>
      <c r="L78">
        <f t="shared" si="2"/>
        <v>932689</v>
      </c>
    </row>
    <row r="79" spans="1:12" x14ac:dyDescent="0.3">
      <c r="A79" t="s">
        <v>74</v>
      </c>
      <c r="B79" t="s">
        <v>18</v>
      </c>
      <c r="C79" t="s">
        <v>62</v>
      </c>
      <c r="D79" t="s">
        <v>92</v>
      </c>
      <c r="E79">
        <v>21</v>
      </c>
      <c r="F79">
        <v>83767</v>
      </c>
      <c r="G79">
        <v>10</v>
      </c>
      <c r="H79">
        <v>28</v>
      </c>
      <c r="I79">
        <v>2026491.26</v>
      </c>
      <c r="J79" t="s">
        <v>15</v>
      </c>
      <c r="K79" t="s">
        <v>16</v>
      </c>
      <c r="L79">
        <f t="shared" si="2"/>
        <v>678305</v>
      </c>
    </row>
    <row r="80" spans="1:12" x14ac:dyDescent="0.3">
      <c r="A80" t="s">
        <v>190</v>
      </c>
      <c r="B80" t="s">
        <v>18</v>
      </c>
      <c r="C80" t="s">
        <v>35</v>
      </c>
      <c r="D80" t="s">
        <v>36</v>
      </c>
      <c r="E80">
        <v>16</v>
      </c>
      <c r="F80">
        <v>69483</v>
      </c>
      <c r="G80">
        <v>12</v>
      </c>
      <c r="H80">
        <v>18</v>
      </c>
      <c r="I80">
        <v>1154418.3600000001</v>
      </c>
      <c r="J80" t="s">
        <v>15</v>
      </c>
      <c r="K80" t="s">
        <v>26</v>
      </c>
      <c r="L80">
        <f t="shared" si="2"/>
        <v>1182995</v>
      </c>
    </row>
    <row r="81" spans="1:12" x14ac:dyDescent="0.3">
      <c r="A81" t="s">
        <v>68</v>
      </c>
      <c r="B81" t="s">
        <v>18</v>
      </c>
      <c r="C81" t="s">
        <v>13</v>
      </c>
      <c r="D81" t="s">
        <v>14</v>
      </c>
      <c r="E81">
        <v>32</v>
      </c>
      <c r="F81">
        <v>61053</v>
      </c>
      <c r="G81">
        <v>5</v>
      </c>
      <c r="H81">
        <v>28</v>
      </c>
      <c r="I81">
        <v>2375694.34</v>
      </c>
      <c r="J81" t="s">
        <v>46</v>
      </c>
      <c r="K81" t="s">
        <v>16</v>
      </c>
      <c r="L81">
        <f t="shared" si="2"/>
        <v>667863</v>
      </c>
    </row>
    <row r="82" spans="1:12" x14ac:dyDescent="0.3">
      <c r="A82" t="s">
        <v>217</v>
      </c>
      <c r="B82" t="s">
        <v>18</v>
      </c>
      <c r="C82" t="s">
        <v>24</v>
      </c>
      <c r="D82" t="s">
        <v>76</v>
      </c>
      <c r="E82">
        <v>36</v>
      </c>
      <c r="F82">
        <v>20072</v>
      </c>
      <c r="G82">
        <v>12</v>
      </c>
      <c r="H82">
        <v>18</v>
      </c>
      <c r="I82">
        <v>750339.53</v>
      </c>
      <c r="J82" t="s">
        <v>37</v>
      </c>
      <c r="K82" t="s">
        <v>38</v>
      </c>
      <c r="L82">
        <f t="shared" si="2"/>
        <v>932689</v>
      </c>
    </row>
    <row r="83" spans="1:12" x14ac:dyDescent="0.3">
      <c r="A83" t="s">
        <v>206</v>
      </c>
      <c r="B83" t="s">
        <v>18</v>
      </c>
      <c r="C83" t="s">
        <v>35</v>
      </c>
      <c r="D83" t="s">
        <v>56</v>
      </c>
      <c r="E83">
        <v>5</v>
      </c>
      <c r="F83">
        <v>37458</v>
      </c>
      <c r="G83">
        <v>10</v>
      </c>
      <c r="H83">
        <v>12</v>
      </c>
      <c r="I83">
        <v>188788.32</v>
      </c>
      <c r="J83" t="s">
        <v>21</v>
      </c>
      <c r="K83" t="s">
        <v>33</v>
      </c>
      <c r="L83">
        <f t="shared" si="2"/>
        <v>1182995</v>
      </c>
    </row>
    <row r="84" spans="1:12" x14ac:dyDescent="0.3">
      <c r="A84" t="s">
        <v>135</v>
      </c>
      <c r="B84" t="s">
        <v>18</v>
      </c>
      <c r="C84" t="s">
        <v>48</v>
      </c>
      <c r="D84" t="s">
        <v>49</v>
      </c>
      <c r="E84">
        <v>27</v>
      </c>
      <c r="F84">
        <v>83932</v>
      </c>
      <c r="G84">
        <v>5</v>
      </c>
      <c r="H84">
        <v>12</v>
      </c>
      <c r="I84">
        <v>2411198.5</v>
      </c>
      <c r="J84" t="s">
        <v>21</v>
      </c>
      <c r="K84" t="s">
        <v>26</v>
      </c>
      <c r="L84">
        <f t="shared" si="2"/>
        <v>435185</v>
      </c>
    </row>
    <row r="85" spans="1:12" x14ac:dyDescent="0.3">
      <c r="A85" t="s">
        <v>103</v>
      </c>
      <c r="B85" t="s">
        <v>18</v>
      </c>
      <c r="C85" t="s">
        <v>48</v>
      </c>
      <c r="D85" t="s">
        <v>59</v>
      </c>
      <c r="E85">
        <v>15</v>
      </c>
      <c r="F85">
        <v>24888</v>
      </c>
      <c r="G85">
        <v>12</v>
      </c>
      <c r="H85">
        <v>18</v>
      </c>
      <c r="I85">
        <v>387655.49</v>
      </c>
      <c r="J85" t="s">
        <v>15</v>
      </c>
      <c r="K85" t="s">
        <v>38</v>
      </c>
      <c r="L85">
        <f t="shared" si="2"/>
        <v>435185</v>
      </c>
    </row>
    <row r="86" spans="1:12" x14ac:dyDescent="0.3">
      <c r="A86" t="s">
        <v>119</v>
      </c>
      <c r="B86" t="s">
        <v>18</v>
      </c>
      <c r="C86" t="s">
        <v>24</v>
      </c>
      <c r="D86" t="s">
        <v>25</v>
      </c>
      <c r="E86">
        <v>39</v>
      </c>
      <c r="F86">
        <v>28275</v>
      </c>
      <c r="G86">
        <v>5</v>
      </c>
      <c r="H86">
        <v>28</v>
      </c>
      <c r="I86">
        <v>1340913.6000000001</v>
      </c>
      <c r="J86" t="s">
        <v>15</v>
      </c>
      <c r="K86" t="s">
        <v>33</v>
      </c>
      <c r="L86">
        <f t="shared" si="2"/>
        <v>932689</v>
      </c>
    </row>
    <row r="87" spans="1:12" x14ac:dyDescent="0.3">
      <c r="A87" t="s">
        <v>157</v>
      </c>
      <c r="B87" t="s">
        <v>18</v>
      </c>
      <c r="C87" t="s">
        <v>13</v>
      </c>
      <c r="D87" t="s">
        <v>14</v>
      </c>
      <c r="E87">
        <v>7</v>
      </c>
      <c r="F87">
        <v>22523</v>
      </c>
      <c r="G87">
        <v>5</v>
      </c>
      <c r="H87">
        <v>28</v>
      </c>
      <c r="I87">
        <v>191715.78</v>
      </c>
      <c r="J87" t="s">
        <v>46</v>
      </c>
      <c r="K87" t="s">
        <v>38</v>
      </c>
      <c r="L87">
        <f t="shared" si="2"/>
        <v>667863</v>
      </c>
    </row>
    <row r="88" spans="1:12" x14ac:dyDescent="0.3">
      <c r="A88" t="s">
        <v>95</v>
      </c>
      <c r="B88" t="s">
        <v>18</v>
      </c>
      <c r="C88" t="s">
        <v>29</v>
      </c>
      <c r="D88" t="s">
        <v>30</v>
      </c>
      <c r="E88">
        <v>21</v>
      </c>
      <c r="F88">
        <v>66620</v>
      </c>
      <c r="G88">
        <v>10</v>
      </c>
      <c r="H88">
        <v>18</v>
      </c>
      <c r="I88">
        <v>1485759.24</v>
      </c>
      <c r="J88" t="s">
        <v>21</v>
      </c>
      <c r="K88" t="s">
        <v>33</v>
      </c>
      <c r="L88">
        <f t="shared" si="2"/>
        <v>252741</v>
      </c>
    </row>
    <row r="89" spans="1:12" x14ac:dyDescent="0.3">
      <c r="A89" t="s">
        <v>140</v>
      </c>
      <c r="B89" t="s">
        <v>18</v>
      </c>
      <c r="C89" t="s">
        <v>62</v>
      </c>
      <c r="D89" t="s">
        <v>92</v>
      </c>
      <c r="E89">
        <v>16</v>
      </c>
      <c r="F89">
        <v>82609</v>
      </c>
      <c r="G89">
        <v>12</v>
      </c>
      <c r="H89">
        <v>18</v>
      </c>
      <c r="I89">
        <v>1372498.97</v>
      </c>
      <c r="J89" t="s">
        <v>46</v>
      </c>
      <c r="K89" t="s">
        <v>33</v>
      </c>
      <c r="L89">
        <f t="shared" si="2"/>
        <v>678305</v>
      </c>
    </row>
    <row r="90" spans="1:12" x14ac:dyDescent="0.3">
      <c r="A90" t="s">
        <v>151</v>
      </c>
      <c r="B90" t="s">
        <v>18</v>
      </c>
      <c r="C90" t="s">
        <v>29</v>
      </c>
      <c r="D90" t="s">
        <v>30</v>
      </c>
      <c r="E90">
        <v>16</v>
      </c>
      <c r="F90">
        <v>81345</v>
      </c>
      <c r="G90">
        <v>12</v>
      </c>
      <c r="H90">
        <v>18</v>
      </c>
      <c r="I90">
        <v>1351498.37</v>
      </c>
      <c r="J90" t="s">
        <v>46</v>
      </c>
      <c r="K90" t="s">
        <v>26</v>
      </c>
      <c r="L90">
        <f t="shared" si="2"/>
        <v>252741</v>
      </c>
    </row>
    <row r="91" spans="1:12" x14ac:dyDescent="0.3">
      <c r="A91" t="s">
        <v>176</v>
      </c>
      <c r="B91" t="s">
        <v>18</v>
      </c>
      <c r="C91" t="s">
        <v>13</v>
      </c>
      <c r="D91" t="s">
        <v>14</v>
      </c>
      <c r="E91">
        <v>28</v>
      </c>
      <c r="F91">
        <v>68361</v>
      </c>
      <c r="G91">
        <v>12</v>
      </c>
      <c r="H91">
        <v>28</v>
      </c>
      <c r="I91">
        <v>2156051.25</v>
      </c>
      <c r="J91" t="s">
        <v>46</v>
      </c>
      <c r="K91" t="s">
        <v>26</v>
      </c>
      <c r="L91">
        <f t="shared" si="2"/>
        <v>667863</v>
      </c>
    </row>
    <row r="92" spans="1:12" x14ac:dyDescent="0.3">
      <c r="A92" t="s">
        <v>174</v>
      </c>
      <c r="B92" t="s">
        <v>18</v>
      </c>
      <c r="C92" t="s">
        <v>62</v>
      </c>
      <c r="D92" t="s">
        <v>63</v>
      </c>
      <c r="E92">
        <v>24</v>
      </c>
      <c r="F92">
        <v>23598</v>
      </c>
      <c r="G92">
        <v>10</v>
      </c>
      <c r="H92">
        <v>18</v>
      </c>
      <c r="I92">
        <v>601465.81999999995</v>
      </c>
      <c r="J92" t="s">
        <v>37</v>
      </c>
      <c r="K92" t="s">
        <v>38</v>
      </c>
      <c r="L92">
        <f t="shared" si="2"/>
        <v>678305</v>
      </c>
    </row>
    <row r="93" spans="1:12" x14ac:dyDescent="0.3">
      <c r="A93" t="s">
        <v>139</v>
      </c>
      <c r="B93" t="s">
        <v>18</v>
      </c>
      <c r="C93" t="s">
        <v>35</v>
      </c>
      <c r="D93" t="s">
        <v>77</v>
      </c>
      <c r="E93">
        <v>15</v>
      </c>
      <c r="F93">
        <v>9698</v>
      </c>
      <c r="G93">
        <v>12</v>
      </c>
      <c r="H93">
        <v>28</v>
      </c>
      <c r="I93">
        <v>163857.41</v>
      </c>
      <c r="J93" t="s">
        <v>37</v>
      </c>
      <c r="K93" t="s">
        <v>16</v>
      </c>
      <c r="L93">
        <f t="shared" si="2"/>
        <v>1182995</v>
      </c>
    </row>
    <row r="94" spans="1:12" x14ac:dyDescent="0.3">
      <c r="A94" t="s">
        <v>105</v>
      </c>
      <c r="B94" t="s">
        <v>18</v>
      </c>
      <c r="C94" t="s">
        <v>35</v>
      </c>
      <c r="D94" t="s">
        <v>56</v>
      </c>
      <c r="E94">
        <v>37</v>
      </c>
      <c r="F94">
        <v>7405</v>
      </c>
      <c r="G94">
        <v>10</v>
      </c>
      <c r="H94">
        <v>18</v>
      </c>
      <c r="I94">
        <v>290972.07</v>
      </c>
      <c r="J94" t="s">
        <v>37</v>
      </c>
      <c r="K94" t="s">
        <v>38</v>
      </c>
      <c r="L94">
        <f t="shared" si="2"/>
        <v>1182995</v>
      </c>
    </row>
    <row r="95" spans="1:12" x14ac:dyDescent="0.3">
      <c r="A95" t="s">
        <v>98</v>
      </c>
      <c r="B95" t="s">
        <v>18</v>
      </c>
      <c r="C95" t="s">
        <v>44</v>
      </c>
      <c r="D95" t="s">
        <v>51</v>
      </c>
      <c r="E95">
        <v>11</v>
      </c>
      <c r="F95">
        <v>19652</v>
      </c>
      <c r="G95">
        <v>10</v>
      </c>
      <c r="H95">
        <v>28</v>
      </c>
      <c r="I95">
        <v>249030.14</v>
      </c>
      <c r="J95" t="s">
        <v>21</v>
      </c>
      <c r="K95" t="s">
        <v>33</v>
      </c>
      <c r="L95">
        <f t="shared" si="2"/>
        <v>356491</v>
      </c>
    </row>
    <row r="96" spans="1:12" x14ac:dyDescent="0.3">
      <c r="A96" t="s">
        <v>202</v>
      </c>
      <c r="B96" t="s">
        <v>18</v>
      </c>
      <c r="C96" t="s">
        <v>24</v>
      </c>
      <c r="D96" t="s">
        <v>25</v>
      </c>
      <c r="E96">
        <v>22</v>
      </c>
      <c r="F96">
        <v>82235</v>
      </c>
      <c r="G96">
        <v>12</v>
      </c>
      <c r="H96">
        <v>28</v>
      </c>
      <c r="I96">
        <v>2037849.09</v>
      </c>
      <c r="J96" t="s">
        <v>21</v>
      </c>
      <c r="K96" t="s">
        <v>38</v>
      </c>
      <c r="L96">
        <f t="shared" si="2"/>
        <v>932689</v>
      </c>
    </row>
    <row r="97" spans="1:12" x14ac:dyDescent="0.3">
      <c r="A97" t="s">
        <v>66</v>
      </c>
      <c r="B97" t="s">
        <v>18</v>
      </c>
      <c r="C97" t="s">
        <v>35</v>
      </c>
      <c r="D97" t="s">
        <v>77</v>
      </c>
      <c r="E97">
        <v>34</v>
      </c>
      <c r="F97">
        <v>75959</v>
      </c>
      <c r="G97">
        <v>0</v>
      </c>
      <c r="H97">
        <v>28</v>
      </c>
      <c r="I97">
        <v>3305735.68</v>
      </c>
      <c r="J97" t="s">
        <v>46</v>
      </c>
      <c r="K97" t="s">
        <v>33</v>
      </c>
      <c r="L97">
        <f t="shared" si="2"/>
        <v>1182995</v>
      </c>
    </row>
    <row r="98" spans="1:12" x14ac:dyDescent="0.3">
      <c r="A98" t="s">
        <v>145</v>
      </c>
      <c r="B98" t="s">
        <v>18</v>
      </c>
      <c r="C98" t="s">
        <v>35</v>
      </c>
      <c r="D98" t="s">
        <v>36</v>
      </c>
      <c r="E98">
        <v>35</v>
      </c>
      <c r="F98">
        <v>80507</v>
      </c>
      <c r="G98">
        <v>10</v>
      </c>
      <c r="H98">
        <v>28</v>
      </c>
      <c r="I98">
        <v>3246042.24</v>
      </c>
      <c r="J98" t="s">
        <v>21</v>
      </c>
      <c r="K98" t="s">
        <v>16</v>
      </c>
      <c r="L98">
        <f t="shared" ref="L98:L113" si="3">SUMIF(C:C,C98,F:F)</f>
        <v>1182995</v>
      </c>
    </row>
    <row r="99" spans="1:12" x14ac:dyDescent="0.3">
      <c r="A99" t="s">
        <v>184</v>
      </c>
      <c r="B99" t="s">
        <v>18</v>
      </c>
      <c r="C99" t="s">
        <v>29</v>
      </c>
      <c r="D99" t="s">
        <v>30</v>
      </c>
      <c r="E99">
        <v>13</v>
      </c>
      <c r="F99">
        <v>13186</v>
      </c>
      <c r="G99">
        <v>10</v>
      </c>
      <c r="H99">
        <v>28</v>
      </c>
      <c r="I99">
        <v>197473.54</v>
      </c>
      <c r="J99" t="s">
        <v>15</v>
      </c>
      <c r="K99" t="s">
        <v>16</v>
      </c>
      <c r="L99">
        <f t="shared" si="3"/>
        <v>252741</v>
      </c>
    </row>
    <row r="100" spans="1:12" x14ac:dyDescent="0.3">
      <c r="A100" t="s">
        <v>90</v>
      </c>
      <c r="B100" t="s">
        <v>18</v>
      </c>
      <c r="C100" t="s">
        <v>24</v>
      </c>
      <c r="D100" t="s">
        <v>76</v>
      </c>
      <c r="E100">
        <v>14</v>
      </c>
      <c r="F100">
        <v>5971</v>
      </c>
      <c r="G100">
        <v>12</v>
      </c>
      <c r="H100">
        <v>18</v>
      </c>
      <c r="I100">
        <v>86804.01</v>
      </c>
      <c r="J100" t="s">
        <v>15</v>
      </c>
      <c r="K100" t="s">
        <v>38</v>
      </c>
      <c r="L100">
        <f t="shared" si="3"/>
        <v>932689</v>
      </c>
    </row>
    <row r="101" spans="1:12" x14ac:dyDescent="0.3">
      <c r="A101" t="s">
        <v>212</v>
      </c>
      <c r="B101" t="s">
        <v>18</v>
      </c>
      <c r="C101" t="s">
        <v>35</v>
      </c>
      <c r="D101" t="s">
        <v>77</v>
      </c>
      <c r="E101">
        <v>8</v>
      </c>
      <c r="F101">
        <v>23093</v>
      </c>
      <c r="G101">
        <v>12</v>
      </c>
      <c r="H101">
        <v>12</v>
      </c>
      <c r="I101">
        <v>182083.69</v>
      </c>
      <c r="J101" t="s">
        <v>37</v>
      </c>
      <c r="K101" t="s">
        <v>26</v>
      </c>
      <c r="L101">
        <f t="shared" si="3"/>
        <v>1182995</v>
      </c>
    </row>
    <row r="102" spans="1:12" x14ac:dyDescent="0.3">
      <c r="A102" t="s">
        <v>199</v>
      </c>
      <c r="B102" t="s">
        <v>18</v>
      </c>
      <c r="C102" t="s">
        <v>35</v>
      </c>
      <c r="D102" t="s">
        <v>56</v>
      </c>
      <c r="E102">
        <v>18</v>
      </c>
      <c r="F102">
        <v>36775</v>
      </c>
      <c r="G102">
        <v>10</v>
      </c>
      <c r="H102">
        <v>28</v>
      </c>
      <c r="I102">
        <v>762566.4</v>
      </c>
      <c r="J102" t="s">
        <v>21</v>
      </c>
      <c r="K102" t="s">
        <v>33</v>
      </c>
      <c r="L102">
        <f t="shared" si="3"/>
        <v>1182995</v>
      </c>
    </row>
    <row r="103" spans="1:12" x14ac:dyDescent="0.3">
      <c r="A103" t="s">
        <v>166</v>
      </c>
      <c r="B103" t="s">
        <v>18</v>
      </c>
      <c r="C103" t="s">
        <v>35</v>
      </c>
      <c r="D103" t="s">
        <v>56</v>
      </c>
      <c r="E103">
        <v>29</v>
      </c>
      <c r="F103">
        <v>79667</v>
      </c>
      <c r="G103">
        <v>12</v>
      </c>
      <c r="H103">
        <v>18</v>
      </c>
      <c r="I103">
        <v>2399060.17</v>
      </c>
      <c r="J103" t="s">
        <v>37</v>
      </c>
      <c r="K103" t="s">
        <v>38</v>
      </c>
      <c r="L103">
        <f t="shared" si="3"/>
        <v>1182995</v>
      </c>
    </row>
    <row r="104" spans="1:12" x14ac:dyDescent="0.3">
      <c r="A104" t="s">
        <v>202</v>
      </c>
      <c r="B104" t="s">
        <v>18</v>
      </c>
      <c r="C104" t="s">
        <v>24</v>
      </c>
      <c r="D104" t="s">
        <v>25</v>
      </c>
      <c r="E104">
        <v>2</v>
      </c>
      <c r="F104">
        <v>32696</v>
      </c>
      <c r="G104">
        <v>0</v>
      </c>
      <c r="H104">
        <v>12</v>
      </c>
      <c r="I104">
        <v>73239.039999999994</v>
      </c>
      <c r="J104" t="s">
        <v>46</v>
      </c>
      <c r="K104" t="s">
        <v>26</v>
      </c>
      <c r="L104">
        <f t="shared" si="3"/>
        <v>932689</v>
      </c>
    </row>
    <row r="105" spans="1:12" x14ac:dyDescent="0.3">
      <c r="A105" t="s">
        <v>142</v>
      </c>
      <c r="B105" t="s">
        <v>18</v>
      </c>
      <c r="C105" t="s">
        <v>24</v>
      </c>
      <c r="D105" t="s">
        <v>25</v>
      </c>
      <c r="E105">
        <v>14</v>
      </c>
      <c r="F105">
        <v>19519</v>
      </c>
      <c r="G105">
        <v>12</v>
      </c>
      <c r="H105">
        <v>12</v>
      </c>
      <c r="I105">
        <v>269330.96999999997</v>
      </c>
      <c r="J105" t="s">
        <v>46</v>
      </c>
      <c r="K105" t="s">
        <v>26</v>
      </c>
      <c r="L105">
        <f t="shared" si="3"/>
        <v>932689</v>
      </c>
    </row>
    <row r="106" spans="1:12" x14ac:dyDescent="0.3">
      <c r="A106" t="s">
        <v>219</v>
      </c>
      <c r="B106" t="s">
        <v>18</v>
      </c>
      <c r="C106" t="s">
        <v>24</v>
      </c>
      <c r="D106" t="s">
        <v>76</v>
      </c>
      <c r="E106">
        <v>39</v>
      </c>
      <c r="F106">
        <v>15593</v>
      </c>
      <c r="G106">
        <v>0</v>
      </c>
      <c r="H106">
        <v>18</v>
      </c>
      <c r="I106">
        <v>717589.86</v>
      </c>
      <c r="J106" t="s">
        <v>46</v>
      </c>
      <c r="K106" t="s">
        <v>16</v>
      </c>
      <c r="L106">
        <f t="shared" si="3"/>
        <v>932689</v>
      </c>
    </row>
    <row r="107" spans="1:12" x14ac:dyDescent="0.3">
      <c r="A107" t="s">
        <v>57</v>
      </c>
      <c r="B107" t="s">
        <v>18</v>
      </c>
      <c r="C107" t="s">
        <v>35</v>
      </c>
      <c r="D107" t="s">
        <v>36</v>
      </c>
      <c r="E107">
        <v>30</v>
      </c>
      <c r="F107">
        <v>66960</v>
      </c>
      <c r="G107">
        <v>0</v>
      </c>
      <c r="H107">
        <v>18</v>
      </c>
      <c r="I107">
        <v>2370384</v>
      </c>
      <c r="J107" t="s">
        <v>21</v>
      </c>
      <c r="K107" t="s">
        <v>16</v>
      </c>
      <c r="L107">
        <f t="shared" si="3"/>
        <v>1182995</v>
      </c>
    </row>
    <row r="108" spans="1:12" x14ac:dyDescent="0.3">
      <c r="A108" t="s">
        <v>205</v>
      </c>
      <c r="B108" t="s">
        <v>18</v>
      </c>
      <c r="C108" t="s">
        <v>24</v>
      </c>
      <c r="D108" t="s">
        <v>40</v>
      </c>
      <c r="E108">
        <v>7</v>
      </c>
      <c r="F108">
        <v>71365</v>
      </c>
      <c r="G108">
        <v>10</v>
      </c>
      <c r="H108">
        <v>28</v>
      </c>
      <c r="I108">
        <v>575487.36</v>
      </c>
      <c r="J108" t="s">
        <v>46</v>
      </c>
      <c r="K108" t="s">
        <v>26</v>
      </c>
      <c r="L108">
        <f t="shared" si="3"/>
        <v>932689</v>
      </c>
    </row>
    <row r="109" spans="1:12" x14ac:dyDescent="0.3">
      <c r="A109" t="s">
        <v>88</v>
      </c>
      <c r="B109" t="s">
        <v>18</v>
      </c>
      <c r="C109" t="s">
        <v>13</v>
      </c>
      <c r="D109" t="s">
        <v>32</v>
      </c>
      <c r="E109">
        <v>30</v>
      </c>
      <c r="F109">
        <v>75129</v>
      </c>
      <c r="G109">
        <v>0</v>
      </c>
      <c r="H109">
        <v>18</v>
      </c>
      <c r="I109">
        <v>2659566.6</v>
      </c>
      <c r="J109" t="s">
        <v>46</v>
      </c>
      <c r="K109" t="s">
        <v>16</v>
      </c>
      <c r="L109">
        <f t="shared" si="3"/>
        <v>667863</v>
      </c>
    </row>
    <row r="110" spans="1:12" x14ac:dyDescent="0.3">
      <c r="A110" t="s">
        <v>100</v>
      </c>
      <c r="B110" t="s">
        <v>18</v>
      </c>
      <c r="C110" t="s">
        <v>13</v>
      </c>
      <c r="D110" t="s">
        <v>32</v>
      </c>
      <c r="E110">
        <v>11</v>
      </c>
      <c r="F110">
        <v>25693</v>
      </c>
      <c r="G110">
        <v>0</v>
      </c>
      <c r="H110">
        <v>18</v>
      </c>
      <c r="I110">
        <v>333495.14</v>
      </c>
      <c r="J110" t="s">
        <v>15</v>
      </c>
      <c r="K110" t="s">
        <v>33</v>
      </c>
      <c r="L110">
        <f t="shared" si="3"/>
        <v>667863</v>
      </c>
    </row>
    <row r="111" spans="1:12" x14ac:dyDescent="0.3">
      <c r="A111" t="s">
        <v>47</v>
      </c>
      <c r="B111" t="s">
        <v>18</v>
      </c>
      <c r="C111" t="s">
        <v>35</v>
      </c>
      <c r="D111" t="s">
        <v>56</v>
      </c>
      <c r="E111">
        <v>18</v>
      </c>
      <c r="F111">
        <v>18952</v>
      </c>
      <c r="G111">
        <v>0</v>
      </c>
      <c r="H111">
        <v>28</v>
      </c>
      <c r="I111">
        <v>436654.08000000002</v>
      </c>
      <c r="J111" t="s">
        <v>46</v>
      </c>
      <c r="K111" t="s">
        <v>16</v>
      </c>
      <c r="L111">
        <f t="shared" si="3"/>
        <v>1182995</v>
      </c>
    </row>
    <row r="112" spans="1:12" x14ac:dyDescent="0.3">
      <c r="A112" t="s">
        <v>171</v>
      </c>
      <c r="B112" t="s">
        <v>18</v>
      </c>
      <c r="C112" t="s">
        <v>62</v>
      </c>
      <c r="D112" t="s">
        <v>92</v>
      </c>
      <c r="E112">
        <v>26</v>
      </c>
      <c r="F112">
        <v>40329</v>
      </c>
      <c r="G112">
        <v>5</v>
      </c>
      <c r="H112">
        <v>18</v>
      </c>
      <c r="I112">
        <v>1175429.03</v>
      </c>
      <c r="J112" t="s">
        <v>37</v>
      </c>
      <c r="K112" t="s">
        <v>26</v>
      </c>
      <c r="L112">
        <f t="shared" si="3"/>
        <v>678305</v>
      </c>
    </row>
    <row r="113" spans="1:12" x14ac:dyDescent="0.3">
      <c r="A113" t="s">
        <v>134</v>
      </c>
      <c r="B113" t="s">
        <v>18</v>
      </c>
      <c r="C113" t="s">
        <v>24</v>
      </c>
      <c r="D113" t="s">
        <v>25</v>
      </c>
      <c r="E113">
        <v>14</v>
      </c>
      <c r="F113">
        <v>11451</v>
      </c>
      <c r="G113">
        <v>5</v>
      </c>
      <c r="H113">
        <v>28</v>
      </c>
      <c r="I113">
        <v>194941.82</v>
      </c>
      <c r="J113" t="s">
        <v>21</v>
      </c>
      <c r="K113" t="s">
        <v>16</v>
      </c>
      <c r="L113">
        <f t="shared" si="3"/>
        <v>932689</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3"/>
  <sheetViews>
    <sheetView zoomScale="99" workbookViewId="0">
      <selection activeCell="N13" sqref="N13"/>
    </sheetView>
  </sheetViews>
  <sheetFormatPr defaultRowHeight="14.4" x14ac:dyDescent="0.3"/>
  <cols>
    <col min="14" max="14" width="15.5546875" bestFit="1" customWidth="1"/>
    <col min="15" max="15" width="20.88671875" bestFit="1" customWidth="1"/>
    <col min="18" max="18" width="12.6640625" customWidth="1"/>
    <col min="19" max="19" width="20.88671875" bestFit="1" customWidth="1"/>
  </cols>
  <sheetData>
    <row r="1" spans="1:19" x14ac:dyDescent="0.3">
      <c r="A1" t="s">
        <v>0</v>
      </c>
      <c r="B1" t="s">
        <v>1</v>
      </c>
      <c r="C1" t="s">
        <v>2</v>
      </c>
      <c r="D1" t="s">
        <v>3</v>
      </c>
      <c r="E1" t="s">
        <v>4</v>
      </c>
      <c r="F1" t="s">
        <v>5</v>
      </c>
      <c r="G1" t="s">
        <v>6</v>
      </c>
      <c r="H1" t="s">
        <v>7</v>
      </c>
      <c r="I1" t="s">
        <v>8</v>
      </c>
      <c r="J1" t="s">
        <v>9</v>
      </c>
      <c r="K1" t="s">
        <v>10</v>
      </c>
      <c r="L1" t="s">
        <v>251</v>
      </c>
    </row>
    <row r="2" spans="1:19" x14ac:dyDescent="0.3">
      <c r="A2" t="s">
        <v>169</v>
      </c>
      <c r="B2" t="s">
        <v>18</v>
      </c>
      <c r="C2" t="s">
        <v>62</v>
      </c>
      <c r="D2" t="s">
        <v>92</v>
      </c>
      <c r="E2">
        <v>36</v>
      </c>
      <c r="F2">
        <v>22121</v>
      </c>
      <c r="G2">
        <v>5</v>
      </c>
      <c r="H2">
        <v>18</v>
      </c>
      <c r="I2">
        <v>892715.08</v>
      </c>
      <c r="J2" t="s">
        <v>21</v>
      </c>
      <c r="K2" t="s">
        <v>16</v>
      </c>
      <c r="L2">
        <f t="shared" ref="L2:L65" si="0">SUMIF(C:C,C2,F:F)</f>
        <v>678305</v>
      </c>
    </row>
    <row r="3" spans="1:19" x14ac:dyDescent="0.3">
      <c r="A3" t="s">
        <v>226</v>
      </c>
      <c r="B3" t="s">
        <v>18</v>
      </c>
      <c r="C3" t="s">
        <v>19</v>
      </c>
      <c r="D3" t="s">
        <v>20</v>
      </c>
      <c r="E3">
        <v>8</v>
      </c>
      <c r="F3">
        <v>44459</v>
      </c>
      <c r="G3">
        <v>5</v>
      </c>
      <c r="H3">
        <v>28</v>
      </c>
      <c r="I3">
        <v>432497.15</v>
      </c>
      <c r="J3" t="s">
        <v>37</v>
      </c>
      <c r="K3" t="s">
        <v>33</v>
      </c>
      <c r="L3">
        <f t="shared" si="0"/>
        <v>175255</v>
      </c>
      <c r="N3" s="2" t="s">
        <v>234</v>
      </c>
      <c r="O3" s="19" t="s">
        <v>236</v>
      </c>
    </row>
    <row r="4" spans="1:19" x14ac:dyDescent="0.3">
      <c r="A4" t="s">
        <v>95</v>
      </c>
      <c r="B4" t="s">
        <v>18</v>
      </c>
      <c r="C4" t="s">
        <v>24</v>
      </c>
      <c r="D4" t="s">
        <v>25</v>
      </c>
      <c r="E4">
        <v>12</v>
      </c>
      <c r="F4">
        <v>62014</v>
      </c>
      <c r="G4">
        <v>0</v>
      </c>
      <c r="H4">
        <v>18</v>
      </c>
      <c r="I4">
        <v>878118.24</v>
      </c>
      <c r="J4" t="s">
        <v>46</v>
      </c>
      <c r="K4" t="s">
        <v>38</v>
      </c>
      <c r="L4">
        <f t="shared" si="0"/>
        <v>932689</v>
      </c>
      <c r="N4" s="3" t="s">
        <v>35</v>
      </c>
      <c r="O4" s="20">
        <v>29136088.879999995</v>
      </c>
    </row>
    <row r="5" spans="1:19" x14ac:dyDescent="0.3">
      <c r="A5" t="s">
        <v>208</v>
      </c>
      <c r="B5" t="s">
        <v>18</v>
      </c>
      <c r="C5" t="s">
        <v>24</v>
      </c>
      <c r="D5" t="s">
        <v>76</v>
      </c>
      <c r="E5">
        <v>26</v>
      </c>
      <c r="F5">
        <v>75052</v>
      </c>
      <c r="G5">
        <v>0</v>
      </c>
      <c r="H5">
        <v>18</v>
      </c>
      <c r="I5">
        <v>2302595.36</v>
      </c>
      <c r="J5" t="s">
        <v>21</v>
      </c>
      <c r="K5" t="s">
        <v>26</v>
      </c>
      <c r="L5">
        <f t="shared" si="0"/>
        <v>932689</v>
      </c>
      <c r="N5" s="3" t="s">
        <v>24</v>
      </c>
      <c r="O5" s="20">
        <v>18581651.629999992</v>
      </c>
      <c r="R5" s="2" t="s">
        <v>234</v>
      </c>
      <c r="S5" s="19" t="s">
        <v>236</v>
      </c>
    </row>
    <row r="6" spans="1:19" x14ac:dyDescent="0.3">
      <c r="A6" t="s">
        <v>129</v>
      </c>
      <c r="B6" t="s">
        <v>18</v>
      </c>
      <c r="C6" t="s">
        <v>19</v>
      </c>
      <c r="D6" t="s">
        <v>20</v>
      </c>
      <c r="E6">
        <v>5</v>
      </c>
      <c r="F6">
        <v>18968</v>
      </c>
      <c r="G6">
        <v>5</v>
      </c>
      <c r="H6">
        <v>12</v>
      </c>
      <c r="I6">
        <v>100909.75999999999</v>
      </c>
      <c r="J6" t="s">
        <v>21</v>
      </c>
      <c r="K6" t="s">
        <v>33</v>
      </c>
      <c r="L6">
        <f t="shared" si="0"/>
        <v>175255</v>
      </c>
      <c r="N6" s="3" t="s">
        <v>13</v>
      </c>
      <c r="O6" s="20">
        <v>17156306.91</v>
      </c>
      <c r="R6" s="3" t="s">
        <v>46</v>
      </c>
      <c r="S6" s="19">
        <v>32508341.009999998</v>
      </c>
    </row>
    <row r="7" spans="1:19" x14ac:dyDescent="0.3">
      <c r="A7" t="s">
        <v>120</v>
      </c>
      <c r="B7" t="s">
        <v>18</v>
      </c>
      <c r="C7" t="s">
        <v>44</v>
      </c>
      <c r="D7" t="s">
        <v>51</v>
      </c>
      <c r="E7">
        <v>29</v>
      </c>
      <c r="F7">
        <v>60870</v>
      </c>
      <c r="G7">
        <v>10</v>
      </c>
      <c r="H7">
        <v>12</v>
      </c>
      <c r="I7">
        <v>1779351.84</v>
      </c>
      <c r="J7" t="s">
        <v>15</v>
      </c>
      <c r="K7" t="s">
        <v>33</v>
      </c>
      <c r="L7">
        <f t="shared" si="0"/>
        <v>356491</v>
      </c>
      <c r="N7" s="3" t="s">
        <v>62</v>
      </c>
      <c r="O7" s="20">
        <v>14711733.520000003</v>
      </c>
      <c r="R7" s="3" t="s">
        <v>21</v>
      </c>
      <c r="S7" s="19">
        <v>26037079.219999999</v>
      </c>
    </row>
    <row r="8" spans="1:19" x14ac:dyDescent="0.3">
      <c r="A8" t="s">
        <v>22</v>
      </c>
      <c r="B8" t="s">
        <v>18</v>
      </c>
      <c r="C8" t="s">
        <v>13</v>
      </c>
      <c r="D8" t="s">
        <v>32</v>
      </c>
      <c r="E8">
        <v>7</v>
      </c>
      <c r="F8">
        <v>33377</v>
      </c>
      <c r="G8">
        <v>0</v>
      </c>
      <c r="H8">
        <v>18</v>
      </c>
      <c r="I8">
        <v>275694.02</v>
      </c>
      <c r="J8" t="s">
        <v>15</v>
      </c>
      <c r="K8" t="s">
        <v>16</v>
      </c>
      <c r="L8">
        <f t="shared" si="0"/>
        <v>667863</v>
      </c>
      <c r="N8" s="3" t="s">
        <v>48</v>
      </c>
      <c r="O8" s="20">
        <v>10575660.02</v>
      </c>
      <c r="R8" s="3" t="s">
        <v>15</v>
      </c>
      <c r="S8" s="19">
        <v>22766762.620000001</v>
      </c>
    </row>
    <row r="9" spans="1:19" x14ac:dyDescent="0.3">
      <c r="A9" t="s">
        <v>172</v>
      </c>
      <c r="B9" t="s">
        <v>18</v>
      </c>
      <c r="C9" t="s">
        <v>19</v>
      </c>
      <c r="D9" t="s">
        <v>20</v>
      </c>
      <c r="E9">
        <v>3</v>
      </c>
      <c r="F9">
        <v>58699</v>
      </c>
      <c r="G9">
        <v>12</v>
      </c>
      <c r="H9">
        <v>18</v>
      </c>
      <c r="I9">
        <v>182859.12</v>
      </c>
      <c r="J9" t="s">
        <v>15</v>
      </c>
      <c r="K9" t="s">
        <v>26</v>
      </c>
      <c r="L9">
        <f t="shared" si="0"/>
        <v>175255</v>
      </c>
      <c r="N9" s="3" t="s">
        <v>44</v>
      </c>
      <c r="O9" s="20">
        <v>7406122.3799999999</v>
      </c>
      <c r="R9" s="3" t="s">
        <v>37</v>
      </c>
      <c r="S9" s="19">
        <v>21981531.910000004</v>
      </c>
    </row>
    <row r="10" spans="1:19" x14ac:dyDescent="0.3">
      <c r="A10" t="s">
        <v>145</v>
      </c>
      <c r="B10" t="s">
        <v>18</v>
      </c>
      <c r="C10" t="s">
        <v>62</v>
      </c>
      <c r="D10" t="s">
        <v>92</v>
      </c>
      <c r="E10">
        <v>26</v>
      </c>
      <c r="F10">
        <v>44852</v>
      </c>
      <c r="G10">
        <v>5</v>
      </c>
      <c r="H10">
        <v>12</v>
      </c>
      <c r="I10">
        <v>1240785.73</v>
      </c>
      <c r="J10" t="s">
        <v>21</v>
      </c>
      <c r="K10" t="s">
        <v>16</v>
      </c>
      <c r="L10">
        <f t="shared" si="0"/>
        <v>678305</v>
      </c>
      <c r="N10" s="3" t="s">
        <v>29</v>
      </c>
      <c r="O10" s="20">
        <v>4194886.53</v>
      </c>
      <c r="R10" s="3" t="s">
        <v>235</v>
      </c>
      <c r="S10" s="19">
        <v>103293714.76000001</v>
      </c>
    </row>
    <row r="11" spans="1:19" x14ac:dyDescent="0.3">
      <c r="A11" t="s">
        <v>144</v>
      </c>
      <c r="B11" t="s">
        <v>18</v>
      </c>
      <c r="C11" t="s">
        <v>48</v>
      </c>
      <c r="D11" t="s">
        <v>49</v>
      </c>
      <c r="E11">
        <v>28</v>
      </c>
      <c r="F11">
        <v>51788</v>
      </c>
      <c r="G11">
        <v>5</v>
      </c>
      <c r="H11">
        <v>12</v>
      </c>
      <c r="I11">
        <v>1542868.1</v>
      </c>
      <c r="J11" t="s">
        <v>46</v>
      </c>
      <c r="K11" t="s">
        <v>26</v>
      </c>
      <c r="L11">
        <f t="shared" si="0"/>
        <v>435185</v>
      </c>
      <c r="N11" s="3" t="s">
        <v>19</v>
      </c>
      <c r="O11" s="20">
        <v>1531264.8900000001</v>
      </c>
    </row>
    <row r="12" spans="1:19" x14ac:dyDescent="0.3">
      <c r="A12" t="s">
        <v>61</v>
      </c>
      <c r="B12" t="s">
        <v>18</v>
      </c>
      <c r="C12" t="s">
        <v>29</v>
      </c>
      <c r="D12" t="s">
        <v>30</v>
      </c>
      <c r="E12">
        <v>17</v>
      </c>
      <c r="F12">
        <v>7715</v>
      </c>
      <c r="G12">
        <v>5</v>
      </c>
      <c r="H12">
        <v>18</v>
      </c>
      <c r="I12">
        <v>147024.76</v>
      </c>
      <c r="J12" t="s">
        <v>37</v>
      </c>
      <c r="K12" t="s">
        <v>16</v>
      </c>
      <c r="L12">
        <f t="shared" si="0"/>
        <v>252741</v>
      </c>
      <c r="N12" s="3" t="s">
        <v>235</v>
      </c>
      <c r="O12" s="19">
        <v>103293714.75999999</v>
      </c>
    </row>
    <row r="13" spans="1:19" x14ac:dyDescent="0.3">
      <c r="A13" t="s">
        <v>65</v>
      </c>
      <c r="B13" t="s">
        <v>18</v>
      </c>
      <c r="C13" t="s">
        <v>13</v>
      </c>
      <c r="D13" t="s">
        <v>32</v>
      </c>
      <c r="E13">
        <v>26</v>
      </c>
      <c r="F13">
        <v>56644</v>
      </c>
      <c r="G13">
        <v>10</v>
      </c>
      <c r="H13">
        <v>28</v>
      </c>
      <c r="I13">
        <v>1696601.09</v>
      </c>
      <c r="J13" t="s">
        <v>15</v>
      </c>
      <c r="K13" t="s">
        <v>33</v>
      </c>
      <c r="L13">
        <f t="shared" si="0"/>
        <v>667863</v>
      </c>
    </row>
    <row r="14" spans="1:19" x14ac:dyDescent="0.3">
      <c r="A14" t="s">
        <v>212</v>
      </c>
      <c r="B14" t="s">
        <v>18</v>
      </c>
      <c r="C14" t="s">
        <v>35</v>
      </c>
      <c r="D14" t="s">
        <v>77</v>
      </c>
      <c r="E14">
        <v>4</v>
      </c>
      <c r="F14">
        <v>58413</v>
      </c>
      <c r="G14">
        <v>0</v>
      </c>
      <c r="H14">
        <v>12</v>
      </c>
      <c r="I14">
        <v>261690.23999999999</v>
      </c>
      <c r="J14" t="s">
        <v>15</v>
      </c>
      <c r="K14" t="s">
        <v>16</v>
      </c>
      <c r="L14">
        <f t="shared" si="0"/>
        <v>1182995</v>
      </c>
    </row>
    <row r="15" spans="1:19" x14ac:dyDescent="0.3">
      <c r="A15" t="s">
        <v>139</v>
      </c>
      <c r="B15" t="s">
        <v>18</v>
      </c>
      <c r="C15" t="s">
        <v>13</v>
      </c>
      <c r="D15" t="s">
        <v>32</v>
      </c>
      <c r="E15">
        <v>2</v>
      </c>
      <c r="F15">
        <v>66487</v>
      </c>
      <c r="G15">
        <v>0</v>
      </c>
      <c r="H15">
        <v>18</v>
      </c>
      <c r="I15">
        <v>156909.32</v>
      </c>
      <c r="J15" t="s">
        <v>21</v>
      </c>
      <c r="K15" t="s">
        <v>26</v>
      </c>
      <c r="L15">
        <f t="shared" si="0"/>
        <v>667863</v>
      </c>
    </row>
    <row r="16" spans="1:19" x14ac:dyDescent="0.3">
      <c r="A16" t="s">
        <v>174</v>
      </c>
      <c r="B16" t="s">
        <v>18</v>
      </c>
      <c r="C16" t="s">
        <v>13</v>
      </c>
      <c r="D16" t="s">
        <v>14</v>
      </c>
      <c r="E16">
        <v>8</v>
      </c>
      <c r="F16">
        <v>39860</v>
      </c>
      <c r="G16">
        <v>12</v>
      </c>
      <c r="H16">
        <v>18</v>
      </c>
      <c r="I16">
        <v>331124.99</v>
      </c>
      <c r="J16" t="s">
        <v>46</v>
      </c>
      <c r="K16" t="s">
        <v>26</v>
      </c>
      <c r="L16">
        <f t="shared" si="0"/>
        <v>667863</v>
      </c>
    </row>
    <row r="17" spans="1:12" x14ac:dyDescent="0.3">
      <c r="A17" t="s">
        <v>112</v>
      </c>
      <c r="B17" t="s">
        <v>18</v>
      </c>
      <c r="C17" t="s">
        <v>24</v>
      </c>
      <c r="D17" t="s">
        <v>25</v>
      </c>
      <c r="E17">
        <v>6</v>
      </c>
      <c r="F17">
        <v>26235</v>
      </c>
      <c r="G17">
        <v>0</v>
      </c>
      <c r="H17">
        <v>28</v>
      </c>
      <c r="I17">
        <v>201484.79999999999</v>
      </c>
      <c r="J17" t="s">
        <v>46</v>
      </c>
      <c r="K17" t="s">
        <v>26</v>
      </c>
      <c r="L17">
        <f t="shared" si="0"/>
        <v>932689</v>
      </c>
    </row>
    <row r="18" spans="1:12" x14ac:dyDescent="0.3">
      <c r="A18" t="s">
        <v>131</v>
      </c>
      <c r="B18" t="s">
        <v>18</v>
      </c>
      <c r="C18" t="s">
        <v>62</v>
      </c>
      <c r="D18" t="s">
        <v>63</v>
      </c>
      <c r="E18">
        <v>8</v>
      </c>
      <c r="F18">
        <v>50853</v>
      </c>
      <c r="G18">
        <v>12</v>
      </c>
      <c r="H18">
        <v>12</v>
      </c>
      <c r="I18">
        <v>400965.73</v>
      </c>
      <c r="J18" t="s">
        <v>21</v>
      </c>
      <c r="K18" t="s">
        <v>16</v>
      </c>
      <c r="L18">
        <f t="shared" si="0"/>
        <v>678305</v>
      </c>
    </row>
    <row r="19" spans="1:12" x14ac:dyDescent="0.3">
      <c r="A19" t="s">
        <v>226</v>
      </c>
      <c r="B19" t="s">
        <v>18</v>
      </c>
      <c r="C19" t="s">
        <v>35</v>
      </c>
      <c r="D19" t="s">
        <v>36</v>
      </c>
      <c r="E19">
        <v>16</v>
      </c>
      <c r="F19">
        <v>29760</v>
      </c>
      <c r="G19">
        <v>10</v>
      </c>
      <c r="H19">
        <v>12</v>
      </c>
      <c r="I19">
        <v>479969.28000000003</v>
      </c>
      <c r="J19" t="s">
        <v>37</v>
      </c>
      <c r="K19" t="s">
        <v>16</v>
      </c>
      <c r="L19">
        <f t="shared" si="0"/>
        <v>1182995</v>
      </c>
    </row>
    <row r="20" spans="1:12" x14ac:dyDescent="0.3">
      <c r="A20" t="s">
        <v>154</v>
      </c>
      <c r="B20" t="s">
        <v>18</v>
      </c>
      <c r="C20" t="s">
        <v>62</v>
      </c>
      <c r="D20" t="s">
        <v>92</v>
      </c>
      <c r="E20">
        <v>3</v>
      </c>
      <c r="F20">
        <v>25850</v>
      </c>
      <c r="G20">
        <v>12</v>
      </c>
      <c r="H20">
        <v>18</v>
      </c>
      <c r="I20">
        <v>80527.92</v>
      </c>
      <c r="J20" t="s">
        <v>15</v>
      </c>
      <c r="K20" t="s">
        <v>33</v>
      </c>
      <c r="L20">
        <f t="shared" si="0"/>
        <v>678305</v>
      </c>
    </row>
    <row r="21" spans="1:12" x14ac:dyDescent="0.3">
      <c r="A21" t="s">
        <v>60</v>
      </c>
      <c r="B21" t="s">
        <v>18</v>
      </c>
      <c r="C21" t="s">
        <v>13</v>
      </c>
      <c r="D21" t="s">
        <v>14</v>
      </c>
      <c r="E21">
        <v>35</v>
      </c>
      <c r="F21">
        <v>24674</v>
      </c>
      <c r="G21">
        <v>12</v>
      </c>
      <c r="H21">
        <v>28</v>
      </c>
      <c r="I21">
        <v>972747.78</v>
      </c>
      <c r="J21" t="s">
        <v>37</v>
      </c>
      <c r="K21" t="s">
        <v>16</v>
      </c>
      <c r="L21">
        <f t="shared" si="0"/>
        <v>667863</v>
      </c>
    </row>
    <row r="22" spans="1:12" x14ac:dyDescent="0.3">
      <c r="A22" t="s">
        <v>74</v>
      </c>
      <c r="B22" t="s">
        <v>18</v>
      </c>
      <c r="C22" t="s">
        <v>62</v>
      </c>
      <c r="D22" t="s">
        <v>92</v>
      </c>
      <c r="E22">
        <v>4</v>
      </c>
      <c r="F22">
        <v>47511</v>
      </c>
      <c r="G22">
        <v>5</v>
      </c>
      <c r="H22">
        <v>28</v>
      </c>
      <c r="I22">
        <v>231093.5</v>
      </c>
      <c r="J22" t="s">
        <v>15</v>
      </c>
      <c r="K22" t="s">
        <v>16</v>
      </c>
      <c r="L22">
        <f t="shared" si="0"/>
        <v>678305</v>
      </c>
    </row>
    <row r="23" spans="1:12" x14ac:dyDescent="0.3">
      <c r="A23" t="s">
        <v>66</v>
      </c>
      <c r="B23" t="s">
        <v>18</v>
      </c>
      <c r="C23" t="s">
        <v>24</v>
      </c>
      <c r="D23" t="s">
        <v>76</v>
      </c>
      <c r="E23">
        <v>17</v>
      </c>
      <c r="F23">
        <v>44884</v>
      </c>
      <c r="G23">
        <v>10</v>
      </c>
      <c r="H23">
        <v>12</v>
      </c>
      <c r="I23">
        <v>769132.22</v>
      </c>
      <c r="J23" t="s">
        <v>21</v>
      </c>
      <c r="K23" t="s">
        <v>16</v>
      </c>
      <c r="L23">
        <f t="shared" si="0"/>
        <v>932689</v>
      </c>
    </row>
    <row r="24" spans="1:12" x14ac:dyDescent="0.3">
      <c r="A24" t="s">
        <v>222</v>
      </c>
      <c r="B24" t="s">
        <v>18</v>
      </c>
      <c r="C24" t="s">
        <v>13</v>
      </c>
      <c r="D24" t="s">
        <v>14</v>
      </c>
      <c r="E24">
        <v>17</v>
      </c>
      <c r="F24">
        <v>40533</v>
      </c>
      <c r="G24">
        <v>5</v>
      </c>
      <c r="H24">
        <v>12</v>
      </c>
      <c r="I24">
        <v>733160.9</v>
      </c>
      <c r="J24" t="s">
        <v>21</v>
      </c>
      <c r="K24" t="s">
        <v>38</v>
      </c>
      <c r="L24">
        <f t="shared" si="0"/>
        <v>667863</v>
      </c>
    </row>
    <row r="25" spans="1:12" x14ac:dyDescent="0.3">
      <c r="A25" t="s">
        <v>166</v>
      </c>
      <c r="B25" t="s">
        <v>18</v>
      </c>
      <c r="C25" t="s">
        <v>13</v>
      </c>
      <c r="D25" t="s">
        <v>14</v>
      </c>
      <c r="E25">
        <v>3</v>
      </c>
      <c r="F25">
        <v>2148</v>
      </c>
      <c r="G25">
        <v>0</v>
      </c>
      <c r="H25">
        <v>28</v>
      </c>
      <c r="I25">
        <v>8248.32</v>
      </c>
      <c r="J25" t="s">
        <v>15</v>
      </c>
      <c r="K25" t="s">
        <v>26</v>
      </c>
      <c r="L25">
        <f t="shared" si="0"/>
        <v>667863</v>
      </c>
    </row>
    <row r="26" spans="1:12" x14ac:dyDescent="0.3">
      <c r="A26" t="s">
        <v>228</v>
      </c>
      <c r="B26" t="s">
        <v>18</v>
      </c>
      <c r="C26" t="s">
        <v>35</v>
      </c>
      <c r="D26" t="s">
        <v>36</v>
      </c>
      <c r="E26">
        <v>27</v>
      </c>
      <c r="F26">
        <v>75982</v>
      </c>
      <c r="G26">
        <v>0</v>
      </c>
      <c r="H26">
        <v>18</v>
      </c>
      <c r="I26">
        <v>2420786.52</v>
      </c>
      <c r="J26" t="s">
        <v>21</v>
      </c>
      <c r="K26" t="s">
        <v>38</v>
      </c>
      <c r="L26">
        <f t="shared" si="0"/>
        <v>1182995</v>
      </c>
    </row>
    <row r="27" spans="1:12" x14ac:dyDescent="0.3">
      <c r="A27" t="s">
        <v>122</v>
      </c>
      <c r="B27" t="s">
        <v>18</v>
      </c>
      <c r="C27" t="s">
        <v>62</v>
      </c>
      <c r="D27" t="s">
        <v>92</v>
      </c>
      <c r="E27">
        <v>6</v>
      </c>
      <c r="F27">
        <v>39218</v>
      </c>
      <c r="G27">
        <v>12</v>
      </c>
      <c r="H27">
        <v>12</v>
      </c>
      <c r="I27">
        <v>231919.56</v>
      </c>
      <c r="J27" t="s">
        <v>46</v>
      </c>
      <c r="K27" t="s">
        <v>33</v>
      </c>
      <c r="L27">
        <f t="shared" si="0"/>
        <v>678305</v>
      </c>
    </row>
    <row r="28" spans="1:12" x14ac:dyDescent="0.3">
      <c r="A28" t="s">
        <v>209</v>
      </c>
      <c r="B28" t="s">
        <v>18</v>
      </c>
      <c r="C28" t="s">
        <v>13</v>
      </c>
      <c r="D28" t="s">
        <v>14</v>
      </c>
      <c r="E28">
        <v>33</v>
      </c>
      <c r="F28">
        <v>53887</v>
      </c>
      <c r="G28">
        <v>0</v>
      </c>
      <c r="H28">
        <v>28</v>
      </c>
      <c r="I28">
        <v>2276186.88</v>
      </c>
      <c r="J28" t="s">
        <v>37</v>
      </c>
      <c r="K28" t="s">
        <v>26</v>
      </c>
      <c r="L28">
        <f t="shared" si="0"/>
        <v>667863</v>
      </c>
    </row>
    <row r="29" spans="1:12" x14ac:dyDescent="0.3">
      <c r="A29" t="s">
        <v>31</v>
      </c>
      <c r="B29" t="s">
        <v>18</v>
      </c>
      <c r="C29" t="s">
        <v>44</v>
      </c>
      <c r="D29" t="s">
        <v>51</v>
      </c>
      <c r="E29">
        <v>19</v>
      </c>
      <c r="F29">
        <v>42643</v>
      </c>
      <c r="G29">
        <v>12</v>
      </c>
      <c r="H29">
        <v>28</v>
      </c>
      <c r="I29">
        <v>912628.43</v>
      </c>
      <c r="J29" t="s">
        <v>21</v>
      </c>
      <c r="K29" t="s">
        <v>16</v>
      </c>
      <c r="L29">
        <f t="shared" si="0"/>
        <v>356491</v>
      </c>
    </row>
    <row r="30" spans="1:12" x14ac:dyDescent="0.3">
      <c r="A30" t="s">
        <v>156</v>
      </c>
      <c r="B30" t="s">
        <v>18</v>
      </c>
      <c r="C30" t="s">
        <v>13</v>
      </c>
      <c r="D30" t="s">
        <v>32</v>
      </c>
      <c r="E30">
        <v>28</v>
      </c>
      <c r="F30">
        <v>3894</v>
      </c>
      <c r="G30">
        <v>5</v>
      </c>
      <c r="H30">
        <v>18</v>
      </c>
      <c r="I30">
        <v>122224.87</v>
      </c>
      <c r="J30" t="s">
        <v>15</v>
      </c>
      <c r="K30" t="s">
        <v>33</v>
      </c>
      <c r="L30">
        <f t="shared" si="0"/>
        <v>667863</v>
      </c>
    </row>
    <row r="31" spans="1:12" x14ac:dyDescent="0.3">
      <c r="A31" t="s">
        <v>154</v>
      </c>
      <c r="B31" t="s">
        <v>18</v>
      </c>
      <c r="C31" t="s">
        <v>48</v>
      </c>
      <c r="D31" t="s">
        <v>49</v>
      </c>
      <c r="E31">
        <v>6</v>
      </c>
      <c r="F31">
        <v>33109</v>
      </c>
      <c r="G31">
        <v>12</v>
      </c>
      <c r="H31">
        <v>18</v>
      </c>
      <c r="I31">
        <v>206282.31</v>
      </c>
      <c r="J31" t="s">
        <v>21</v>
      </c>
      <c r="K31" t="s">
        <v>26</v>
      </c>
      <c r="L31">
        <f t="shared" si="0"/>
        <v>435185</v>
      </c>
    </row>
    <row r="32" spans="1:12" x14ac:dyDescent="0.3">
      <c r="A32" t="s">
        <v>203</v>
      </c>
      <c r="B32" t="s">
        <v>18</v>
      </c>
      <c r="C32" t="s">
        <v>24</v>
      </c>
      <c r="D32" t="s">
        <v>40</v>
      </c>
      <c r="E32">
        <v>36</v>
      </c>
      <c r="F32">
        <v>21589</v>
      </c>
      <c r="G32">
        <v>5</v>
      </c>
      <c r="H32">
        <v>28</v>
      </c>
      <c r="I32">
        <v>945080.06</v>
      </c>
      <c r="J32" t="s">
        <v>46</v>
      </c>
      <c r="K32" t="s">
        <v>26</v>
      </c>
      <c r="L32">
        <f t="shared" si="0"/>
        <v>932689</v>
      </c>
    </row>
    <row r="33" spans="1:12" x14ac:dyDescent="0.3">
      <c r="A33" t="s">
        <v>89</v>
      </c>
      <c r="B33" t="s">
        <v>18</v>
      </c>
      <c r="C33" t="s">
        <v>29</v>
      </c>
      <c r="D33" t="s">
        <v>30</v>
      </c>
      <c r="E33">
        <v>10</v>
      </c>
      <c r="F33">
        <v>82569</v>
      </c>
      <c r="G33">
        <v>10</v>
      </c>
      <c r="H33">
        <v>28</v>
      </c>
      <c r="I33">
        <v>951194.88</v>
      </c>
      <c r="J33" t="s">
        <v>21</v>
      </c>
      <c r="K33" t="s">
        <v>33</v>
      </c>
      <c r="L33">
        <f t="shared" si="0"/>
        <v>252741</v>
      </c>
    </row>
    <row r="34" spans="1:12" x14ac:dyDescent="0.3">
      <c r="A34" t="s">
        <v>27</v>
      </c>
      <c r="B34" t="s">
        <v>18</v>
      </c>
      <c r="C34" t="s">
        <v>62</v>
      </c>
      <c r="D34" t="s">
        <v>92</v>
      </c>
      <c r="E34">
        <v>31</v>
      </c>
      <c r="F34">
        <v>49343</v>
      </c>
      <c r="G34">
        <v>5</v>
      </c>
      <c r="H34">
        <v>28</v>
      </c>
      <c r="I34">
        <v>1860033.73</v>
      </c>
      <c r="J34" t="s">
        <v>46</v>
      </c>
      <c r="K34" t="s">
        <v>26</v>
      </c>
      <c r="L34">
        <f t="shared" si="0"/>
        <v>678305</v>
      </c>
    </row>
    <row r="35" spans="1:12" x14ac:dyDescent="0.3">
      <c r="A35" t="s">
        <v>152</v>
      </c>
      <c r="B35" t="s">
        <v>18</v>
      </c>
      <c r="C35" t="s">
        <v>35</v>
      </c>
      <c r="D35" t="s">
        <v>56</v>
      </c>
      <c r="E35">
        <v>20</v>
      </c>
      <c r="F35">
        <v>30037</v>
      </c>
      <c r="G35">
        <v>0</v>
      </c>
      <c r="H35">
        <v>12</v>
      </c>
      <c r="I35">
        <v>672828.8</v>
      </c>
      <c r="J35" t="s">
        <v>15</v>
      </c>
      <c r="K35" t="s">
        <v>33</v>
      </c>
      <c r="L35">
        <f t="shared" si="0"/>
        <v>1182995</v>
      </c>
    </row>
    <row r="36" spans="1:12" x14ac:dyDescent="0.3">
      <c r="A36" t="s">
        <v>124</v>
      </c>
      <c r="B36" t="s">
        <v>18</v>
      </c>
      <c r="C36" t="s">
        <v>35</v>
      </c>
      <c r="D36" t="s">
        <v>77</v>
      </c>
      <c r="E36">
        <v>25</v>
      </c>
      <c r="F36">
        <v>46032</v>
      </c>
      <c r="G36">
        <v>10</v>
      </c>
      <c r="H36">
        <v>28</v>
      </c>
      <c r="I36">
        <v>1325721.6000000001</v>
      </c>
      <c r="J36" t="s">
        <v>37</v>
      </c>
      <c r="K36" t="s">
        <v>38</v>
      </c>
      <c r="L36">
        <f t="shared" si="0"/>
        <v>1182995</v>
      </c>
    </row>
    <row r="37" spans="1:12" x14ac:dyDescent="0.3">
      <c r="A37" t="s">
        <v>119</v>
      </c>
      <c r="B37" t="s">
        <v>18</v>
      </c>
      <c r="C37" t="s">
        <v>44</v>
      </c>
      <c r="D37" t="s">
        <v>51</v>
      </c>
      <c r="E37">
        <v>7</v>
      </c>
      <c r="F37">
        <v>51765</v>
      </c>
      <c r="G37">
        <v>12</v>
      </c>
      <c r="H37">
        <v>12</v>
      </c>
      <c r="I37">
        <v>357137.09</v>
      </c>
      <c r="J37" t="s">
        <v>15</v>
      </c>
      <c r="K37" t="s">
        <v>38</v>
      </c>
      <c r="L37">
        <f t="shared" si="0"/>
        <v>356491</v>
      </c>
    </row>
    <row r="38" spans="1:12" x14ac:dyDescent="0.3">
      <c r="A38" t="s">
        <v>126</v>
      </c>
      <c r="B38" t="s">
        <v>18</v>
      </c>
      <c r="C38" t="s">
        <v>44</v>
      </c>
      <c r="D38" t="s">
        <v>45</v>
      </c>
      <c r="E38">
        <v>6</v>
      </c>
      <c r="F38">
        <v>69675</v>
      </c>
      <c r="G38">
        <v>5</v>
      </c>
      <c r="H38">
        <v>12</v>
      </c>
      <c r="I38">
        <v>444805.2</v>
      </c>
      <c r="J38" t="s">
        <v>37</v>
      </c>
      <c r="K38" t="s">
        <v>38</v>
      </c>
      <c r="L38">
        <f t="shared" si="0"/>
        <v>356491</v>
      </c>
    </row>
    <row r="39" spans="1:12" x14ac:dyDescent="0.3">
      <c r="A39" t="s">
        <v>87</v>
      </c>
      <c r="B39" t="s">
        <v>18</v>
      </c>
      <c r="C39" t="s">
        <v>24</v>
      </c>
      <c r="D39" t="s">
        <v>40</v>
      </c>
      <c r="E39">
        <v>22</v>
      </c>
      <c r="F39">
        <v>12249</v>
      </c>
      <c r="G39">
        <v>10</v>
      </c>
      <c r="H39">
        <v>12</v>
      </c>
      <c r="I39">
        <v>271633.82</v>
      </c>
      <c r="J39" t="s">
        <v>21</v>
      </c>
      <c r="K39" t="s">
        <v>38</v>
      </c>
      <c r="L39">
        <f t="shared" si="0"/>
        <v>932689</v>
      </c>
    </row>
    <row r="40" spans="1:12" x14ac:dyDescent="0.3">
      <c r="A40" t="s">
        <v>160</v>
      </c>
      <c r="B40" t="s">
        <v>18</v>
      </c>
      <c r="C40" t="s">
        <v>24</v>
      </c>
      <c r="D40" t="s">
        <v>25</v>
      </c>
      <c r="E40">
        <v>18</v>
      </c>
      <c r="F40">
        <v>56290</v>
      </c>
      <c r="G40">
        <v>12</v>
      </c>
      <c r="H40">
        <v>28</v>
      </c>
      <c r="I40">
        <v>1141291.01</v>
      </c>
      <c r="J40" t="s">
        <v>46</v>
      </c>
      <c r="K40" t="s">
        <v>16</v>
      </c>
      <c r="L40">
        <f t="shared" si="0"/>
        <v>932689</v>
      </c>
    </row>
    <row r="41" spans="1:12" x14ac:dyDescent="0.3">
      <c r="A41" t="s">
        <v>130</v>
      </c>
      <c r="B41" t="s">
        <v>18</v>
      </c>
      <c r="C41" t="s">
        <v>24</v>
      </c>
      <c r="D41" t="s">
        <v>76</v>
      </c>
      <c r="E41">
        <v>11</v>
      </c>
      <c r="F41">
        <v>42950</v>
      </c>
      <c r="G41">
        <v>12</v>
      </c>
      <c r="H41">
        <v>28</v>
      </c>
      <c r="I41">
        <v>532167.68000000005</v>
      </c>
      <c r="J41" t="s">
        <v>37</v>
      </c>
      <c r="K41" t="s">
        <v>16</v>
      </c>
      <c r="L41">
        <f t="shared" si="0"/>
        <v>932689</v>
      </c>
    </row>
    <row r="42" spans="1:12" x14ac:dyDescent="0.3">
      <c r="A42" t="s">
        <v>97</v>
      </c>
      <c r="B42" t="s">
        <v>18</v>
      </c>
      <c r="C42" t="s">
        <v>48</v>
      </c>
      <c r="D42" t="s">
        <v>49</v>
      </c>
      <c r="E42">
        <v>6</v>
      </c>
      <c r="F42">
        <v>69435</v>
      </c>
      <c r="G42">
        <v>5</v>
      </c>
      <c r="H42">
        <v>18</v>
      </c>
      <c r="I42">
        <v>467019.81</v>
      </c>
      <c r="J42" t="s">
        <v>21</v>
      </c>
      <c r="K42" t="s">
        <v>16</v>
      </c>
      <c r="L42">
        <f t="shared" si="0"/>
        <v>435185</v>
      </c>
    </row>
    <row r="43" spans="1:12" x14ac:dyDescent="0.3">
      <c r="A43" t="s">
        <v>104</v>
      </c>
      <c r="B43" t="s">
        <v>18</v>
      </c>
      <c r="C43" t="s">
        <v>24</v>
      </c>
      <c r="D43" t="s">
        <v>76</v>
      </c>
      <c r="E43">
        <v>23</v>
      </c>
      <c r="F43">
        <v>51663</v>
      </c>
      <c r="G43">
        <v>10</v>
      </c>
      <c r="H43">
        <v>18</v>
      </c>
      <c r="I43">
        <v>1261920.44</v>
      </c>
      <c r="J43" t="s">
        <v>37</v>
      </c>
      <c r="K43" t="s">
        <v>33</v>
      </c>
      <c r="L43">
        <f t="shared" si="0"/>
        <v>932689</v>
      </c>
    </row>
    <row r="44" spans="1:12" x14ac:dyDescent="0.3">
      <c r="A44" t="s">
        <v>153</v>
      </c>
      <c r="B44" t="s">
        <v>18</v>
      </c>
      <c r="C44" t="s">
        <v>35</v>
      </c>
      <c r="D44" t="s">
        <v>56</v>
      </c>
      <c r="E44">
        <v>11</v>
      </c>
      <c r="F44">
        <v>36348</v>
      </c>
      <c r="G44">
        <v>5</v>
      </c>
      <c r="H44">
        <v>18</v>
      </c>
      <c r="I44">
        <v>448207.19</v>
      </c>
      <c r="J44" t="s">
        <v>46</v>
      </c>
      <c r="K44" t="s">
        <v>38</v>
      </c>
      <c r="L44">
        <f t="shared" si="0"/>
        <v>1182995</v>
      </c>
    </row>
    <row r="45" spans="1:12" x14ac:dyDescent="0.3">
      <c r="A45" t="s">
        <v>79</v>
      </c>
      <c r="B45" t="s">
        <v>18</v>
      </c>
      <c r="C45" t="s">
        <v>62</v>
      </c>
      <c r="D45" t="s">
        <v>92</v>
      </c>
      <c r="E45">
        <v>27</v>
      </c>
      <c r="F45">
        <v>61710</v>
      </c>
      <c r="G45">
        <v>5</v>
      </c>
      <c r="H45">
        <v>18</v>
      </c>
      <c r="I45">
        <v>1867776.57</v>
      </c>
      <c r="J45" t="s">
        <v>15</v>
      </c>
      <c r="K45" t="s">
        <v>38</v>
      </c>
      <c r="L45">
        <f t="shared" si="0"/>
        <v>678305</v>
      </c>
    </row>
    <row r="46" spans="1:12" x14ac:dyDescent="0.3">
      <c r="A46" t="s">
        <v>178</v>
      </c>
      <c r="B46" t="s">
        <v>18</v>
      </c>
      <c r="C46" t="s">
        <v>24</v>
      </c>
      <c r="D46" t="s">
        <v>40</v>
      </c>
      <c r="E46">
        <v>25</v>
      </c>
      <c r="F46">
        <v>4341</v>
      </c>
      <c r="G46">
        <v>12</v>
      </c>
      <c r="H46">
        <v>18</v>
      </c>
      <c r="I46">
        <v>112692.36</v>
      </c>
      <c r="J46" t="s">
        <v>21</v>
      </c>
      <c r="K46" t="s">
        <v>33</v>
      </c>
      <c r="L46">
        <f t="shared" si="0"/>
        <v>932689</v>
      </c>
    </row>
    <row r="47" spans="1:12" x14ac:dyDescent="0.3">
      <c r="A47" t="s">
        <v>67</v>
      </c>
      <c r="B47" t="s">
        <v>18</v>
      </c>
      <c r="C47" t="s">
        <v>44</v>
      </c>
      <c r="D47" t="s">
        <v>51</v>
      </c>
      <c r="E47">
        <v>9</v>
      </c>
      <c r="F47">
        <v>7767</v>
      </c>
      <c r="G47">
        <v>5</v>
      </c>
      <c r="H47">
        <v>18</v>
      </c>
      <c r="I47">
        <v>78361.259999999995</v>
      </c>
      <c r="J47" t="s">
        <v>46</v>
      </c>
      <c r="K47" t="s">
        <v>16</v>
      </c>
      <c r="L47">
        <f t="shared" si="0"/>
        <v>356491</v>
      </c>
    </row>
    <row r="48" spans="1:12" x14ac:dyDescent="0.3">
      <c r="A48" t="s">
        <v>147</v>
      </c>
      <c r="B48" t="s">
        <v>18</v>
      </c>
      <c r="C48" t="s">
        <v>35</v>
      </c>
      <c r="D48" t="s">
        <v>36</v>
      </c>
      <c r="E48">
        <v>29</v>
      </c>
      <c r="F48">
        <v>78268</v>
      </c>
      <c r="G48">
        <v>10</v>
      </c>
      <c r="H48">
        <v>18</v>
      </c>
      <c r="I48">
        <v>2410497.86</v>
      </c>
      <c r="J48" t="s">
        <v>37</v>
      </c>
      <c r="K48" t="s">
        <v>26</v>
      </c>
      <c r="L48">
        <f t="shared" si="0"/>
        <v>1182995</v>
      </c>
    </row>
    <row r="49" spans="1:12" x14ac:dyDescent="0.3">
      <c r="A49" t="s">
        <v>196</v>
      </c>
      <c r="B49" t="s">
        <v>18</v>
      </c>
      <c r="C49" t="s">
        <v>13</v>
      </c>
      <c r="D49" t="s">
        <v>14</v>
      </c>
      <c r="E49">
        <v>28</v>
      </c>
      <c r="F49">
        <v>77454</v>
      </c>
      <c r="G49">
        <v>0</v>
      </c>
      <c r="H49">
        <v>28</v>
      </c>
      <c r="I49">
        <v>2775951.3599999999</v>
      </c>
      <c r="J49" t="s">
        <v>37</v>
      </c>
      <c r="K49" t="s">
        <v>16</v>
      </c>
      <c r="L49">
        <f t="shared" si="0"/>
        <v>667863</v>
      </c>
    </row>
    <row r="50" spans="1:12" x14ac:dyDescent="0.3">
      <c r="A50" t="s">
        <v>71</v>
      </c>
      <c r="B50" t="s">
        <v>18</v>
      </c>
      <c r="C50" t="s">
        <v>35</v>
      </c>
      <c r="D50" t="s">
        <v>36</v>
      </c>
      <c r="E50">
        <v>18</v>
      </c>
      <c r="F50">
        <v>62309</v>
      </c>
      <c r="G50">
        <v>0</v>
      </c>
      <c r="H50">
        <v>28</v>
      </c>
      <c r="I50">
        <v>1435599.36</v>
      </c>
      <c r="J50" t="s">
        <v>15</v>
      </c>
      <c r="K50" t="s">
        <v>38</v>
      </c>
      <c r="L50">
        <f t="shared" si="0"/>
        <v>1182995</v>
      </c>
    </row>
    <row r="51" spans="1:12" x14ac:dyDescent="0.3">
      <c r="A51" t="s">
        <v>191</v>
      </c>
      <c r="B51" t="s">
        <v>18</v>
      </c>
      <c r="C51" t="s">
        <v>48</v>
      </c>
      <c r="D51" t="s">
        <v>59</v>
      </c>
      <c r="E51">
        <v>30</v>
      </c>
      <c r="F51">
        <v>55633</v>
      </c>
      <c r="G51">
        <v>10</v>
      </c>
      <c r="H51">
        <v>18</v>
      </c>
      <c r="I51">
        <v>1772467.38</v>
      </c>
      <c r="J51" t="s">
        <v>15</v>
      </c>
      <c r="K51" t="s">
        <v>33</v>
      </c>
      <c r="L51">
        <f t="shared" si="0"/>
        <v>435185</v>
      </c>
    </row>
    <row r="52" spans="1:12" x14ac:dyDescent="0.3">
      <c r="A52" t="s">
        <v>164</v>
      </c>
      <c r="B52" t="s">
        <v>18</v>
      </c>
      <c r="C52" t="s">
        <v>62</v>
      </c>
      <c r="D52" t="s">
        <v>63</v>
      </c>
      <c r="E52">
        <v>23</v>
      </c>
      <c r="F52">
        <v>76671</v>
      </c>
      <c r="G52">
        <v>0</v>
      </c>
      <c r="H52">
        <v>12</v>
      </c>
      <c r="I52">
        <v>1975044.96</v>
      </c>
      <c r="J52" t="s">
        <v>46</v>
      </c>
      <c r="K52" t="s">
        <v>33</v>
      </c>
      <c r="L52">
        <f t="shared" si="0"/>
        <v>678305</v>
      </c>
    </row>
    <row r="53" spans="1:12" x14ac:dyDescent="0.3">
      <c r="A53" t="s">
        <v>161</v>
      </c>
      <c r="B53" t="s">
        <v>18</v>
      </c>
      <c r="C53" t="s">
        <v>35</v>
      </c>
      <c r="D53" t="s">
        <v>56</v>
      </c>
      <c r="E53">
        <v>17</v>
      </c>
      <c r="F53">
        <v>54665</v>
      </c>
      <c r="G53">
        <v>0</v>
      </c>
      <c r="H53">
        <v>28</v>
      </c>
      <c r="I53">
        <v>1189510.3999999999</v>
      </c>
      <c r="J53" t="s">
        <v>37</v>
      </c>
      <c r="K53" t="s">
        <v>33</v>
      </c>
      <c r="L53">
        <f t="shared" si="0"/>
        <v>1182995</v>
      </c>
    </row>
    <row r="54" spans="1:12" x14ac:dyDescent="0.3">
      <c r="A54" t="s">
        <v>164</v>
      </c>
      <c r="B54" t="s">
        <v>18</v>
      </c>
      <c r="C54" t="s">
        <v>62</v>
      </c>
      <c r="D54" t="s">
        <v>63</v>
      </c>
      <c r="E54">
        <v>27</v>
      </c>
      <c r="F54">
        <v>18148</v>
      </c>
      <c r="G54">
        <v>12</v>
      </c>
      <c r="H54">
        <v>12</v>
      </c>
      <c r="I54">
        <v>482940.06</v>
      </c>
      <c r="J54" t="s">
        <v>46</v>
      </c>
      <c r="K54" t="s">
        <v>16</v>
      </c>
      <c r="L54">
        <f t="shared" si="0"/>
        <v>678305</v>
      </c>
    </row>
    <row r="55" spans="1:12" x14ac:dyDescent="0.3">
      <c r="A55" t="s">
        <v>90</v>
      </c>
      <c r="B55" t="s">
        <v>18</v>
      </c>
      <c r="C55" t="s">
        <v>13</v>
      </c>
      <c r="D55" t="s">
        <v>14</v>
      </c>
      <c r="E55">
        <v>5</v>
      </c>
      <c r="F55">
        <v>16146</v>
      </c>
      <c r="G55">
        <v>12</v>
      </c>
      <c r="H55">
        <v>28</v>
      </c>
      <c r="I55">
        <v>90934.27</v>
      </c>
      <c r="J55" t="s">
        <v>46</v>
      </c>
      <c r="K55" t="s">
        <v>16</v>
      </c>
      <c r="L55">
        <f t="shared" si="0"/>
        <v>667863</v>
      </c>
    </row>
    <row r="56" spans="1:12" x14ac:dyDescent="0.3">
      <c r="A56" t="s">
        <v>34</v>
      </c>
      <c r="B56" t="s">
        <v>18</v>
      </c>
      <c r="C56" t="s">
        <v>35</v>
      </c>
      <c r="D56" t="s">
        <v>77</v>
      </c>
      <c r="E56">
        <v>19</v>
      </c>
      <c r="F56">
        <v>80190</v>
      </c>
      <c r="G56">
        <v>10</v>
      </c>
      <c r="H56">
        <v>28</v>
      </c>
      <c r="I56">
        <v>1755198.72</v>
      </c>
      <c r="J56" t="s">
        <v>46</v>
      </c>
      <c r="K56" t="s">
        <v>38</v>
      </c>
      <c r="L56">
        <f t="shared" si="0"/>
        <v>1182995</v>
      </c>
    </row>
    <row r="57" spans="1:12" x14ac:dyDescent="0.3">
      <c r="A57" t="s">
        <v>145</v>
      </c>
      <c r="B57" t="s">
        <v>18</v>
      </c>
      <c r="C57" t="s">
        <v>62</v>
      </c>
      <c r="D57" t="s">
        <v>63</v>
      </c>
      <c r="E57">
        <v>29</v>
      </c>
      <c r="F57">
        <v>5690</v>
      </c>
      <c r="G57">
        <v>0</v>
      </c>
      <c r="H57">
        <v>28</v>
      </c>
      <c r="I57">
        <v>211212.79999999999</v>
      </c>
      <c r="J57" t="s">
        <v>15</v>
      </c>
      <c r="K57" t="s">
        <v>38</v>
      </c>
      <c r="L57">
        <f t="shared" si="0"/>
        <v>678305</v>
      </c>
    </row>
    <row r="58" spans="1:12" x14ac:dyDescent="0.3">
      <c r="A58" t="s">
        <v>160</v>
      </c>
      <c r="B58" t="s">
        <v>18</v>
      </c>
      <c r="C58" t="s">
        <v>24</v>
      </c>
      <c r="D58" t="s">
        <v>25</v>
      </c>
      <c r="E58">
        <v>29</v>
      </c>
      <c r="F58">
        <v>30939</v>
      </c>
      <c r="G58">
        <v>5</v>
      </c>
      <c r="H58">
        <v>18</v>
      </c>
      <c r="I58">
        <v>1005795.95</v>
      </c>
      <c r="J58" t="s">
        <v>46</v>
      </c>
      <c r="K58" t="s">
        <v>33</v>
      </c>
      <c r="L58">
        <f t="shared" si="0"/>
        <v>932689</v>
      </c>
    </row>
    <row r="59" spans="1:12" x14ac:dyDescent="0.3">
      <c r="A59" t="s">
        <v>157</v>
      </c>
      <c r="B59" t="s">
        <v>18</v>
      </c>
      <c r="C59" t="s">
        <v>29</v>
      </c>
      <c r="D59" t="s">
        <v>30</v>
      </c>
      <c r="E59">
        <v>39</v>
      </c>
      <c r="F59">
        <v>1306</v>
      </c>
      <c r="G59">
        <v>5</v>
      </c>
      <c r="H59">
        <v>28</v>
      </c>
      <c r="I59">
        <v>61935.74</v>
      </c>
      <c r="J59" t="s">
        <v>37</v>
      </c>
      <c r="K59" t="s">
        <v>33</v>
      </c>
      <c r="L59">
        <f t="shared" si="0"/>
        <v>252741</v>
      </c>
    </row>
    <row r="60" spans="1:12" x14ac:dyDescent="0.3">
      <c r="A60" t="s">
        <v>27</v>
      </c>
      <c r="B60" t="s">
        <v>18</v>
      </c>
      <c r="C60" t="s">
        <v>48</v>
      </c>
      <c r="D60" t="s">
        <v>59</v>
      </c>
      <c r="E60">
        <v>24</v>
      </c>
      <c r="F60">
        <v>8874</v>
      </c>
      <c r="G60">
        <v>12</v>
      </c>
      <c r="H60">
        <v>12</v>
      </c>
      <c r="I60">
        <v>209909.15</v>
      </c>
      <c r="J60" t="s">
        <v>37</v>
      </c>
      <c r="K60" t="s">
        <v>38</v>
      </c>
      <c r="L60">
        <f t="shared" si="0"/>
        <v>435185</v>
      </c>
    </row>
    <row r="61" spans="1:12" x14ac:dyDescent="0.3">
      <c r="A61" t="s">
        <v>118</v>
      </c>
      <c r="B61" t="s">
        <v>18</v>
      </c>
      <c r="C61" t="s">
        <v>44</v>
      </c>
      <c r="D61" t="s">
        <v>51</v>
      </c>
      <c r="E61">
        <v>32</v>
      </c>
      <c r="F61">
        <v>47125</v>
      </c>
      <c r="G61">
        <v>0</v>
      </c>
      <c r="H61">
        <v>12</v>
      </c>
      <c r="I61">
        <v>1688960</v>
      </c>
      <c r="J61" t="s">
        <v>15</v>
      </c>
      <c r="K61" t="s">
        <v>16</v>
      </c>
      <c r="L61">
        <f t="shared" si="0"/>
        <v>356491</v>
      </c>
    </row>
    <row r="62" spans="1:12" x14ac:dyDescent="0.3">
      <c r="A62" t="s">
        <v>174</v>
      </c>
      <c r="B62" t="s">
        <v>18</v>
      </c>
      <c r="C62" t="s">
        <v>19</v>
      </c>
      <c r="D62" t="s">
        <v>20</v>
      </c>
      <c r="E62">
        <v>13</v>
      </c>
      <c r="F62">
        <v>53129</v>
      </c>
      <c r="G62">
        <v>0</v>
      </c>
      <c r="H62">
        <v>18</v>
      </c>
      <c r="I62">
        <v>814998.86</v>
      </c>
      <c r="J62" t="s">
        <v>15</v>
      </c>
      <c r="K62" t="s">
        <v>33</v>
      </c>
      <c r="L62">
        <f t="shared" si="0"/>
        <v>175255</v>
      </c>
    </row>
    <row r="63" spans="1:12" x14ac:dyDescent="0.3">
      <c r="A63" t="s">
        <v>175</v>
      </c>
      <c r="B63" t="s">
        <v>18</v>
      </c>
      <c r="C63" t="s">
        <v>24</v>
      </c>
      <c r="D63" t="s">
        <v>40</v>
      </c>
      <c r="E63">
        <v>37</v>
      </c>
      <c r="F63">
        <v>15514</v>
      </c>
      <c r="G63">
        <v>10</v>
      </c>
      <c r="H63">
        <v>18</v>
      </c>
      <c r="I63">
        <v>609607.12</v>
      </c>
      <c r="J63" t="s">
        <v>37</v>
      </c>
      <c r="K63" t="s">
        <v>26</v>
      </c>
      <c r="L63">
        <f t="shared" si="0"/>
        <v>932689</v>
      </c>
    </row>
    <row r="64" spans="1:12" x14ac:dyDescent="0.3">
      <c r="A64" t="s">
        <v>224</v>
      </c>
      <c r="B64" t="s">
        <v>18</v>
      </c>
      <c r="C64" t="s">
        <v>35</v>
      </c>
      <c r="D64" t="s">
        <v>36</v>
      </c>
      <c r="E64">
        <v>9</v>
      </c>
      <c r="F64">
        <v>10150</v>
      </c>
      <c r="G64">
        <v>12</v>
      </c>
      <c r="H64">
        <v>18</v>
      </c>
      <c r="I64">
        <v>94857.84</v>
      </c>
      <c r="J64" t="s">
        <v>21</v>
      </c>
      <c r="K64" t="s">
        <v>38</v>
      </c>
      <c r="L64">
        <f t="shared" si="0"/>
        <v>1182995</v>
      </c>
    </row>
    <row r="65" spans="1:12" x14ac:dyDescent="0.3">
      <c r="A65" t="s">
        <v>147</v>
      </c>
      <c r="B65" t="s">
        <v>18</v>
      </c>
      <c r="C65" t="s">
        <v>35</v>
      </c>
      <c r="D65" t="s">
        <v>36</v>
      </c>
      <c r="E65">
        <v>23</v>
      </c>
      <c r="F65">
        <v>33160</v>
      </c>
      <c r="G65">
        <v>5</v>
      </c>
      <c r="H65">
        <v>12</v>
      </c>
      <c r="I65">
        <v>811491.52</v>
      </c>
      <c r="J65" t="s">
        <v>46</v>
      </c>
      <c r="K65" t="s">
        <v>16</v>
      </c>
      <c r="L65">
        <f t="shared" si="0"/>
        <v>1182995</v>
      </c>
    </row>
    <row r="66" spans="1:12" x14ac:dyDescent="0.3">
      <c r="A66" t="s">
        <v>172</v>
      </c>
      <c r="B66" t="s">
        <v>18</v>
      </c>
      <c r="C66" t="s">
        <v>48</v>
      </c>
      <c r="D66" t="s">
        <v>59</v>
      </c>
      <c r="E66">
        <v>16</v>
      </c>
      <c r="F66">
        <v>20229</v>
      </c>
      <c r="G66">
        <v>0</v>
      </c>
      <c r="H66">
        <v>28</v>
      </c>
      <c r="I66">
        <v>414289.91999999998</v>
      </c>
      <c r="J66" t="s">
        <v>15</v>
      </c>
      <c r="K66" t="s">
        <v>16</v>
      </c>
      <c r="L66">
        <f t="shared" ref="L66:L113" si="1">SUMIF(C:C,C66,F:F)</f>
        <v>435185</v>
      </c>
    </row>
    <row r="67" spans="1:12" x14ac:dyDescent="0.3">
      <c r="A67" t="s">
        <v>156</v>
      </c>
      <c r="B67" t="s">
        <v>18</v>
      </c>
      <c r="C67" t="s">
        <v>44</v>
      </c>
      <c r="D67" t="s">
        <v>51</v>
      </c>
      <c r="E67">
        <v>33</v>
      </c>
      <c r="F67">
        <v>56994</v>
      </c>
      <c r="G67">
        <v>10</v>
      </c>
      <c r="H67">
        <v>12</v>
      </c>
      <c r="I67">
        <v>1895848.42</v>
      </c>
      <c r="J67" t="s">
        <v>46</v>
      </c>
      <c r="K67" t="s">
        <v>16</v>
      </c>
      <c r="L67">
        <f t="shared" si="1"/>
        <v>356491</v>
      </c>
    </row>
    <row r="68" spans="1:12" x14ac:dyDescent="0.3">
      <c r="A68" t="s">
        <v>181</v>
      </c>
      <c r="B68" t="s">
        <v>18</v>
      </c>
      <c r="C68" t="s">
        <v>48</v>
      </c>
      <c r="D68" t="s">
        <v>49</v>
      </c>
      <c r="E68">
        <v>40</v>
      </c>
      <c r="F68">
        <v>77515</v>
      </c>
      <c r="G68">
        <v>10</v>
      </c>
      <c r="H68">
        <v>12</v>
      </c>
      <c r="I68">
        <v>3125404.8</v>
      </c>
      <c r="J68" t="s">
        <v>15</v>
      </c>
      <c r="K68" t="s">
        <v>38</v>
      </c>
      <c r="L68">
        <f t="shared" si="1"/>
        <v>435185</v>
      </c>
    </row>
    <row r="69" spans="1:12" x14ac:dyDescent="0.3">
      <c r="A69" t="s">
        <v>103</v>
      </c>
      <c r="B69" t="s">
        <v>18</v>
      </c>
      <c r="C69" t="s">
        <v>35</v>
      </c>
      <c r="D69" t="s">
        <v>36</v>
      </c>
      <c r="E69">
        <v>15</v>
      </c>
      <c r="F69">
        <v>3235</v>
      </c>
      <c r="G69">
        <v>0</v>
      </c>
      <c r="H69">
        <v>12</v>
      </c>
      <c r="I69">
        <v>54348</v>
      </c>
      <c r="J69" t="s">
        <v>15</v>
      </c>
      <c r="K69" t="s">
        <v>16</v>
      </c>
      <c r="L69">
        <f t="shared" si="1"/>
        <v>1182995</v>
      </c>
    </row>
    <row r="70" spans="1:12" x14ac:dyDescent="0.3">
      <c r="A70" t="s">
        <v>122</v>
      </c>
      <c r="B70" t="s">
        <v>18</v>
      </c>
      <c r="C70" t="s">
        <v>35</v>
      </c>
      <c r="D70" t="s">
        <v>77</v>
      </c>
      <c r="E70">
        <v>6</v>
      </c>
      <c r="F70">
        <v>23952</v>
      </c>
      <c r="G70">
        <v>5</v>
      </c>
      <c r="H70">
        <v>18</v>
      </c>
      <c r="I70">
        <v>161101.15</v>
      </c>
      <c r="J70" t="s">
        <v>37</v>
      </c>
      <c r="K70" t="s">
        <v>16</v>
      </c>
      <c r="L70">
        <f t="shared" si="1"/>
        <v>1182995</v>
      </c>
    </row>
    <row r="71" spans="1:12" x14ac:dyDescent="0.3">
      <c r="A71" t="s">
        <v>200</v>
      </c>
      <c r="B71" t="s">
        <v>18</v>
      </c>
      <c r="C71" t="s">
        <v>62</v>
      </c>
      <c r="D71" t="s">
        <v>63</v>
      </c>
      <c r="E71">
        <v>10</v>
      </c>
      <c r="F71">
        <v>6035</v>
      </c>
      <c r="G71">
        <v>10</v>
      </c>
      <c r="H71">
        <v>12</v>
      </c>
      <c r="I71">
        <v>60832.800000000003</v>
      </c>
      <c r="J71" t="s">
        <v>37</v>
      </c>
      <c r="K71" t="s">
        <v>26</v>
      </c>
      <c r="L71">
        <f t="shared" si="1"/>
        <v>678305</v>
      </c>
    </row>
    <row r="72" spans="1:12" x14ac:dyDescent="0.3">
      <c r="A72" t="s">
        <v>117</v>
      </c>
      <c r="B72" t="s">
        <v>18</v>
      </c>
      <c r="C72" t="s">
        <v>24</v>
      </c>
      <c r="D72" t="s">
        <v>76</v>
      </c>
      <c r="E72">
        <v>17</v>
      </c>
      <c r="F72">
        <v>68808</v>
      </c>
      <c r="G72">
        <v>10</v>
      </c>
      <c r="H72">
        <v>28</v>
      </c>
      <c r="I72">
        <v>1347535.87</v>
      </c>
      <c r="J72" t="s">
        <v>46</v>
      </c>
      <c r="K72" t="s">
        <v>16</v>
      </c>
      <c r="L72">
        <f t="shared" si="1"/>
        <v>932689</v>
      </c>
    </row>
    <row r="73" spans="1:12" x14ac:dyDescent="0.3">
      <c r="A73" t="s">
        <v>219</v>
      </c>
      <c r="B73" t="s">
        <v>18</v>
      </c>
      <c r="C73" t="s">
        <v>24</v>
      </c>
      <c r="D73" t="s">
        <v>25</v>
      </c>
      <c r="E73">
        <v>9</v>
      </c>
      <c r="F73">
        <v>84854</v>
      </c>
      <c r="G73">
        <v>0</v>
      </c>
      <c r="H73">
        <v>28</v>
      </c>
      <c r="I73">
        <v>977518.07999999996</v>
      </c>
      <c r="J73" t="s">
        <v>37</v>
      </c>
      <c r="K73" t="s">
        <v>38</v>
      </c>
      <c r="L73">
        <f t="shared" si="1"/>
        <v>932689</v>
      </c>
    </row>
    <row r="74" spans="1:12" x14ac:dyDescent="0.3">
      <c r="A74" t="s">
        <v>220</v>
      </c>
      <c r="B74" t="s">
        <v>18</v>
      </c>
      <c r="C74" t="s">
        <v>24</v>
      </c>
      <c r="D74" t="s">
        <v>40</v>
      </c>
      <c r="E74">
        <v>2</v>
      </c>
      <c r="F74">
        <v>44724</v>
      </c>
      <c r="G74">
        <v>10</v>
      </c>
      <c r="H74">
        <v>12</v>
      </c>
      <c r="I74">
        <v>90163.58</v>
      </c>
      <c r="J74" t="s">
        <v>21</v>
      </c>
      <c r="K74" t="s">
        <v>38</v>
      </c>
      <c r="L74">
        <f t="shared" si="1"/>
        <v>932689</v>
      </c>
    </row>
    <row r="75" spans="1:12" x14ac:dyDescent="0.3">
      <c r="A75" t="s">
        <v>143</v>
      </c>
      <c r="B75" t="s">
        <v>18</v>
      </c>
      <c r="C75" t="s">
        <v>35</v>
      </c>
      <c r="D75" t="s">
        <v>56</v>
      </c>
      <c r="E75">
        <v>4</v>
      </c>
      <c r="F75">
        <v>31278</v>
      </c>
      <c r="G75">
        <v>0</v>
      </c>
      <c r="H75">
        <v>18</v>
      </c>
      <c r="I75">
        <v>147632.16</v>
      </c>
      <c r="J75" t="s">
        <v>15</v>
      </c>
      <c r="K75" t="s">
        <v>16</v>
      </c>
      <c r="L75">
        <f t="shared" si="1"/>
        <v>1182995</v>
      </c>
    </row>
    <row r="76" spans="1:12" x14ac:dyDescent="0.3">
      <c r="A76" t="s">
        <v>55</v>
      </c>
      <c r="B76" t="s">
        <v>18</v>
      </c>
      <c r="C76" t="s">
        <v>48</v>
      </c>
      <c r="D76" t="s">
        <v>49</v>
      </c>
      <c r="E76">
        <v>4</v>
      </c>
      <c r="F76">
        <v>9782</v>
      </c>
      <c r="G76">
        <v>12</v>
      </c>
      <c r="H76">
        <v>12</v>
      </c>
      <c r="I76">
        <v>38564.559999999998</v>
      </c>
      <c r="J76" t="s">
        <v>15</v>
      </c>
      <c r="K76" t="s">
        <v>16</v>
      </c>
      <c r="L76">
        <f t="shared" si="1"/>
        <v>435185</v>
      </c>
    </row>
    <row r="77" spans="1:12" x14ac:dyDescent="0.3">
      <c r="A77" t="s">
        <v>231</v>
      </c>
      <c r="B77" t="s">
        <v>18</v>
      </c>
      <c r="C77" t="s">
        <v>35</v>
      </c>
      <c r="D77" t="s">
        <v>36</v>
      </c>
      <c r="E77">
        <v>40</v>
      </c>
      <c r="F77">
        <v>23259</v>
      </c>
      <c r="G77">
        <v>12</v>
      </c>
      <c r="H77">
        <v>18</v>
      </c>
      <c r="I77">
        <v>966085.82</v>
      </c>
      <c r="J77" t="s">
        <v>21</v>
      </c>
      <c r="K77" t="s">
        <v>16</v>
      </c>
      <c r="L77">
        <f t="shared" si="1"/>
        <v>1182995</v>
      </c>
    </row>
    <row r="78" spans="1:12" x14ac:dyDescent="0.3">
      <c r="A78" t="s">
        <v>141</v>
      </c>
      <c r="B78" t="s">
        <v>18</v>
      </c>
      <c r="C78" t="s">
        <v>24</v>
      </c>
      <c r="D78" t="s">
        <v>40</v>
      </c>
      <c r="E78">
        <v>22</v>
      </c>
      <c r="F78">
        <v>3406</v>
      </c>
      <c r="G78">
        <v>0</v>
      </c>
      <c r="H78">
        <v>18</v>
      </c>
      <c r="I78">
        <v>88419.76</v>
      </c>
      <c r="J78" t="s">
        <v>37</v>
      </c>
      <c r="K78" t="s">
        <v>16</v>
      </c>
      <c r="L78">
        <f t="shared" si="1"/>
        <v>932689</v>
      </c>
    </row>
    <row r="79" spans="1:12" x14ac:dyDescent="0.3">
      <c r="A79" t="s">
        <v>74</v>
      </c>
      <c r="B79" t="s">
        <v>18</v>
      </c>
      <c r="C79" t="s">
        <v>62</v>
      </c>
      <c r="D79" t="s">
        <v>92</v>
      </c>
      <c r="E79">
        <v>21</v>
      </c>
      <c r="F79">
        <v>83767</v>
      </c>
      <c r="G79">
        <v>10</v>
      </c>
      <c r="H79">
        <v>28</v>
      </c>
      <c r="I79">
        <v>2026491.26</v>
      </c>
      <c r="J79" t="s">
        <v>15</v>
      </c>
      <c r="K79" t="s">
        <v>16</v>
      </c>
      <c r="L79">
        <f t="shared" si="1"/>
        <v>678305</v>
      </c>
    </row>
    <row r="80" spans="1:12" x14ac:dyDescent="0.3">
      <c r="A80" t="s">
        <v>190</v>
      </c>
      <c r="B80" t="s">
        <v>18</v>
      </c>
      <c r="C80" t="s">
        <v>35</v>
      </c>
      <c r="D80" t="s">
        <v>36</v>
      </c>
      <c r="E80">
        <v>16</v>
      </c>
      <c r="F80">
        <v>69483</v>
      </c>
      <c r="G80">
        <v>12</v>
      </c>
      <c r="H80">
        <v>18</v>
      </c>
      <c r="I80">
        <v>1154418.3600000001</v>
      </c>
      <c r="J80" t="s">
        <v>15</v>
      </c>
      <c r="K80" t="s">
        <v>26</v>
      </c>
      <c r="L80">
        <f t="shared" si="1"/>
        <v>1182995</v>
      </c>
    </row>
    <row r="81" spans="1:12" x14ac:dyDescent="0.3">
      <c r="A81" t="s">
        <v>68</v>
      </c>
      <c r="B81" t="s">
        <v>18</v>
      </c>
      <c r="C81" t="s">
        <v>13</v>
      </c>
      <c r="D81" t="s">
        <v>14</v>
      </c>
      <c r="E81">
        <v>32</v>
      </c>
      <c r="F81">
        <v>61053</v>
      </c>
      <c r="G81">
        <v>5</v>
      </c>
      <c r="H81">
        <v>28</v>
      </c>
      <c r="I81">
        <v>2375694.34</v>
      </c>
      <c r="J81" t="s">
        <v>46</v>
      </c>
      <c r="K81" t="s">
        <v>16</v>
      </c>
      <c r="L81">
        <f t="shared" si="1"/>
        <v>667863</v>
      </c>
    </row>
    <row r="82" spans="1:12" x14ac:dyDescent="0.3">
      <c r="A82" t="s">
        <v>217</v>
      </c>
      <c r="B82" t="s">
        <v>18</v>
      </c>
      <c r="C82" t="s">
        <v>24</v>
      </c>
      <c r="D82" t="s">
        <v>76</v>
      </c>
      <c r="E82">
        <v>36</v>
      </c>
      <c r="F82">
        <v>20072</v>
      </c>
      <c r="G82">
        <v>12</v>
      </c>
      <c r="H82">
        <v>18</v>
      </c>
      <c r="I82">
        <v>750339.53</v>
      </c>
      <c r="J82" t="s">
        <v>37</v>
      </c>
      <c r="K82" t="s">
        <v>38</v>
      </c>
      <c r="L82">
        <f t="shared" si="1"/>
        <v>932689</v>
      </c>
    </row>
    <row r="83" spans="1:12" x14ac:dyDescent="0.3">
      <c r="A83" t="s">
        <v>206</v>
      </c>
      <c r="B83" t="s">
        <v>18</v>
      </c>
      <c r="C83" t="s">
        <v>35</v>
      </c>
      <c r="D83" t="s">
        <v>56</v>
      </c>
      <c r="E83">
        <v>5</v>
      </c>
      <c r="F83">
        <v>37458</v>
      </c>
      <c r="G83">
        <v>10</v>
      </c>
      <c r="H83">
        <v>12</v>
      </c>
      <c r="I83">
        <v>188788.32</v>
      </c>
      <c r="J83" t="s">
        <v>21</v>
      </c>
      <c r="K83" t="s">
        <v>33</v>
      </c>
      <c r="L83">
        <f t="shared" si="1"/>
        <v>1182995</v>
      </c>
    </row>
    <row r="84" spans="1:12" x14ac:dyDescent="0.3">
      <c r="A84" t="s">
        <v>135</v>
      </c>
      <c r="B84" t="s">
        <v>18</v>
      </c>
      <c r="C84" t="s">
        <v>48</v>
      </c>
      <c r="D84" t="s">
        <v>49</v>
      </c>
      <c r="E84">
        <v>27</v>
      </c>
      <c r="F84">
        <v>83932</v>
      </c>
      <c r="G84">
        <v>5</v>
      </c>
      <c r="H84">
        <v>12</v>
      </c>
      <c r="I84">
        <v>2411198.5</v>
      </c>
      <c r="J84" t="s">
        <v>21</v>
      </c>
      <c r="K84" t="s">
        <v>26</v>
      </c>
      <c r="L84">
        <f t="shared" si="1"/>
        <v>435185</v>
      </c>
    </row>
    <row r="85" spans="1:12" x14ac:dyDescent="0.3">
      <c r="A85" t="s">
        <v>103</v>
      </c>
      <c r="B85" t="s">
        <v>18</v>
      </c>
      <c r="C85" t="s">
        <v>48</v>
      </c>
      <c r="D85" t="s">
        <v>59</v>
      </c>
      <c r="E85">
        <v>15</v>
      </c>
      <c r="F85">
        <v>24888</v>
      </c>
      <c r="G85">
        <v>12</v>
      </c>
      <c r="H85">
        <v>18</v>
      </c>
      <c r="I85">
        <v>387655.49</v>
      </c>
      <c r="J85" t="s">
        <v>15</v>
      </c>
      <c r="K85" t="s">
        <v>38</v>
      </c>
      <c r="L85">
        <f t="shared" si="1"/>
        <v>435185</v>
      </c>
    </row>
    <row r="86" spans="1:12" x14ac:dyDescent="0.3">
      <c r="A86" t="s">
        <v>119</v>
      </c>
      <c r="B86" t="s">
        <v>18</v>
      </c>
      <c r="C86" t="s">
        <v>24</v>
      </c>
      <c r="D86" t="s">
        <v>25</v>
      </c>
      <c r="E86">
        <v>39</v>
      </c>
      <c r="F86">
        <v>28275</v>
      </c>
      <c r="G86">
        <v>5</v>
      </c>
      <c r="H86">
        <v>28</v>
      </c>
      <c r="I86">
        <v>1340913.6000000001</v>
      </c>
      <c r="J86" t="s">
        <v>15</v>
      </c>
      <c r="K86" t="s">
        <v>33</v>
      </c>
      <c r="L86">
        <f t="shared" si="1"/>
        <v>932689</v>
      </c>
    </row>
    <row r="87" spans="1:12" x14ac:dyDescent="0.3">
      <c r="A87" t="s">
        <v>157</v>
      </c>
      <c r="B87" t="s">
        <v>18</v>
      </c>
      <c r="C87" t="s">
        <v>13</v>
      </c>
      <c r="D87" t="s">
        <v>14</v>
      </c>
      <c r="E87">
        <v>7</v>
      </c>
      <c r="F87">
        <v>22523</v>
      </c>
      <c r="G87">
        <v>5</v>
      </c>
      <c r="H87">
        <v>28</v>
      </c>
      <c r="I87">
        <v>191715.78</v>
      </c>
      <c r="J87" t="s">
        <v>46</v>
      </c>
      <c r="K87" t="s">
        <v>38</v>
      </c>
      <c r="L87">
        <f t="shared" si="1"/>
        <v>667863</v>
      </c>
    </row>
    <row r="88" spans="1:12" x14ac:dyDescent="0.3">
      <c r="A88" t="s">
        <v>95</v>
      </c>
      <c r="B88" t="s">
        <v>18</v>
      </c>
      <c r="C88" t="s">
        <v>29</v>
      </c>
      <c r="D88" t="s">
        <v>30</v>
      </c>
      <c r="E88">
        <v>21</v>
      </c>
      <c r="F88">
        <v>66620</v>
      </c>
      <c r="G88">
        <v>10</v>
      </c>
      <c r="H88">
        <v>18</v>
      </c>
      <c r="I88">
        <v>1485759.24</v>
      </c>
      <c r="J88" t="s">
        <v>21</v>
      </c>
      <c r="K88" t="s">
        <v>33</v>
      </c>
      <c r="L88">
        <f t="shared" si="1"/>
        <v>252741</v>
      </c>
    </row>
    <row r="89" spans="1:12" x14ac:dyDescent="0.3">
      <c r="A89" t="s">
        <v>140</v>
      </c>
      <c r="B89" t="s">
        <v>18</v>
      </c>
      <c r="C89" t="s">
        <v>62</v>
      </c>
      <c r="D89" t="s">
        <v>92</v>
      </c>
      <c r="E89">
        <v>16</v>
      </c>
      <c r="F89">
        <v>82609</v>
      </c>
      <c r="G89">
        <v>12</v>
      </c>
      <c r="H89">
        <v>18</v>
      </c>
      <c r="I89">
        <v>1372498.97</v>
      </c>
      <c r="J89" t="s">
        <v>46</v>
      </c>
      <c r="K89" t="s">
        <v>33</v>
      </c>
      <c r="L89">
        <f t="shared" si="1"/>
        <v>678305</v>
      </c>
    </row>
    <row r="90" spans="1:12" x14ac:dyDescent="0.3">
      <c r="A90" t="s">
        <v>151</v>
      </c>
      <c r="B90" t="s">
        <v>18</v>
      </c>
      <c r="C90" t="s">
        <v>29</v>
      </c>
      <c r="D90" t="s">
        <v>30</v>
      </c>
      <c r="E90">
        <v>16</v>
      </c>
      <c r="F90">
        <v>81345</v>
      </c>
      <c r="G90">
        <v>12</v>
      </c>
      <c r="H90">
        <v>18</v>
      </c>
      <c r="I90">
        <v>1351498.37</v>
      </c>
      <c r="J90" t="s">
        <v>46</v>
      </c>
      <c r="K90" t="s">
        <v>26</v>
      </c>
      <c r="L90">
        <f t="shared" si="1"/>
        <v>252741</v>
      </c>
    </row>
    <row r="91" spans="1:12" x14ac:dyDescent="0.3">
      <c r="A91" t="s">
        <v>176</v>
      </c>
      <c r="B91" t="s">
        <v>18</v>
      </c>
      <c r="C91" t="s">
        <v>13</v>
      </c>
      <c r="D91" t="s">
        <v>14</v>
      </c>
      <c r="E91">
        <v>28</v>
      </c>
      <c r="F91">
        <v>68361</v>
      </c>
      <c r="G91">
        <v>12</v>
      </c>
      <c r="H91">
        <v>28</v>
      </c>
      <c r="I91">
        <v>2156051.25</v>
      </c>
      <c r="J91" t="s">
        <v>46</v>
      </c>
      <c r="K91" t="s">
        <v>26</v>
      </c>
      <c r="L91">
        <f t="shared" si="1"/>
        <v>667863</v>
      </c>
    </row>
    <row r="92" spans="1:12" x14ac:dyDescent="0.3">
      <c r="A92" t="s">
        <v>174</v>
      </c>
      <c r="B92" t="s">
        <v>18</v>
      </c>
      <c r="C92" t="s">
        <v>62</v>
      </c>
      <c r="D92" t="s">
        <v>63</v>
      </c>
      <c r="E92">
        <v>24</v>
      </c>
      <c r="F92">
        <v>23598</v>
      </c>
      <c r="G92">
        <v>10</v>
      </c>
      <c r="H92">
        <v>18</v>
      </c>
      <c r="I92">
        <v>601465.81999999995</v>
      </c>
      <c r="J92" t="s">
        <v>37</v>
      </c>
      <c r="K92" t="s">
        <v>38</v>
      </c>
      <c r="L92">
        <f t="shared" si="1"/>
        <v>678305</v>
      </c>
    </row>
    <row r="93" spans="1:12" x14ac:dyDescent="0.3">
      <c r="A93" t="s">
        <v>139</v>
      </c>
      <c r="B93" t="s">
        <v>18</v>
      </c>
      <c r="C93" t="s">
        <v>35</v>
      </c>
      <c r="D93" t="s">
        <v>77</v>
      </c>
      <c r="E93">
        <v>15</v>
      </c>
      <c r="F93">
        <v>9698</v>
      </c>
      <c r="G93">
        <v>12</v>
      </c>
      <c r="H93">
        <v>28</v>
      </c>
      <c r="I93">
        <v>163857.41</v>
      </c>
      <c r="J93" t="s">
        <v>37</v>
      </c>
      <c r="K93" t="s">
        <v>16</v>
      </c>
      <c r="L93">
        <f t="shared" si="1"/>
        <v>1182995</v>
      </c>
    </row>
    <row r="94" spans="1:12" x14ac:dyDescent="0.3">
      <c r="A94" t="s">
        <v>105</v>
      </c>
      <c r="B94" t="s">
        <v>18</v>
      </c>
      <c r="C94" t="s">
        <v>35</v>
      </c>
      <c r="D94" t="s">
        <v>56</v>
      </c>
      <c r="E94">
        <v>37</v>
      </c>
      <c r="F94">
        <v>7405</v>
      </c>
      <c r="G94">
        <v>10</v>
      </c>
      <c r="H94">
        <v>18</v>
      </c>
      <c r="I94">
        <v>290972.07</v>
      </c>
      <c r="J94" t="s">
        <v>37</v>
      </c>
      <c r="K94" t="s">
        <v>38</v>
      </c>
      <c r="L94">
        <f t="shared" si="1"/>
        <v>1182995</v>
      </c>
    </row>
    <row r="95" spans="1:12" x14ac:dyDescent="0.3">
      <c r="A95" t="s">
        <v>98</v>
      </c>
      <c r="B95" t="s">
        <v>18</v>
      </c>
      <c r="C95" t="s">
        <v>44</v>
      </c>
      <c r="D95" t="s">
        <v>51</v>
      </c>
      <c r="E95">
        <v>11</v>
      </c>
      <c r="F95">
        <v>19652</v>
      </c>
      <c r="G95">
        <v>10</v>
      </c>
      <c r="H95">
        <v>28</v>
      </c>
      <c r="I95">
        <v>249030.14</v>
      </c>
      <c r="J95" t="s">
        <v>21</v>
      </c>
      <c r="K95" t="s">
        <v>33</v>
      </c>
      <c r="L95">
        <f t="shared" si="1"/>
        <v>356491</v>
      </c>
    </row>
    <row r="96" spans="1:12" x14ac:dyDescent="0.3">
      <c r="A96" t="s">
        <v>202</v>
      </c>
      <c r="B96" t="s">
        <v>18</v>
      </c>
      <c r="C96" t="s">
        <v>24</v>
      </c>
      <c r="D96" t="s">
        <v>25</v>
      </c>
      <c r="E96">
        <v>22</v>
      </c>
      <c r="F96">
        <v>82235</v>
      </c>
      <c r="G96">
        <v>12</v>
      </c>
      <c r="H96">
        <v>28</v>
      </c>
      <c r="I96">
        <v>2037849.09</v>
      </c>
      <c r="J96" t="s">
        <v>21</v>
      </c>
      <c r="K96" t="s">
        <v>38</v>
      </c>
      <c r="L96">
        <f t="shared" si="1"/>
        <v>932689</v>
      </c>
    </row>
    <row r="97" spans="1:12" x14ac:dyDescent="0.3">
      <c r="A97" t="s">
        <v>66</v>
      </c>
      <c r="B97" t="s">
        <v>18</v>
      </c>
      <c r="C97" t="s">
        <v>35</v>
      </c>
      <c r="D97" t="s">
        <v>77</v>
      </c>
      <c r="E97">
        <v>34</v>
      </c>
      <c r="F97">
        <v>75959</v>
      </c>
      <c r="G97">
        <v>0</v>
      </c>
      <c r="H97">
        <v>28</v>
      </c>
      <c r="I97">
        <v>3305735.68</v>
      </c>
      <c r="J97" t="s">
        <v>46</v>
      </c>
      <c r="K97" t="s">
        <v>33</v>
      </c>
      <c r="L97">
        <f t="shared" si="1"/>
        <v>1182995</v>
      </c>
    </row>
    <row r="98" spans="1:12" x14ac:dyDescent="0.3">
      <c r="A98" t="s">
        <v>145</v>
      </c>
      <c r="B98" t="s">
        <v>18</v>
      </c>
      <c r="C98" t="s">
        <v>35</v>
      </c>
      <c r="D98" t="s">
        <v>36</v>
      </c>
      <c r="E98">
        <v>35</v>
      </c>
      <c r="F98">
        <v>80507</v>
      </c>
      <c r="G98">
        <v>10</v>
      </c>
      <c r="H98">
        <v>28</v>
      </c>
      <c r="I98">
        <v>3246042.24</v>
      </c>
      <c r="J98" t="s">
        <v>21</v>
      </c>
      <c r="K98" t="s">
        <v>16</v>
      </c>
      <c r="L98">
        <f t="shared" si="1"/>
        <v>1182995</v>
      </c>
    </row>
    <row r="99" spans="1:12" x14ac:dyDescent="0.3">
      <c r="A99" t="s">
        <v>184</v>
      </c>
      <c r="B99" t="s">
        <v>18</v>
      </c>
      <c r="C99" t="s">
        <v>29</v>
      </c>
      <c r="D99" t="s">
        <v>30</v>
      </c>
      <c r="E99">
        <v>13</v>
      </c>
      <c r="F99">
        <v>13186</v>
      </c>
      <c r="G99">
        <v>10</v>
      </c>
      <c r="H99">
        <v>28</v>
      </c>
      <c r="I99">
        <v>197473.54</v>
      </c>
      <c r="J99" t="s">
        <v>15</v>
      </c>
      <c r="K99" t="s">
        <v>16</v>
      </c>
      <c r="L99">
        <f t="shared" si="1"/>
        <v>252741</v>
      </c>
    </row>
    <row r="100" spans="1:12" x14ac:dyDescent="0.3">
      <c r="A100" t="s">
        <v>90</v>
      </c>
      <c r="B100" t="s">
        <v>18</v>
      </c>
      <c r="C100" t="s">
        <v>24</v>
      </c>
      <c r="D100" t="s">
        <v>76</v>
      </c>
      <c r="E100">
        <v>14</v>
      </c>
      <c r="F100">
        <v>5971</v>
      </c>
      <c r="G100">
        <v>12</v>
      </c>
      <c r="H100">
        <v>18</v>
      </c>
      <c r="I100">
        <v>86804.01</v>
      </c>
      <c r="J100" t="s">
        <v>15</v>
      </c>
      <c r="K100" t="s">
        <v>38</v>
      </c>
      <c r="L100">
        <f t="shared" si="1"/>
        <v>932689</v>
      </c>
    </row>
    <row r="101" spans="1:12" x14ac:dyDescent="0.3">
      <c r="A101" t="s">
        <v>212</v>
      </c>
      <c r="B101" t="s">
        <v>18</v>
      </c>
      <c r="C101" t="s">
        <v>35</v>
      </c>
      <c r="D101" t="s">
        <v>77</v>
      </c>
      <c r="E101">
        <v>8</v>
      </c>
      <c r="F101">
        <v>23093</v>
      </c>
      <c r="G101">
        <v>12</v>
      </c>
      <c r="H101">
        <v>12</v>
      </c>
      <c r="I101">
        <v>182083.69</v>
      </c>
      <c r="J101" t="s">
        <v>37</v>
      </c>
      <c r="K101" t="s">
        <v>26</v>
      </c>
      <c r="L101">
        <f t="shared" si="1"/>
        <v>1182995</v>
      </c>
    </row>
    <row r="102" spans="1:12" x14ac:dyDescent="0.3">
      <c r="A102" t="s">
        <v>199</v>
      </c>
      <c r="B102" t="s">
        <v>18</v>
      </c>
      <c r="C102" t="s">
        <v>35</v>
      </c>
      <c r="D102" t="s">
        <v>56</v>
      </c>
      <c r="E102">
        <v>18</v>
      </c>
      <c r="F102">
        <v>36775</v>
      </c>
      <c r="G102">
        <v>10</v>
      </c>
      <c r="H102">
        <v>28</v>
      </c>
      <c r="I102">
        <v>762566.4</v>
      </c>
      <c r="J102" t="s">
        <v>21</v>
      </c>
      <c r="K102" t="s">
        <v>33</v>
      </c>
      <c r="L102">
        <f t="shared" si="1"/>
        <v>1182995</v>
      </c>
    </row>
    <row r="103" spans="1:12" x14ac:dyDescent="0.3">
      <c r="A103" t="s">
        <v>166</v>
      </c>
      <c r="B103" t="s">
        <v>18</v>
      </c>
      <c r="C103" t="s">
        <v>35</v>
      </c>
      <c r="D103" t="s">
        <v>56</v>
      </c>
      <c r="E103">
        <v>29</v>
      </c>
      <c r="F103">
        <v>79667</v>
      </c>
      <c r="G103">
        <v>12</v>
      </c>
      <c r="H103">
        <v>18</v>
      </c>
      <c r="I103">
        <v>2399060.17</v>
      </c>
      <c r="J103" t="s">
        <v>37</v>
      </c>
      <c r="K103" t="s">
        <v>38</v>
      </c>
      <c r="L103">
        <f t="shared" si="1"/>
        <v>1182995</v>
      </c>
    </row>
    <row r="104" spans="1:12" x14ac:dyDescent="0.3">
      <c r="A104" t="s">
        <v>202</v>
      </c>
      <c r="B104" t="s">
        <v>18</v>
      </c>
      <c r="C104" t="s">
        <v>24</v>
      </c>
      <c r="D104" t="s">
        <v>25</v>
      </c>
      <c r="E104">
        <v>2</v>
      </c>
      <c r="F104">
        <v>32696</v>
      </c>
      <c r="G104">
        <v>0</v>
      </c>
      <c r="H104">
        <v>12</v>
      </c>
      <c r="I104">
        <v>73239.039999999994</v>
      </c>
      <c r="J104" t="s">
        <v>46</v>
      </c>
      <c r="K104" t="s">
        <v>26</v>
      </c>
      <c r="L104">
        <f t="shared" si="1"/>
        <v>932689</v>
      </c>
    </row>
    <row r="105" spans="1:12" x14ac:dyDescent="0.3">
      <c r="A105" t="s">
        <v>142</v>
      </c>
      <c r="B105" t="s">
        <v>18</v>
      </c>
      <c r="C105" t="s">
        <v>24</v>
      </c>
      <c r="D105" t="s">
        <v>25</v>
      </c>
      <c r="E105">
        <v>14</v>
      </c>
      <c r="F105">
        <v>19519</v>
      </c>
      <c r="G105">
        <v>12</v>
      </c>
      <c r="H105">
        <v>12</v>
      </c>
      <c r="I105">
        <v>269330.96999999997</v>
      </c>
      <c r="J105" t="s">
        <v>46</v>
      </c>
      <c r="K105" t="s">
        <v>26</v>
      </c>
      <c r="L105">
        <f t="shared" si="1"/>
        <v>932689</v>
      </c>
    </row>
    <row r="106" spans="1:12" x14ac:dyDescent="0.3">
      <c r="A106" t="s">
        <v>219</v>
      </c>
      <c r="B106" t="s">
        <v>18</v>
      </c>
      <c r="C106" t="s">
        <v>24</v>
      </c>
      <c r="D106" t="s">
        <v>76</v>
      </c>
      <c r="E106">
        <v>39</v>
      </c>
      <c r="F106">
        <v>15593</v>
      </c>
      <c r="G106">
        <v>0</v>
      </c>
      <c r="H106">
        <v>18</v>
      </c>
      <c r="I106">
        <v>717589.86</v>
      </c>
      <c r="J106" t="s">
        <v>46</v>
      </c>
      <c r="K106" t="s">
        <v>16</v>
      </c>
      <c r="L106">
        <f t="shared" si="1"/>
        <v>932689</v>
      </c>
    </row>
    <row r="107" spans="1:12" x14ac:dyDescent="0.3">
      <c r="A107" t="s">
        <v>57</v>
      </c>
      <c r="B107" t="s">
        <v>18</v>
      </c>
      <c r="C107" t="s">
        <v>35</v>
      </c>
      <c r="D107" t="s">
        <v>36</v>
      </c>
      <c r="E107">
        <v>30</v>
      </c>
      <c r="F107">
        <v>66960</v>
      </c>
      <c r="G107">
        <v>0</v>
      </c>
      <c r="H107">
        <v>18</v>
      </c>
      <c r="I107">
        <v>2370384</v>
      </c>
      <c r="J107" t="s">
        <v>21</v>
      </c>
      <c r="K107" t="s">
        <v>16</v>
      </c>
      <c r="L107">
        <f t="shared" si="1"/>
        <v>1182995</v>
      </c>
    </row>
    <row r="108" spans="1:12" x14ac:dyDescent="0.3">
      <c r="A108" t="s">
        <v>205</v>
      </c>
      <c r="B108" t="s">
        <v>18</v>
      </c>
      <c r="C108" t="s">
        <v>24</v>
      </c>
      <c r="D108" t="s">
        <v>40</v>
      </c>
      <c r="E108">
        <v>7</v>
      </c>
      <c r="F108">
        <v>71365</v>
      </c>
      <c r="G108">
        <v>10</v>
      </c>
      <c r="H108">
        <v>28</v>
      </c>
      <c r="I108">
        <v>575487.36</v>
      </c>
      <c r="J108" t="s">
        <v>46</v>
      </c>
      <c r="K108" t="s">
        <v>26</v>
      </c>
      <c r="L108">
        <f t="shared" si="1"/>
        <v>932689</v>
      </c>
    </row>
    <row r="109" spans="1:12" x14ac:dyDescent="0.3">
      <c r="A109" t="s">
        <v>88</v>
      </c>
      <c r="B109" t="s">
        <v>18</v>
      </c>
      <c r="C109" t="s">
        <v>13</v>
      </c>
      <c r="D109" t="s">
        <v>32</v>
      </c>
      <c r="E109">
        <v>30</v>
      </c>
      <c r="F109">
        <v>75129</v>
      </c>
      <c r="G109">
        <v>0</v>
      </c>
      <c r="H109">
        <v>18</v>
      </c>
      <c r="I109">
        <v>2659566.6</v>
      </c>
      <c r="J109" t="s">
        <v>46</v>
      </c>
      <c r="K109" t="s">
        <v>16</v>
      </c>
      <c r="L109">
        <f t="shared" si="1"/>
        <v>667863</v>
      </c>
    </row>
    <row r="110" spans="1:12" x14ac:dyDescent="0.3">
      <c r="A110" t="s">
        <v>100</v>
      </c>
      <c r="B110" t="s">
        <v>18</v>
      </c>
      <c r="C110" t="s">
        <v>13</v>
      </c>
      <c r="D110" t="s">
        <v>32</v>
      </c>
      <c r="E110">
        <v>11</v>
      </c>
      <c r="F110">
        <v>25693</v>
      </c>
      <c r="G110">
        <v>0</v>
      </c>
      <c r="H110">
        <v>18</v>
      </c>
      <c r="I110">
        <v>333495.14</v>
      </c>
      <c r="J110" t="s">
        <v>15</v>
      </c>
      <c r="K110" t="s">
        <v>33</v>
      </c>
      <c r="L110">
        <f t="shared" si="1"/>
        <v>667863</v>
      </c>
    </row>
    <row r="111" spans="1:12" x14ac:dyDescent="0.3">
      <c r="A111" t="s">
        <v>47</v>
      </c>
      <c r="B111" t="s">
        <v>18</v>
      </c>
      <c r="C111" t="s">
        <v>35</v>
      </c>
      <c r="D111" t="s">
        <v>56</v>
      </c>
      <c r="E111">
        <v>18</v>
      </c>
      <c r="F111">
        <v>18952</v>
      </c>
      <c r="G111">
        <v>0</v>
      </c>
      <c r="H111">
        <v>28</v>
      </c>
      <c r="I111">
        <v>436654.08000000002</v>
      </c>
      <c r="J111" t="s">
        <v>46</v>
      </c>
      <c r="K111" t="s">
        <v>16</v>
      </c>
      <c r="L111">
        <f t="shared" si="1"/>
        <v>1182995</v>
      </c>
    </row>
    <row r="112" spans="1:12" x14ac:dyDescent="0.3">
      <c r="A112" t="s">
        <v>171</v>
      </c>
      <c r="B112" t="s">
        <v>18</v>
      </c>
      <c r="C112" t="s">
        <v>62</v>
      </c>
      <c r="D112" t="s">
        <v>92</v>
      </c>
      <c r="E112">
        <v>26</v>
      </c>
      <c r="F112">
        <v>40329</v>
      </c>
      <c r="G112">
        <v>5</v>
      </c>
      <c r="H112">
        <v>18</v>
      </c>
      <c r="I112">
        <v>1175429.03</v>
      </c>
      <c r="J112" t="s">
        <v>37</v>
      </c>
      <c r="K112" t="s">
        <v>26</v>
      </c>
      <c r="L112">
        <f t="shared" si="1"/>
        <v>678305</v>
      </c>
    </row>
    <row r="113" spans="1:12" x14ac:dyDescent="0.3">
      <c r="A113" t="s">
        <v>134</v>
      </c>
      <c r="B113" t="s">
        <v>18</v>
      </c>
      <c r="C113" t="s">
        <v>24</v>
      </c>
      <c r="D113" t="s">
        <v>25</v>
      </c>
      <c r="E113">
        <v>14</v>
      </c>
      <c r="F113">
        <v>11451</v>
      </c>
      <c r="G113">
        <v>5</v>
      </c>
      <c r="H113">
        <v>28</v>
      </c>
      <c r="I113">
        <v>194941.82</v>
      </c>
      <c r="J113" t="s">
        <v>21</v>
      </c>
      <c r="K113" t="s">
        <v>16</v>
      </c>
      <c r="L113">
        <f t="shared" si="1"/>
        <v>932689</v>
      </c>
    </row>
  </sheetData>
  <conditionalFormatting sqref="I1:I1048576">
    <cfRule type="duplicateValues" dxfId="0" priority="1"/>
  </conditionalFormatting>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L113"/>
  <sheetViews>
    <sheetView topLeftCell="C1" workbookViewId="0">
      <selection activeCell="L2" sqref="L2"/>
    </sheetView>
  </sheetViews>
  <sheetFormatPr defaultRowHeight="14.4" x14ac:dyDescent="0.3"/>
  <cols>
    <col min="1" max="1" width="15.88671875" bestFit="1" customWidth="1"/>
    <col min="2" max="2" width="18" bestFit="1" customWidth="1"/>
    <col min="3" max="3" width="16" bestFit="1" customWidth="1"/>
    <col min="4" max="4" width="14.109375" bestFit="1" customWidth="1"/>
    <col min="5" max="5" width="6.21875" bestFit="1" customWidth="1"/>
    <col min="6" max="6" width="11.88671875" bestFit="1" customWidth="1"/>
    <col min="7" max="7" width="13" bestFit="1" customWidth="1"/>
    <col min="9" max="9" width="15.44140625" bestFit="1" customWidth="1"/>
    <col min="10" max="10" width="12.77734375" bestFit="1" customWidth="1"/>
    <col min="11" max="11" width="16.88671875" bestFit="1" customWidth="1"/>
  </cols>
  <sheetData>
    <row r="1" spans="1:12" x14ac:dyDescent="0.3">
      <c r="A1" t="s">
        <v>0</v>
      </c>
      <c r="B1" t="s">
        <v>1</v>
      </c>
      <c r="C1" t="s">
        <v>2</v>
      </c>
      <c r="D1" t="s">
        <v>3</v>
      </c>
      <c r="E1" t="s">
        <v>4</v>
      </c>
      <c r="F1" t="s">
        <v>5</v>
      </c>
      <c r="G1" t="s">
        <v>6</v>
      </c>
      <c r="H1" t="s">
        <v>7</v>
      </c>
      <c r="I1" t="s">
        <v>8</v>
      </c>
      <c r="J1" t="s">
        <v>9</v>
      </c>
      <c r="K1" t="s">
        <v>10</v>
      </c>
      <c r="L1" t="s">
        <v>251</v>
      </c>
    </row>
    <row r="2" spans="1:12" x14ac:dyDescent="0.3">
      <c r="A2" t="s">
        <v>138</v>
      </c>
      <c r="B2" t="s">
        <v>70</v>
      </c>
      <c r="C2" t="s">
        <v>62</v>
      </c>
      <c r="D2" t="s">
        <v>92</v>
      </c>
      <c r="E2">
        <v>33</v>
      </c>
      <c r="F2">
        <v>22028</v>
      </c>
      <c r="G2">
        <v>12</v>
      </c>
      <c r="H2">
        <v>12</v>
      </c>
      <c r="I2">
        <v>716456.29</v>
      </c>
      <c r="J2" t="s">
        <v>37</v>
      </c>
      <c r="K2" t="s">
        <v>38</v>
      </c>
      <c r="L2">
        <f t="shared" ref="L2:L33" si="0">SUMIF(C:C,C2,F:F)</f>
        <v>849162</v>
      </c>
    </row>
    <row r="3" spans="1:12" x14ac:dyDescent="0.3">
      <c r="A3" t="s">
        <v>224</v>
      </c>
      <c r="B3" t="s">
        <v>70</v>
      </c>
      <c r="C3" t="s">
        <v>13</v>
      </c>
      <c r="D3" t="s">
        <v>14</v>
      </c>
      <c r="E3">
        <v>15</v>
      </c>
      <c r="F3">
        <v>51978</v>
      </c>
      <c r="G3">
        <v>5</v>
      </c>
      <c r="H3">
        <v>18</v>
      </c>
      <c r="I3">
        <v>874010.07</v>
      </c>
      <c r="J3" t="s">
        <v>37</v>
      </c>
      <c r="K3" t="s">
        <v>38</v>
      </c>
      <c r="L3">
        <f t="shared" si="0"/>
        <v>456978</v>
      </c>
    </row>
    <row r="4" spans="1:12" x14ac:dyDescent="0.3">
      <c r="A4" t="s">
        <v>109</v>
      </c>
      <c r="B4" t="s">
        <v>70</v>
      </c>
      <c r="C4" t="s">
        <v>35</v>
      </c>
      <c r="D4" t="s">
        <v>36</v>
      </c>
      <c r="E4">
        <v>40</v>
      </c>
      <c r="F4">
        <v>70248</v>
      </c>
      <c r="G4">
        <v>10</v>
      </c>
      <c r="H4">
        <v>12</v>
      </c>
      <c r="I4">
        <v>2832399.36</v>
      </c>
      <c r="J4" t="s">
        <v>46</v>
      </c>
      <c r="K4" t="s">
        <v>16</v>
      </c>
      <c r="L4">
        <f t="shared" si="0"/>
        <v>1101560</v>
      </c>
    </row>
    <row r="5" spans="1:12" x14ac:dyDescent="0.3">
      <c r="A5" t="s">
        <v>169</v>
      </c>
      <c r="B5" t="s">
        <v>70</v>
      </c>
      <c r="C5" t="s">
        <v>44</v>
      </c>
      <c r="D5" t="s">
        <v>45</v>
      </c>
      <c r="E5">
        <v>38</v>
      </c>
      <c r="F5">
        <v>22155</v>
      </c>
      <c r="G5">
        <v>0</v>
      </c>
      <c r="H5">
        <v>12</v>
      </c>
      <c r="I5">
        <v>942916.8</v>
      </c>
      <c r="J5" t="s">
        <v>15</v>
      </c>
      <c r="K5" t="s">
        <v>26</v>
      </c>
      <c r="L5">
        <f t="shared" si="0"/>
        <v>476723</v>
      </c>
    </row>
    <row r="6" spans="1:12" x14ac:dyDescent="0.3">
      <c r="A6" t="s">
        <v>201</v>
      </c>
      <c r="B6" t="s">
        <v>70</v>
      </c>
      <c r="C6" t="s">
        <v>35</v>
      </c>
      <c r="D6" t="s">
        <v>56</v>
      </c>
      <c r="E6">
        <v>40</v>
      </c>
      <c r="F6">
        <v>77829</v>
      </c>
      <c r="G6">
        <v>10</v>
      </c>
      <c r="H6">
        <v>12</v>
      </c>
      <c r="I6">
        <v>3138065.28</v>
      </c>
      <c r="J6" t="s">
        <v>37</v>
      </c>
      <c r="K6" t="s">
        <v>38</v>
      </c>
      <c r="L6">
        <f t="shared" si="0"/>
        <v>1101560</v>
      </c>
    </row>
    <row r="7" spans="1:12" x14ac:dyDescent="0.3">
      <c r="A7" t="s">
        <v>171</v>
      </c>
      <c r="B7" t="s">
        <v>70</v>
      </c>
      <c r="C7" t="s">
        <v>48</v>
      </c>
      <c r="D7" t="s">
        <v>49</v>
      </c>
      <c r="E7">
        <v>31</v>
      </c>
      <c r="F7">
        <v>21808</v>
      </c>
      <c r="G7">
        <v>12</v>
      </c>
      <c r="H7">
        <v>28</v>
      </c>
      <c r="I7">
        <v>761500.47</v>
      </c>
      <c r="J7" t="s">
        <v>21</v>
      </c>
      <c r="K7" t="s">
        <v>38</v>
      </c>
      <c r="L7">
        <f t="shared" si="0"/>
        <v>1011725</v>
      </c>
    </row>
    <row r="8" spans="1:12" x14ac:dyDescent="0.3">
      <c r="A8" t="s">
        <v>129</v>
      </c>
      <c r="B8" t="s">
        <v>70</v>
      </c>
      <c r="C8" t="s">
        <v>35</v>
      </c>
      <c r="D8" t="s">
        <v>36</v>
      </c>
      <c r="E8">
        <v>35</v>
      </c>
      <c r="F8">
        <v>21053</v>
      </c>
      <c r="G8">
        <v>10</v>
      </c>
      <c r="H8">
        <v>18</v>
      </c>
      <c r="I8">
        <v>782540.01</v>
      </c>
      <c r="J8" t="s">
        <v>21</v>
      </c>
      <c r="K8" t="s">
        <v>16</v>
      </c>
      <c r="L8">
        <f t="shared" si="0"/>
        <v>1101560</v>
      </c>
    </row>
    <row r="9" spans="1:12" x14ac:dyDescent="0.3">
      <c r="A9" t="s">
        <v>67</v>
      </c>
      <c r="B9" t="s">
        <v>70</v>
      </c>
      <c r="C9" t="s">
        <v>35</v>
      </c>
      <c r="D9" t="s">
        <v>77</v>
      </c>
      <c r="E9">
        <v>7</v>
      </c>
      <c r="F9">
        <v>81732</v>
      </c>
      <c r="G9">
        <v>0</v>
      </c>
      <c r="H9">
        <v>28</v>
      </c>
      <c r="I9">
        <v>732318.71999999997</v>
      </c>
      <c r="J9" t="s">
        <v>21</v>
      </c>
      <c r="K9" t="s">
        <v>33</v>
      </c>
      <c r="L9">
        <f t="shared" si="0"/>
        <v>1101560</v>
      </c>
    </row>
    <row r="10" spans="1:12" x14ac:dyDescent="0.3">
      <c r="A10" t="s">
        <v>135</v>
      </c>
      <c r="B10" t="s">
        <v>70</v>
      </c>
      <c r="C10" t="s">
        <v>62</v>
      </c>
      <c r="D10" t="s">
        <v>63</v>
      </c>
      <c r="E10">
        <v>14</v>
      </c>
      <c r="F10">
        <v>83430</v>
      </c>
      <c r="G10">
        <v>5</v>
      </c>
      <c r="H10">
        <v>28</v>
      </c>
      <c r="I10">
        <v>1420312.32</v>
      </c>
      <c r="J10" t="s">
        <v>46</v>
      </c>
      <c r="K10" t="s">
        <v>38</v>
      </c>
      <c r="L10">
        <f t="shared" si="0"/>
        <v>849162</v>
      </c>
    </row>
    <row r="11" spans="1:12" x14ac:dyDescent="0.3">
      <c r="A11" t="s">
        <v>163</v>
      </c>
      <c r="B11" t="s">
        <v>70</v>
      </c>
      <c r="C11" t="s">
        <v>24</v>
      </c>
      <c r="D11" t="s">
        <v>40</v>
      </c>
      <c r="E11">
        <v>2</v>
      </c>
      <c r="F11">
        <v>78327</v>
      </c>
      <c r="G11">
        <v>10</v>
      </c>
      <c r="H11">
        <v>28</v>
      </c>
      <c r="I11">
        <v>180465.41</v>
      </c>
      <c r="J11" t="s">
        <v>46</v>
      </c>
      <c r="K11" t="s">
        <v>38</v>
      </c>
      <c r="L11">
        <f t="shared" si="0"/>
        <v>891533</v>
      </c>
    </row>
    <row r="12" spans="1:12" x14ac:dyDescent="0.3">
      <c r="A12" t="s">
        <v>65</v>
      </c>
      <c r="B12" t="s">
        <v>70</v>
      </c>
      <c r="C12" t="s">
        <v>19</v>
      </c>
      <c r="D12" t="s">
        <v>20</v>
      </c>
      <c r="E12">
        <v>14</v>
      </c>
      <c r="F12">
        <v>58072</v>
      </c>
      <c r="G12">
        <v>0</v>
      </c>
      <c r="H12">
        <v>12</v>
      </c>
      <c r="I12">
        <v>910568.95999999996</v>
      </c>
      <c r="J12" t="s">
        <v>46</v>
      </c>
      <c r="K12" t="s">
        <v>38</v>
      </c>
      <c r="L12">
        <f t="shared" si="0"/>
        <v>252125</v>
      </c>
    </row>
    <row r="13" spans="1:12" x14ac:dyDescent="0.3">
      <c r="A13" t="s">
        <v>156</v>
      </c>
      <c r="B13" t="s">
        <v>70</v>
      </c>
      <c r="C13" t="s">
        <v>13</v>
      </c>
      <c r="D13" t="s">
        <v>32</v>
      </c>
      <c r="E13">
        <v>36</v>
      </c>
      <c r="F13">
        <v>2250</v>
      </c>
      <c r="G13">
        <v>12</v>
      </c>
      <c r="H13">
        <v>18</v>
      </c>
      <c r="I13">
        <v>84110.399999999994</v>
      </c>
      <c r="J13" t="s">
        <v>46</v>
      </c>
      <c r="K13" t="s">
        <v>33</v>
      </c>
      <c r="L13">
        <f t="shared" si="0"/>
        <v>456978</v>
      </c>
    </row>
    <row r="14" spans="1:12" x14ac:dyDescent="0.3">
      <c r="A14" t="s">
        <v>216</v>
      </c>
      <c r="B14" t="s">
        <v>70</v>
      </c>
      <c r="C14" t="s">
        <v>35</v>
      </c>
      <c r="D14" t="s">
        <v>36</v>
      </c>
      <c r="E14">
        <v>10</v>
      </c>
      <c r="F14">
        <v>48996</v>
      </c>
      <c r="G14">
        <v>10</v>
      </c>
      <c r="H14">
        <v>28</v>
      </c>
      <c r="I14">
        <v>564433.92000000004</v>
      </c>
      <c r="J14" t="s">
        <v>21</v>
      </c>
      <c r="K14" t="s">
        <v>38</v>
      </c>
      <c r="L14">
        <f t="shared" si="0"/>
        <v>1101560</v>
      </c>
    </row>
    <row r="15" spans="1:12" x14ac:dyDescent="0.3">
      <c r="A15" t="s">
        <v>41</v>
      </c>
      <c r="B15" t="s">
        <v>70</v>
      </c>
      <c r="C15" t="s">
        <v>44</v>
      </c>
      <c r="D15" t="s">
        <v>45</v>
      </c>
      <c r="E15">
        <v>10</v>
      </c>
      <c r="F15">
        <v>1942</v>
      </c>
      <c r="G15">
        <v>12</v>
      </c>
      <c r="H15">
        <v>12</v>
      </c>
      <c r="I15">
        <v>19140.349999999999</v>
      </c>
      <c r="J15" t="s">
        <v>15</v>
      </c>
      <c r="K15" t="s">
        <v>16</v>
      </c>
      <c r="L15">
        <f t="shared" si="0"/>
        <v>476723</v>
      </c>
    </row>
    <row r="16" spans="1:12" x14ac:dyDescent="0.3">
      <c r="A16" t="s">
        <v>210</v>
      </c>
      <c r="B16" t="s">
        <v>70</v>
      </c>
      <c r="C16" t="s">
        <v>13</v>
      </c>
      <c r="D16" t="s">
        <v>32</v>
      </c>
      <c r="E16">
        <v>13</v>
      </c>
      <c r="F16">
        <v>67030</v>
      </c>
      <c r="G16">
        <v>0</v>
      </c>
      <c r="H16">
        <v>28</v>
      </c>
      <c r="I16">
        <v>1115379.2</v>
      </c>
      <c r="J16" t="s">
        <v>46</v>
      </c>
      <c r="K16" t="s">
        <v>26</v>
      </c>
      <c r="L16">
        <f t="shared" si="0"/>
        <v>456978</v>
      </c>
    </row>
    <row r="17" spans="1:12" x14ac:dyDescent="0.3">
      <c r="A17" t="s">
        <v>93</v>
      </c>
      <c r="B17" t="s">
        <v>70</v>
      </c>
      <c r="C17" t="s">
        <v>48</v>
      </c>
      <c r="D17" t="s">
        <v>49</v>
      </c>
      <c r="E17">
        <v>33</v>
      </c>
      <c r="F17">
        <v>61126</v>
      </c>
      <c r="G17">
        <v>5</v>
      </c>
      <c r="H17">
        <v>28</v>
      </c>
      <c r="I17">
        <v>2452864.13</v>
      </c>
      <c r="J17" t="s">
        <v>46</v>
      </c>
      <c r="K17" t="s">
        <v>26</v>
      </c>
      <c r="L17">
        <f t="shared" si="0"/>
        <v>1011725</v>
      </c>
    </row>
    <row r="18" spans="1:12" x14ac:dyDescent="0.3">
      <c r="A18" t="s">
        <v>114</v>
      </c>
      <c r="B18" t="s">
        <v>70</v>
      </c>
      <c r="C18" t="s">
        <v>24</v>
      </c>
      <c r="D18" t="s">
        <v>76</v>
      </c>
      <c r="E18">
        <v>9</v>
      </c>
      <c r="F18">
        <v>46432</v>
      </c>
      <c r="G18">
        <v>12</v>
      </c>
      <c r="H18">
        <v>28</v>
      </c>
      <c r="I18">
        <v>470709.04</v>
      </c>
      <c r="J18" t="s">
        <v>37</v>
      </c>
      <c r="K18" t="s">
        <v>16</v>
      </c>
      <c r="L18">
        <f t="shared" si="0"/>
        <v>891533</v>
      </c>
    </row>
    <row r="19" spans="1:12" x14ac:dyDescent="0.3">
      <c r="A19" t="s">
        <v>222</v>
      </c>
      <c r="B19" t="s">
        <v>70</v>
      </c>
      <c r="C19" t="s">
        <v>44</v>
      </c>
      <c r="D19" t="s">
        <v>51</v>
      </c>
      <c r="E19">
        <v>12</v>
      </c>
      <c r="F19">
        <v>20309</v>
      </c>
      <c r="G19">
        <v>0</v>
      </c>
      <c r="H19">
        <v>12</v>
      </c>
      <c r="I19">
        <v>272952.96000000002</v>
      </c>
      <c r="J19" t="s">
        <v>46</v>
      </c>
      <c r="K19" t="s">
        <v>33</v>
      </c>
      <c r="L19">
        <f t="shared" si="0"/>
        <v>476723</v>
      </c>
    </row>
    <row r="20" spans="1:12" x14ac:dyDescent="0.3">
      <c r="A20" t="s">
        <v>186</v>
      </c>
      <c r="B20" t="s">
        <v>70</v>
      </c>
      <c r="C20" t="s">
        <v>44</v>
      </c>
      <c r="D20" t="s">
        <v>45</v>
      </c>
      <c r="E20">
        <v>3</v>
      </c>
      <c r="F20">
        <v>34770</v>
      </c>
      <c r="G20">
        <v>5</v>
      </c>
      <c r="H20">
        <v>12</v>
      </c>
      <c r="I20">
        <v>110985.84</v>
      </c>
      <c r="J20" t="s">
        <v>15</v>
      </c>
      <c r="K20" t="s">
        <v>38</v>
      </c>
      <c r="L20">
        <f t="shared" si="0"/>
        <v>476723</v>
      </c>
    </row>
    <row r="21" spans="1:12" x14ac:dyDescent="0.3">
      <c r="A21" t="s">
        <v>69</v>
      </c>
      <c r="B21" t="s">
        <v>70</v>
      </c>
      <c r="C21" t="s">
        <v>24</v>
      </c>
      <c r="D21" t="s">
        <v>76</v>
      </c>
      <c r="E21">
        <v>7</v>
      </c>
      <c r="F21">
        <v>45710</v>
      </c>
      <c r="G21">
        <v>10</v>
      </c>
      <c r="H21">
        <v>28</v>
      </c>
      <c r="I21">
        <v>368605.44</v>
      </c>
      <c r="J21" t="s">
        <v>46</v>
      </c>
      <c r="K21" t="s">
        <v>38</v>
      </c>
      <c r="L21">
        <f t="shared" si="0"/>
        <v>891533</v>
      </c>
    </row>
    <row r="22" spans="1:12" x14ac:dyDescent="0.3">
      <c r="A22" t="s">
        <v>65</v>
      </c>
      <c r="B22" t="s">
        <v>70</v>
      </c>
      <c r="C22" t="s">
        <v>13</v>
      </c>
      <c r="D22" t="s">
        <v>32</v>
      </c>
      <c r="E22">
        <v>16</v>
      </c>
      <c r="F22">
        <v>34832</v>
      </c>
      <c r="G22">
        <v>10</v>
      </c>
      <c r="H22">
        <v>28</v>
      </c>
      <c r="I22">
        <v>642023.42000000004</v>
      </c>
      <c r="J22" t="s">
        <v>37</v>
      </c>
      <c r="K22" t="s">
        <v>33</v>
      </c>
      <c r="L22">
        <f t="shared" si="0"/>
        <v>456978</v>
      </c>
    </row>
    <row r="23" spans="1:12" x14ac:dyDescent="0.3">
      <c r="A23" t="s">
        <v>177</v>
      </c>
      <c r="B23" t="s">
        <v>70</v>
      </c>
      <c r="C23" t="s">
        <v>13</v>
      </c>
      <c r="D23" t="s">
        <v>32</v>
      </c>
      <c r="E23">
        <v>3</v>
      </c>
      <c r="F23">
        <v>25549</v>
      </c>
      <c r="G23">
        <v>0</v>
      </c>
      <c r="H23">
        <v>28</v>
      </c>
      <c r="I23">
        <v>98108.160000000003</v>
      </c>
      <c r="J23" t="s">
        <v>21</v>
      </c>
      <c r="K23" t="s">
        <v>33</v>
      </c>
      <c r="L23">
        <f t="shared" si="0"/>
        <v>456978</v>
      </c>
    </row>
    <row r="24" spans="1:12" x14ac:dyDescent="0.3">
      <c r="A24" t="s">
        <v>195</v>
      </c>
      <c r="B24" t="s">
        <v>70</v>
      </c>
      <c r="C24" t="s">
        <v>48</v>
      </c>
      <c r="D24" t="s">
        <v>59</v>
      </c>
      <c r="E24">
        <v>15</v>
      </c>
      <c r="F24">
        <v>83484</v>
      </c>
      <c r="G24">
        <v>12</v>
      </c>
      <c r="H24">
        <v>12</v>
      </c>
      <c r="I24">
        <v>1234227.46</v>
      </c>
      <c r="J24" t="s">
        <v>15</v>
      </c>
      <c r="K24" t="s">
        <v>38</v>
      </c>
      <c r="L24">
        <f t="shared" si="0"/>
        <v>1011725</v>
      </c>
    </row>
    <row r="25" spans="1:12" x14ac:dyDescent="0.3">
      <c r="A25" t="s">
        <v>113</v>
      </c>
      <c r="B25" t="s">
        <v>70</v>
      </c>
      <c r="C25" t="s">
        <v>35</v>
      </c>
      <c r="D25" t="s">
        <v>77</v>
      </c>
      <c r="E25">
        <v>34</v>
      </c>
      <c r="F25">
        <v>10122</v>
      </c>
      <c r="G25">
        <v>0</v>
      </c>
      <c r="H25">
        <v>28</v>
      </c>
      <c r="I25">
        <v>440509.44</v>
      </c>
      <c r="J25" t="s">
        <v>37</v>
      </c>
      <c r="K25" t="s">
        <v>38</v>
      </c>
      <c r="L25">
        <f t="shared" si="0"/>
        <v>1101560</v>
      </c>
    </row>
    <row r="26" spans="1:12" x14ac:dyDescent="0.3">
      <c r="A26" t="s">
        <v>170</v>
      </c>
      <c r="B26" t="s">
        <v>70</v>
      </c>
      <c r="C26" t="s">
        <v>44</v>
      </c>
      <c r="D26" t="s">
        <v>45</v>
      </c>
      <c r="E26">
        <v>15</v>
      </c>
      <c r="F26">
        <v>10190</v>
      </c>
      <c r="G26">
        <v>10</v>
      </c>
      <c r="H26">
        <v>12</v>
      </c>
      <c r="I26">
        <v>154072.79999999999</v>
      </c>
      <c r="J26" t="s">
        <v>21</v>
      </c>
      <c r="K26" t="s">
        <v>26</v>
      </c>
      <c r="L26">
        <f t="shared" si="0"/>
        <v>476723</v>
      </c>
    </row>
    <row r="27" spans="1:12" x14ac:dyDescent="0.3">
      <c r="A27" t="s">
        <v>228</v>
      </c>
      <c r="B27" t="s">
        <v>70</v>
      </c>
      <c r="C27" t="s">
        <v>62</v>
      </c>
      <c r="D27" t="s">
        <v>63</v>
      </c>
      <c r="E27">
        <v>23</v>
      </c>
      <c r="F27">
        <v>43481</v>
      </c>
      <c r="G27">
        <v>12</v>
      </c>
      <c r="H27">
        <v>18</v>
      </c>
      <c r="I27">
        <v>1038465.42</v>
      </c>
      <c r="J27" t="s">
        <v>46</v>
      </c>
      <c r="K27" t="s">
        <v>26</v>
      </c>
      <c r="L27">
        <f t="shared" si="0"/>
        <v>849162</v>
      </c>
    </row>
    <row r="28" spans="1:12" x14ac:dyDescent="0.3">
      <c r="A28" t="s">
        <v>183</v>
      </c>
      <c r="B28" t="s">
        <v>70</v>
      </c>
      <c r="C28" t="s">
        <v>62</v>
      </c>
      <c r="D28" t="s">
        <v>63</v>
      </c>
      <c r="E28">
        <v>5</v>
      </c>
      <c r="F28">
        <v>60648</v>
      </c>
      <c r="G28">
        <v>12</v>
      </c>
      <c r="H28">
        <v>18</v>
      </c>
      <c r="I28">
        <v>314884.42</v>
      </c>
      <c r="J28" t="s">
        <v>46</v>
      </c>
      <c r="K28" t="s">
        <v>26</v>
      </c>
      <c r="L28">
        <f t="shared" si="0"/>
        <v>849162</v>
      </c>
    </row>
    <row r="29" spans="1:12" x14ac:dyDescent="0.3">
      <c r="A29" t="s">
        <v>132</v>
      </c>
      <c r="B29" t="s">
        <v>70</v>
      </c>
      <c r="C29" t="s">
        <v>44</v>
      </c>
      <c r="D29" t="s">
        <v>51</v>
      </c>
      <c r="E29">
        <v>12</v>
      </c>
      <c r="F29">
        <v>4247</v>
      </c>
      <c r="G29">
        <v>5</v>
      </c>
      <c r="H29">
        <v>12</v>
      </c>
      <c r="I29">
        <v>54225.7</v>
      </c>
      <c r="J29" t="s">
        <v>21</v>
      </c>
      <c r="K29" t="s">
        <v>33</v>
      </c>
      <c r="L29">
        <f t="shared" si="0"/>
        <v>476723</v>
      </c>
    </row>
    <row r="30" spans="1:12" x14ac:dyDescent="0.3">
      <c r="A30" t="s">
        <v>152</v>
      </c>
      <c r="B30" t="s">
        <v>70</v>
      </c>
      <c r="C30" t="s">
        <v>24</v>
      </c>
      <c r="D30" t="s">
        <v>76</v>
      </c>
      <c r="E30">
        <v>1</v>
      </c>
      <c r="F30">
        <v>47856</v>
      </c>
      <c r="G30">
        <v>12</v>
      </c>
      <c r="H30">
        <v>12</v>
      </c>
      <c r="I30">
        <v>47166.87</v>
      </c>
      <c r="J30" t="s">
        <v>37</v>
      </c>
      <c r="K30" t="s">
        <v>26</v>
      </c>
      <c r="L30">
        <f t="shared" si="0"/>
        <v>891533</v>
      </c>
    </row>
    <row r="31" spans="1:12" x14ac:dyDescent="0.3">
      <c r="A31" t="s">
        <v>66</v>
      </c>
      <c r="B31" t="s">
        <v>70</v>
      </c>
      <c r="C31" t="s">
        <v>24</v>
      </c>
      <c r="D31" t="s">
        <v>76</v>
      </c>
      <c r="E31">
        <v>30</v>
      </c>
      <c r="F31">
        <v>82429</v>
      </c>
      <c r="G31">
        <v>10</v>
      </c>
      <c r="H31">
        <v>18</v>
      </c>
      <c r="I31">
        <v>2626187.94</v>
      </c>
      <c r="J31" t="s">
        <v>46</v>
      </c>
      <c r="K31" t="s">
        <v>38</v>
      </c>
      <c r="L31">
        <f t="shared" si="0"/>
        <v>891533</v>
      </c>
    </row>
    <row r="32" spans="1:12" x14ac:dyDescent="0.3">
      <c r="A32" t="s">
        <v>99</v>
      </c>
      <c r="B32" t="s">
        <v>70</v>
      </c>
      <c r="C32" t="s">
        <v>35</v>
      </c>
      <c r="D32" t="s">
        <v>56</v>
      </c>
      <c r="E32">
        <v>18</v>
      </c>
      <c r="F32">
        <v>24801</v>
      </c>
      <c r="G32">
        <v>12</v>
      </c>
      <c r="H32">
        <v>18</v>
      </c>
      <c r="I32">
        <v>463560.45</v>
      </c>
      <c r="J32" t="s">
        <v>46</v>
      </c>
      <c r="K32" t="s">
        <v>38</v>
      </c>
      <c r="L32">
        <f t="shared" si="0"/>
        <v>1101560</v>
      </c>
    </row>
    <row r="33" spans="1:12" x14ac:dyDescent="0.3">
      <c r="A33" t="s">
        <v>112</v>
      </c>
      <c r="B33" t="s">
        <v>70</v>
      </c>
      <c r="C33" t="s">
        <v>62</v>
      </c>
      <c r="D33" t="s">
        <v>63</v>
      </c>
      <c r="E33">
        <v>29</v>
      </c>
      <c r="F33">
        <v>80768</v>
      </c>
      <c r="G33">
        <v>5</v>
      </c>
      <c r="H33">
        <v>18</v>
      </c>
      <c r="I33">
        <v>2625686.91</v>
      </c>
      <c r="J33" t="s">
        <v>37</v>
      </c>
      <c r="K33" t="s">
        <v>33</v>
      </c>
      <c r="L33">
        <f t="shared" si="0"/>
        <v>849162</v>
      </c>
    </row>
    <row r="34" spans="1:12" x14ac:dyDescent="0.3">
      <c r="A34" t="s">
        <v>229</v>
      </c>
      <c r="B34" t="s">
        <v>70</v>
      </c>
      <c r="C34" t="s">
        <v>35</v>
      </c>
      <c r="D34" t="s">
        <v>36</v>
      </c>
      <c r="E34">
        <v>7</v>
      </c>
      <c r="F34">
        <v>53331</v>
      </c>
      <c r="G34">
        <v>0</v>
      </c>
      <c r="H34">
        <v>18</v>
      </c>
      <c r="I34">
        <v>440514.06</v>
      </c>
      <c r="J34" t="s">
        <v>46</v>
      </c>
      <c r="K34" t="s">
        <v>26</v>
      </c>
      <c r="L34">
        <f t="shared" ref="L34:L65" si="1">SUMIF(C:C,C34,F:F)</f>
        <v>1101560</v>
      </c>
    </row>
    <row r="35" spans="1:12" x14ac:dyDescent="0.3">
      <c r="A35" t="s">
        <v>196</v>
      </c>
      <c r="B35" t="s">
        <v>70</v>
      </c>
      <c r="C35" t="s">
        <v>19</v>
      </c>
      <c r="D35" t="s">
        <v>20</v>
      </c>
      <c r="E35">
        <v>36</v>
      </c>
      <c r="F35">
        <v>36568</v>
      </c>
      <c r="G35">
        <v>10</v>
      </c>
      <c r="H35">
        <v>28</v>
      </c>
      <c r="I35">
        <v>1516548.1</v>
      </c>
      <c r="J35" t="s">
        <v>37</v>
      </c>
      <c r="K35" t="s">
        <v>16</v>
      </c>
      <c r="L35">
        <f t="shared" si="1"/>
        <v>252125</v>
      </c>
    </row>
    <row r="36" spans="1:12" x14ac:dyDescent="0.3">
      <c r="A36" t="s">
        <v>73</v>
      </c>
      <c r="B36" t="s">
        <v>70</v>
      </c>
      <c r="C36" t="s">
        <v>29</v>
      </c>
      <c r="D36" t="s">
        <v>30</v>
      </c>
      <c r="E36">
        <v>5</v>
      </c>
      <c r="F36">
        <v>76211</v>
      </c>
      <c r="G36">
        <v>0</v>
      </c>
      <c r="H36">
        <v>18</v>
      </c>
      <c r="I36">
        <v>449644.9</v>
      </c>
      <c r="J36" t="s">
        <v>15</v>
      </c>
      <c r="K36" t="s">
        <v>38</v>
      </c>
      <c r="L36">
        <f t="shared" si="1"/>
        <v>145011</v>
      </c>
    </row>
    <row r="37" spans="1:12" x14ac:dyDescent="0.3">
      <c r="A37" t="s">
        <v>174</v>
      </c>
      <c r="B37" t="s">
        <v>70</v>
      </c>
      <c r="C37" t="s">
        <v>48</v>
      </c>
      <c r="D37" t="s">
        <v>49</v>
      </c>
      <c r="E37">
        <v>31</v>
      </c>
      <c r="F37">
        <v>3307</v>
      </c>
      <c r="G37">
        <v>5</v>
      </c>
      <c r="H37">
        <v>28</v>
      </c>
      <c r="I37">
        <v>124660.67</v>
      </c>
      <c r="J37" t="s">
        <v>15</v>
      </c>
      <c r="K37" t="s">
        <v>38</v>
      </c>
      <c r="L37">
        <f t="shared" si="1"/>
        <v>1011725</v>
      </c>
    </row>
    <row r="38" spans="1:12" x14ac:dyDescent="0.3">
      <c r="A38" t="s">
        <v>180</v>
      </c>
      <c r="B38" t="s">
        <v>70</v>
      </c>
      <c r="C38" t="s">
        <v>48</v>
      </c>
      <c r="D38" t="s">
        <v>49</v>
      </c>
      <c r="E38">
        <v>15</v>
      </c>
      <c r="F38">
        <v>6837</v>
      </c>
      <c r="G38">
        <v>10</v>
      </c>
      <c r="H38">
        <v>12</v>
      </c>
      <c r="I38">
        <v>103375.44</v>
      </c>
      <c r="J38" t="s">
        <v>15</v>
      </c>
      <c r="K38" t="s">
        <v>38</v>
      </c>
      <c r="L38">
        <f t="shared" si="1"/>
        <v>1011725</v>
      </c>
    </row>
    <row r="39" spans="1:12" x14ac:dyDescent="0.3">
      <c r="A39" t="s">
        <v>11</v>
      </c>
      <c r="B39" t="s">
        <v>70</v>
      </c>
      <c r="C39" t="s">
        <v>44</v>
      </c>
      <c r="D39" t="s">
        <v>51</v>
      </c>
      <c r="E39">
        <v>7</v>
      </c>
      <c r="F39">
        <v>6723</v>
      </c>
      <c r="G39">
        <v>10</v>
      </c>
      <c r="H39">
        <v>18</v>
      </c>
      <c r="I39">
        <v>49978.78</v>
      </c>
      <c r="J39" t="s">
        <v>37</v>
      </c>
      <c r="K39" t="s">
        <v>38</v>
      </c>
      <c r="L39">
        <f t="shared" si="1"/>
        <v>476723</v>
      </c>
    </row>
    <row r="40" spans="1:12" x14ac:dyDescent="0.3">
      <c r="A40" t="s">
        <v>206</v>
      </c>
      <c r="B40" t="s">
        <v>70</v>
      </c>
      <c r="C40" t="s">
        <v>13</v>
      </c>
      <c r="D40" t="s">
        <v>32</v>
      </c>
      <c r="E40">
        <v>26</v>
      </c>
      <c r="F40">
        <v>69969</v>
      </c>
      <c r="G40">
        <v>5</v>
      </c>
      <c r="H40">
        <v>12</v>
      </c>
      <c r="I40">
        <v>1935622.42</v>
      </c>
      <c r="J40" t="s">
        <v>46</v>
      </c>
      <c r="K40" t="s">
        <v>16</v>
      </c>
      <c r="L40">
        <f t="shared" si="1"/>
        <v>456978</v>
      </c>
    </row>
    <row r="41" spans="1:12" x14ac:dyDescent="0.3">
      <c r="A41" t="s">
        <v>149</v>
      </c>
      <c r="B41" t="s">
        <v>70</v>
      </c>
      <c r="C41" t="s">
        <v>35</v>
      </c>
      <c r="D41" t="s">
        <v>77</v>
      </c>
      <c r="E41">
        <v>27</v>
      </c>
      <c r="F41">
        <v>7330</v>
      </c>
      <c r="G41">
        <v>10</v>
      </c>
      <c r="H41">
        <v>18</v>
      </c>
      <c r="I41">
        <v>210180.42</v>
      </c>
      <c r="J41" t="s">
        <v>21</v>
      </c>
      <c r="K41" t="s">
        <v>16</v>
      </c>
      <c r="L41">
        <f t="shared" si="1"/>
        <v>1101560</v>
      </c>
    </row>
    <row r="42" spans="1:12" x14ac:dyDescent="0.3">
      <c r="A42" t="s">
        <v>117</v>
      </c>
      <c r="B42" t="s">
        <v>70</v>
      </c>
      <c r="C42" t="s">
        <v>48</v>
      </c>
      <c r="D42" t="s">
        <v>59</v>
      </c>
      <c r="E42">
        <v>34</v>
      </c>
      <c r="F42">
        <v>56784</v>
      </c>
      <c r="G42">
        <v>0</v>
      </c>
      <c r="H42">
        <v>12</v>
      </c>
      <c r="I42">
        <v>2162334.7200000002</v>
      </c>
      <c r="J42" t="s">
        <v>37</v>
      </c>
      <c r="K42" t="s">
        <v>16</v>
      </c>
      <c r="L42">
        <f t="shared" si="1"/>
        <v>1011725</v>
      </c>
    </row>
    <row r="43" spans="1:12" x14ac:dyDescent="0.3">
      <c r="A43" t="s">
        <v>149</v>
      </c>
      <c r="B43" t="s">
        <v>70</v>
      </c>
      <c r="C43" t="s">
        <v>35</v>
      </c>
      <c r="D43" t="s">
        <v>36</v>
      </c>
      <c r="E43">
        <v>30</v>
      </c>
      <c r="F43">
        <v>34296</v>
      </c>
      <c r="G43">
        <v>12</v>
      </c>
      <c r="H43">
        <v>18</v>
      </c>
      <c r="I43">
        <v>1068388.99</v>
      </c>
      <c r="J43" t="s">
        <v>46</v>
      </c>
      <c r="K43" t="s">
        <v>33</v>
      </c>
      <c r="L43">
        <f t="shared" si="1"/>
        <v>1101560</v>
      </c>
    </row>
    <row r="44" spans="1:12" x14ac:dyDescent="0.3">
      <c r="A44" t="s">
        <v>209</v>
      </c>
      <c r="B44" t="s">
        <v>70</v>
      </c>
      <c r="C44" t="s">
        <v>35</v>
      </c>
      <c r="D44" t="s">
        <v>77</v>
      </c>
      <c r="E44">
        <v>33</v>
      </c>
      <c r="F44">
        <v>67339</v>
      </c>
      <c r="G44">
        <v>12</v>
      </c>
      <c r="H44">
        <v>18</v>
      </c>
      <c r="I44">
        <v>2307518.98</v>
      </c>
      <c r="J44" t="s">
        <v>15</v>
      </c>
      <c r="K44" t="s">
        <v>33</v>
      </c>
      <c r="L44">
        <f t="shared" si="1"/>
        <v>1101560</v>
      </c>
    </row>
    <row r="45" spans="1:12" x14ac:dyDescent="0.3">
      <c r="A45" t="s">
        <v>230</v>
      </c>
      <c r="B45" t="s">
        <v>70</v>
      </c>
      <c r="C45" t="s">
        <v>35</v>
      </c>
      <c r="D45" t="s">
        <v>77</v>
      </c>
      <c r="E45">
        <v>32</v>
      </c>
      <c r="F45">
        <v>20254</v>
      </c>
      <c r="G45">
        <v>0</v>
      </c>
      <c r="H45">
        <v>12</v>
      </c>
      <c r="I45">
        <v>725903.35999999999</v>
      </c>
      <c r="J45" t="s">
        <v>15</v>
      </c>
      <c r="K45" t="s">
        <v>33</v>
      </c>
      <c r="L45">
        <f t="shared" si="1"/>
        <v>1101560</v>
      </c>
    </row>
    <row r="46" spans="1:12" x14ac:dyDescent="0.3">
      <c r="A46" t="s">
        <v>73</v>
      </c>
      <c r="B46" t="s">
        <v>70</v>
      </c>
      <c r="C46" t="s">
        <v>48</v>
      </c>
      <c r="D46" t="s">
        <v>49</v>
      </c>
      <c r="E46">
        <v>26</v>
      </c>
      <c r="F46">
        <v>42860</v>
      </c>
      <c r="G46">
        <v>5</v>
      </c>
      <c r="H46">
        <v>28</v>
      </c>
      <c r="I46">
        <v>1355061.76</v>
      </c>
      <c r="J46" t="s">
        <v>37</v>
      </c>
      <c r="K46" t="s">
        <v>33</v>
      </c>
      <c r="L46">
        <f t="shared" si="1"/>
        <v>1011725</v>
      </c>
    </row>
    <row r="47" spans="1:12" x14ac:dyDescent="0.3">
      <c r="A47" t="s">
        <v>75</v>
      </c>
      <c r="B47" t="s">
        <v>70</v>
      </c>
      <c r="C47" t="s">
        <v>13</v>
      </c>
      <c r="D47" t="s">
        <v>32</v>
      </c>
      <c r="E47">
        <v>30</v>
      </c>
      <c r="F47">
        <v>3640</v>
      </c>
      <c r="G47">
        <v>10</v>
      </c>
      <c r="H47">
        <v>12</v>
      </c>
      <c r="I47">
        <v>110073.60000000001</v>
      </c>
      <c r="J47" t="s">
        <v>46</v>
      </c>
      <c r="K47" t="s">
        <v>38</v>
      </c>
      <c r="L47">
        <f t="shared" si="1"/>
        <v>456978</v>
      </c>
    </row>
    <row r="48" spans="1:12" x14ac:dyDescent="0.3">
      <c r="A48" t="s">
        <v>31</v>
      </c>
      <c r="B48" t="s">
        <v>70</v>
      </c>
      <c r="C48" t="s">
        <v>48</v>
      </c>
      <c r="D48" t="s">
        <v>59</v>
      </c>
      <c r="E48">
        <v>12</v>
      </c>
      <c r="F48">
        <v>65781</v>
      </c>
      <c r="G48">
        <v>12</v>
      </c>
      <c r="H48">
        <v>28</v>
      </c>
      <c r="I48">
        <v>889148.62</v>
      </c>
      <c r="J48" t="s">
        <v>46</v>
      </c>
      <c r="K48" t="s">
        <v>38</v>
      </c>
      <c r="L48">
        <f t="shared" si="1"/>
        <v>1011725</v>
      </c>
    </row>
    <row r="49" spans="1:12" x14ac:dyDescent="0.3">
      <c r="A49" t="s">
        <v>65</v>
      </c>
      <c r="B49" t="s">
        <v>70</v>
      </c>
      <c r="C49" t="s">
        <v>35</v>
      </c>
      <c r="D49" t="s">
        <v>36</v>
      </c>
      <c r="E49">
        <v>5</v>
      </c>
      <c r="F49">
        <v>52783</v>
      </c>
      <c r="G49">
        <v>0</v>
      </c>
      <c r="H49">
        <v>12</v>
      </c>
      <c r="I49">
        <v>295584.8</v>
      </c>
      <c r="J49" t="s">
        <v>46</v>
      </c>
      <c r="K49" t="s">
        <v>26</v>
      </c>
      <c r="L49">
        <f t="shared" si="1"/>
        <v>1101560</v>
      </c>
    </row>
    <row r="50" spans="1:12" x14ac:dyDescent="0.3">
      <c r="A50" t="s">
        <v>203</v>
      </c>
      <c r="B50" t="s">
        <v>70</v>
      </c>
      <c r="C50" t="s">
        <v>48</v>
      </c>
      <c r="D50" t="s">
        <v>59</v>
      </c>
      <c r="E50">
        <v>9</v>
      </c>
      <c r="F50">
        <v>78105</v>
      </c>
      <c r="G50">
        <v>5</v>
      </c>
      <c r="H50">
        <v>12</v>
      </c>
      <c r="I50">
        <v>747933.48</v>
      </c>
      <c r="J50" t="s">
        <v>21</v>
      </c>
      <c r="K50" t="s">
        <v>38</v>
      </c>
      <c r="L50">
        <f t="shared" si="1"/>
        <v>1011725</v>
      </c>
    </row>
    <row r="51" spans="1:12" x14ac:dyDescent="0.3">
      <c r="A51" t="s">
        <v>83</v>
      </c>
      <c r="B51" t="s">
        <v>70</v>
      </c>
      <c r="C51" t="s">
        <v>62</v>
      </c>
      <c r="D51" t="s">
        <v>63</v>
      </c>
      <c r="E51">
        <v>24</v>
      </c>
      <c r="F51">
        <v>72322</v>
      </c>
      <c r="G51">
        <v>0</v>
      </c>
      <c r="H51">
        <v>12</v>
      </c>
      <c r="I51">
        <v>1944015.36</v>
      </c>
      <c r="J51" t="s">
        <v>37</v>
      </c>
      <c r="K51" t="s">
        <v>38</v>
      </c>
      <c r="L51">
        <f t="shared" si="1"/>
        <v>849162</v>
      </c>
    </row>
    <row r="52" spans="1:12" x14ac:dyDescent="0.3">
      <c r="A52" t="s">
        <v>224</v>
      </c>
      <c r="B52" t="s">
        <v>70</v>
      </c>
      <c r="C52" t="s">
        <v>62</v>
      </c>
      <c r="D52" t="s">
        <v>92</v>
      </c>
      <c r="E52">
        <v>20</v>
      </c>
      <c r="F52">
        <v>36048</v>
      </c>
      <c r="G52">
        <v>10</v>
      </c>
      <c r="H52">
        <v>18</v>
      </c>
      <c r="I52">
        <v>765659.52</v>
      </c>
      <c r="J52" t="s">
        <v>21</v>
      </c>
      <c r="K52" t="s">
        <v>33</v>
      </c>
      <c r="L52">
        <f t="shared" si="1"/>
        <v>849162</v>
      </c>
    </row>
    <row r="53" spans="1:12" x14ac:dyDescent="0.3">
      <c r="A53" t="s">
        <v>160</v>
      </c>
      <c r="B53" t="s">
        <v>70</v>
      </c>
      <c r="C53" t="s">
        <v>48</v>
      </c>
      <c r="D53" t="s">
        <v>49</v>
      </c>
      <c r="E53">
        <v>9</v>
      </c>
      <c r="F53">
        <v>68293</v>
      </c>
      <c r="G53">
        <v>12</v>
      </c>
      <c r="H53">
        <v>28</v>
      </c>
      <c r="I53">
        <v>692327.12</v>
      </c>
      <c r="J53" t="s">
        <v>15</v>
      </c>
      <c r="K53" t="s">
        <v>33</v>
      </c>
      <c r="L53">
        <f t="shared" si="1"/>
        <v>1011725</v>
      </c>
    </row>
    <row r="54" spans="1:12" x14ac:dyDescent="0.3">
      <c r="A54" t="s">
        <v>181</v>
      </c>
      <c r="B54" t="s">
        <v>70</v>
      </c>
      <c r="C54" t="s">
        <v>29</v>
      </c>
      <c r="D54" t="s">
        <v>30</v>
      </c>
      <c r="E54">
        <v>36</v>
      </c>
      <c r="F54">
        <v>45483</v>
      </c>
      <c r="G54">
        <v>12</v>
      </c>
      <c r="H54">
        <v>12</v>
      </c>
      <c r="I54">
        <v>1613809.61</v>
      </c>
      <c r="J54" t="s">
        <v>15</v>
      </c>
      <c r="K54" t="s">
        <v>38</v>
      </c>
      <c r="L54">
        <f t="shared" si="1"/>
        <v>145011</v>
      </c>
    </row>
    <row r="55" spans="1:12" x14ac:dyDescent="0.3">
      <c r="A55" t="s">
        <v>139</v>
      </c>
      <c r="B55" t="s">
        <v>70</v>
      </c>
      <c r="C55" t="s">
        <v>24</v>
      </c>
      <c r="D55" t="s">
        <v>76</v>
      </c>
      <c r="E55">
        <v>31</v>
      </c>
      <c r="F55">
        <v>51505</v>
      </c>
      <c r="G55">
        <v>0</v>
      </c>
      <c r="H55">
        <v>12</v>
      </c>
      <c r="I55">
        <v>1788253.6</v>
      </c>
      <c r="J55" t="s">
        <v>15</v>
      </c>
      <c r="K55" t="s">
        <v>33</v>
      </c>
      <c r="L55">
        <f t="shared" si="1"/>
        <v>891533</v>
      </c>
    </row>
    <row r="56" spans="1:12" x14ac:dyDescent="0.3">
      <c r="A56" t="s">
        <v>180</v>
      </c>
      <c r="B56" t="s">
        <v>70</v>
      </c>
      <c r="C56" t="s">
        <v>62</v>
      </c>
      <c r="D56" t="s">
        <v>63</v>
      </c>
      <c r="E56">
        <v>39</v>
      </c>
      <c r="F56">
        <v>70505</v>
      </c>
      <c r="G56">
        <v>5</v>
      </c>
      <c r="H56">
        <v>12</v>
      </c>
      <c r="I56">
        <v>2925675.48</v>
      </c>
      <c r="J56" t="s">
        <v>15</v>
      </c>
      <c r="K56" t="s">
        <v>26</v>
      </c>
      <c r="L56">
        <f t="shared" si="1"/>
        <v>849162</v>
      </c>
    </row>
    <row r="57" spans="1:12" x14ac:dyDescent="0.3">
      <c r="A57" t="s">
        <v>22</v>
      </c>
      <c r="B57" t="s">
        <v>70</v>
      </c>
      <c r="C57" t="s">
        <v>44</v>
      </c>
      <c r="D57" t="s">
        <v>51</v>
      </c>
      <c r="E57">
        <v>14</v>
      </c>
      <c r="F57">
        <v>35857</v>
      </c>
      <c r="G57">
        <v>10</v>
      </c>
      <c r="H57">
        <v>28</v>
      </c>
      <c r="I57">
        <v>578301.69999999995</v>
      </c>
      <c r="J57" t="s">
        <v>15</v>
      </c>
      <c r="K57" t="s">
        <v>38</v>
      </c>
      <c r="L57">
        <f t="shared" si="1"/>
        <v>476723</v>
      </c>
    </row>
    <row r="58" spans="1:12" x14ac:dyDescent="0.3">
      <c r="A58" t="s">
        <v>159</v>
      </c>
      <c r="B58" t="s">
        <v>70</v>
      </c>
      <c r="C58" t="s">
        <v>24</v>
      </c>
      <c r="D58" t="s">
        <v>40</v>
      </c>
      <c r="E58">
        <v>26</v>
      </c>
      <c r="F58">
        <v>66629</v>
      </c>
      <c r="G58">
        <v>12</v>
      </c>
      <c r="H58">
        <v>18</v>
      </c>
      <c r="I58">
        <v>1798876.39</v>
      </c>
      <c r="J58" t="s">
        <v>15</v>
      </c>
      <c r="K58" t="s">
        <v>16</v>
      </c>
      <c r="L58">
        <f t="shared" si="1"/>
        <v>891533</v>
      </c>
    </row>
    <row r="59" spans="1:12" x14ac:dyDescent="0.3">
      <c r="A59" t="s">
        <v>205</v>
      </c>
      <c r="B59" t="s">
        <v>70</v>
      </c>
      <c r="C59" t="s">
        <v>48</v>
      </c>
      <c r="D59" t="s">
        <v>59</v>
      </c>
      <c r="E59">
        <v>22</v>
      </c>
      <c r="F59">
        <v>48459</v>
      </c>
      <c r="G59">
        <v>12</v>
      </c>
      <c r="H59">
        <v>12</v>
      </c>
      <c r="I59">
        <v>1050746.19</v>
      </c>
      <c r="J59" t="s">
        <v>37</v>
      </c>
      <c r="K59" t="s">
        <v>26</v>
      </c>
      <c r="L59">
        <f t="shared" si="1"/>
        <v>1011725</v>
      </c>
    </row>
    <row r="60" spans="1:12" x14ac:dyDescent="0.3">
      <c r="A60" t="s">
        <v>164</v>
      </c>
      <c r="B60" t="s">
        <v>70</v>
      </c>
      <c r="C60" t="s">
        <v>62</v>
      </c>
      <c r="D60" t="s">
        <v>92</v>
      </c>
      <c r="E60">
        <v>20</v>
      </c>
      <c r="F60">
        <v>71572</v>
      </c>
      <c r="G60">
        <v>12</v>
      </c>
      <c r="H60">
        <v>28</v>
      </c>
      <c r="I60">
        <v>1612374.02</v>
      </c>
      <c r="J60" t="s">
        <v>15</v>
      </c>
      <c r="K60" t="s">
        <v>16</v>
      </c>
      <c r="L60">
        <f t="shared" si="1"/>
        <v>849162</v>
      </c>
    </row>
    <row r="61" spans="1:12" x14ac:dyDescent="0.3">
      <c r="A61" t="s">
        <v>128</v>
      </c>
      <c r="B61" t="s">
        <v>70</v>
      </c>
      <c r="C61" t="s">
        <v>24</v>
      </c>
      <c r="D61" t="s">
        <v>76</v>
      </c>
      <c r="E61">
        <v>36</v>
      </c>
      <c r="F61">
        <v>29208</v>
      </c>
      <c r="G61">
        <v>5</v>
      </c>
      <c r="H61">
        <v>12</v>
      </c>
      <c r="I61">
        <v>1118783.23</v>
      </c>
      <c r="J61" t="s">
        <v>46</v>
      </c>
      <c r="K61" t="s">
        <v>33</v>
      </c>
      <c r="L61">
        <f t="shared" si="1"/>
        <v>891533</v>
      </c>
    </row>
    <row r="62" spans="1:12" x14ac:dyDescent="0.3">
      <c r="A62" t="s">
        <v>213</v>
      </c>
      <c r="B62" t="s">
        <v>70</v>
      </c>
      <c r="C62" t="s">
        <v>48</v>
      </c>
      <c r="D62" t="s">
        <v>59</v>
      </c>
      <c r="E62">
        <v>10</v>
      </c>
      <c r="F62">
        <v>62554</v>
      </c>
      <c r="G62">
        <v>10</v>
      </c>
      <c r="H62">
        <v>28</v>
      </c>
      <c r="I62">
        <v>720622.07999999996</v>
      </c>
      <c r="J62" t="s">
        <v>21</v>
      </c>
      <c r="K62" t="s">
        <v>16</v>
      </c>
      <c r="L62">
        <f t="shared" si="1"/>
        <v>1011725</v>
      </c>
    </row>
    <row r="63" spans="1:12" x14ac:dyDescent="0.3">
      <c r="A63" t="s">
        <v>68</v>
      </c>
      <c r="B63" t="s">
        <v>70</v>
      </c>
      <c r="C63" t="s">
        <v>44</v>
      </c>
      <c r="D63" t="s">
        <v>51</v>
      </c>
      <c r="E63">
        <v>40</v>
      </c>
      <c r="F63">
        <v>54353</v>
      </c>
      <c r="G63">
        <v>10</v>
      </c>
      <c r="H63">
        <v>28</v>
      </c>
      <c r="I63">
        <v>2504586.2400000002</v>
      </c>
      <c r="J63" t="s">
        <v>46</v>
      </c>
      <c r="K63" t="s">
        <v>38</v>
      </c>
      <c r="L63">
        <f t="shared" si="1"/>
        <v>476723</v>
      </c>
    </row>
    <row r="64" spans="1:12" x14ac:dyDescent="0.3">
      <c r="A64" t="s">
        <v>155</v>
      </c>
      <c r="B64" t="s">
        <v>70</v>
      </c>
      <c r="C64" t="s">
        <v>24</v>
      </c>
      <c r="D64" t="s">
        <v>40</v>
      </c>
      <c r="E64">
        <v>25</v>
      </c>
      <c r="F64">
        <v>42129</v>
      </c>
      <c r="G64">
        <v>0</v>
      </c>
      <c r="H64">
        <v>12</v>
      </c>
      <c r="I64">
        <v>1179612</v>
      </c>
      <c r="J64" t="s">
        <v>46</v>
      </c>
      <c r="K64" t="s">
        <v>33</v>
      </c>
      <c r="L64">
        <f t="shared" si="1"/>
        <v>891533</v>
      </c>
    </row>
    <row r="65" spans="1:12" x14ac:dyDescent="0.3">
      <c r="A65" t="s">
        <v>85</v>
      </c>
      <c r="B65" t="s">
        <v>70</v>
      </c>
      <c r="C65" t="s">
        <v>13</v>
      </c>
      <c r="D65" t="s">
        <v>32</v>
      </c>
      <c r="E65">
        <v>20</v>
      </c>
      <c r="F65">
        <v>6480</v>
      </c>
      <c r="G65">
        <v>0</v>
      </c>
      <c r="H65">
        <v>18</v>
      </c>
      <c r="I65">
        <v>152928</v>
      </c>
      <c r="J65" t="s">
        <v>15</v>
      </c>
      <c r="K65" t="s">
        <v>38</v>
      </c>
      <c r="L65">
        <f t="shared" si="1"/>
        <v>456978</v>
      </c>
    </row>
    <row r="66" spans="1:12" x14ac:dyDescent="0.3">
      <c r="A66" t="s">
        <v>126</v>
      </c>
      <c r="B66" t="s">
        <v>70</v>
      </c>
      <c r="C66" t="s">
        <v>35</v>
      </c>
      <c r="D66" t="s">
        <v>56</v>
      </c>
      <c r="E66">
        <v>31</v>
      </c>
      <c r="F66">
        <v>40147</v>
      </c>
      <c r="G66">
        <v>10</v>
      </c>
      <c r="H66">
        <v>12</v>
      </c>
      <c r="I66">
        <v>1254513.46</v>
      </c>
      <c r="J66" t="s">
        <v>21</v>
      </c>
      <c r="K66" t="s">
        <v>26</v>
      </c>
      <c r="L66">
        <f t="shared" ref="L66:L97" si="2">SUMIF(C:C,C66,F:F)</f>
        <v>1101560</v>
      </c>
    </row>
    <row r="67" spans="1:12" x14ac:dyDescent="0.3">
      <c r="A67" t="s">
        <v>61</v>
      </c>
      <c r="B67" t="s">
        <v>70</v>
      </c>
      <c r="C67" t="s">
        <v>13</v>
      </c>
      <c r="D67" t="s">
        <v>32</v>
      </c>
      <c r="E67">
        <v>17</v>
      </c>
      <c r="F67">
        <v>75286</v>
      </c>
      <c r="G67">
        <v>12</v>
      </c>
      <c r="H67">
        <v>12</v>
      </c>
      <c r="I67">
        <v>1261431.99</v>
      </c>
      <c r="J67" t="s">
        <v>46</v>
      </c>
      <c r="K67" t="s">
        <v>38</v>
      </c>
      <c r="L67">
        <f t="shared" si="2"/>
        <v>456978</v>
      </c>
    </row>
    <row r="68" spans="1:12" x14ac:dyDescent="0.3">
      <c r="A68" t="s">
        <v>22</v>
      </c>
      <c r="B68" t="s">
        <v>70</v>
      </c>
      <c r="C68" t="s">
        <v>35</v>
      </c>
      <c r="D68" t="s">
        <v>77</v>
      </c>
      <c r="E68">
        <v>32</v>
      </c>
      <c r="F68">
        <v>34730</v>
      </c>
      <c r="G68">
        <v>12</v>
      </c>
      <c r="H68">
        <v>28</v>
      </c>
      <c r="I68">
        <v>1251835.8999999999</v>
      </c>
      <c r="J68" t="s">
        <v>37</v>
      </c>
      <c r="K68" t="s">
        <v>33</v>
      </c>
      <c r="L68">
        <f t="shared" si="2"/>
        <v>1101560</v>
      </c>
    </row>
    <row r="69" spans="1:12" x14ac:dyDescent="0.3">
      <c r="A69" t="s">
        <v>79</v>
      </c>
      <c r="B69" t="s">
        <v>70</v>
      </c>
      <c r="C69" t="s">
        <v>13</v>
      </c>
      <c r="D69" t="s">
        <v>14</v>
      </c>
      <c r="E69">
        <v>35</v>
      </c>
      <c r="F69">
        <v>29358</v>
      </c>
      <c r="G69">
        <v>0</v>
      </c>
      <c r="H69">
        <v>12</v>
      </c>
      <c r="I69">
        <v>1150833.6000000001</v>
      </c>
      <c r="J69" t="s">
        <v>15</v>
      </c>
      <c r="K69" t="s">
        <v>38</v>
      </c>
      <c r="L69">
        <f t="shared" si="2"/>
        <v>456978</v>
      </c>
    </row>
    <row r="70" spans="1:12" x14ac:dyDescent="0.3">
      <c r="A70" t="s">
        <v>87</v>
      </c>
      <c r="B70" t="s">
        <v>70</v>
      </c>
      <c r="C70" t="s">
        <v>48</v>
      </c>
      <c r="D70" t="s">
        <v>49</v>
      </c>
      <c r="E70">
        <v>23</v>
      </c>
      <c r="F70">
        <v>36314</v>
      </c>
      <c r="G70">
        <v>0</v>
      </c>
      <c r="H70">
        <v>28</v>
      </c>
      <c r="I70">
        <v>1069084.1599999999</v>
      </c>
      <c r="J70" t="s">
        <v>15</v>
      </c>
      <c r="K70" t="s">
        <v>38</v>
      </c>
      <c r="L70">
        <f t="shared" si="2"/>
        <v>1011725</v>
      </c>
    </row>
    <row r="71" spans="1:12" x14ac:dyDescent="0.3">
      <c r="A71" t="s">
        <v>131</v>
      </c>
      <c r="B71" t="s">
        <v>70</v>
      </c>
      <c r="C71" t="s">
        <v>13</v>
      </c>
      <c r="D71" t="s">
        <v>32</v>
      </c>
      <c r="E71">
        <v>25</v>
      </c>
      <c r="F71">
        <v>75249</v>
      </c>
      <c r="G71">
        <v>5</v>
      </c>
      <c r="H71">
        <v>18</v>
      </c>
      <c r="I71">
        <v>2108853.23</v>
      </c>
      <c r="J71" t="s">
        <v>15</v>
      </c>
      <c r="K71" t="s">
        <v>26</v>
      </c>
      <c r="L71">
        <f t="shared" si="2"/>
        <v>456978</v>
      </c>
    </row>
    <row r="72" spans="1:12" x14ac:dyDescent="0.3">
      <c r="A72" t="s">
        <v>78</v>
      </c>
      <c r="B72" t="s">
        <v>70</v>
      </c>
      <c r="C72" t="s">
        <v>44</v>
      </c>
      <c r="D72" t="s">
        <v>51</v>
      </c>
      <c r="E72">
        <v>12</v>
      </c>
      <c r="F72">
        <v>35757</v>
      </c>
      <c r="G72">
        <v>0</v>
      </c>
      <c r="H72">
        <v>12</v>
      </c>
      <c r="I72">
        <v>480574.08</v>
      </c>
      <c r="J72" t="s">
        <v>15</v>
      </c>
      <c r="K72" t="s">
        <v>38</v>
      </c>
      <c r="L72">
        <f t="shared" si="2"/>
        <v>476723</v>
      </c>
    </row>
    <row r="73" spans="1:12" x14ac:dyDescent="0.3">
      <c r="A73" t="s">
        <v>155</v>
      </c>
      <c r="B73" t="s">
        <v>70</v>
      </c>
      <c r="C73" t="s">
        <v>13</v>
      </c>
      <c r="D73" t="s">
        <v>32</v>
      </c>
      <c r="E73">
        <v>39</v>
      </c>
      <c r="F73">
        <v>9158</v>
      </c>
      <c r="G73">
        <v>0</v>
      </c>
      <c r="H73">
        <v>12</v>
      </c>
      <c r="I73">
        <v>400021.44</v>
      </c>
      <c r="J73" t="s">
        <v>37</v>
      </c>
      <c r="K73" t="s">
        <v>26</v>
      </c>
      <c r="L73">
        <f t="shared" si="2"/>
        <v>456978</v>
      </c>
    </row>
    <row r="74" spans="1:12" x14ac:dyDescent="0.3">
      <c r="A74" t="s">
        <v>229</v>
      </c>
      <c r="B74" t="s">
        <v>70</v>
      </c>
      <c r="C74" t="s">
        <v>24</v>
      </c>
      <c r="D74" t="s">
        <v>40</v>
      </c>
      <c r="E74">
        <v>10</v>
      </c>
      <c r="F74">
        <v>63496</v>
      </c>
      <c r="G74">
        <v>0</v>
      </c>
      <c r="H74">
        <v>28</v>
      </c>
      <c r="I74">
        <v>812748.80000000005</v>
      </c>
      <c r="J74" t="s">
        <v>37</v>
      </c>
      <c r="K74" t="s">
        <v>26</v>
      </c>
      <c r="L74">
        <f t="shared" si="2"/>
        <v>891533</v>
      </c>
    </row>
    <row r="75" spans="1:12" x14ac:dyDescent="0.3">
      <c r="A75" t="s">
        <v>194</v>
      </c>
      <c r="B75" t="s">
        <v>70</v>
      </c>
      <c r="C75" t="s">
        <v>24</v>
      </c>
      <c r="D75" t="s">
        <v>76</v>
      </c>
      <c r="E75">
        <v>14</v>
      </c>
      <c r="F75">
        <v>13297</v>
      </c>
      <c r="G75">
        <v>0</v>
      </c>
      <c r="H75">
        <v>28</v>
      </c>
      <c r="I75">
        <v>238282.23999999999</v>
      </c>
      <c r="J75" t="s">
        <v>46</v>
      </c>
      <c r="K75" t="s">
        <v>38</v>
      </c>
      <c r="L75">
        <f t="shared" si="2"/>
        <v>891533</v>
      </c>
    </row>
    <row r="76" spans="1:12" x14ac:dyDescent="0.3">
      <c r="A76" t="s">
        <v>83</v>
      </c>
      <c r="B76" t="s">
        <v>70</v>
      </c>
      <c r="C76" t="s">
        <v>35</v>
      </c>
      <c r="D76" t="s">
        <v>36</v>
      </c>
      <c r="E76">
        <v>1</v>
      </c>
      <c r="F76">
        <v>73408</v>
      </c>
      <c r="G76">
        <v>10</v>
      </c>
      <c r="H76">
        <v>28</v>
      </c>
      <c r="I76">
        <v>84566.02</v>
      </c>
      <c r="J76" t="s">
        <v>15</v>
      </c>
      <c r="K76" t="s">
        <v>33</v>
      </c>
      <c r="L76">
        <f t="shared" si="2"/>
        <v>1101560</v>
      </c>
    </row>
    <row r="77" spans="1:12" x14ac:dyDescent="0.3">
      <c r="A77" t="s">
        <v>112</v>
      </c>
      <c r="B77" t="s">
        <v>70</v>
      </c>
      <c r="C77" t="s">
        <v>35</v>
      </c>
      <c r="D77" t="s">
        <v>36</v>
      </c>
      <c r="E77">
        <v>11</v>
      </c>
      <c r="F77">
        <v>79424</v>
      </c>
      <c r="G77">
        <v>0</v>
      </c>
      <c r="H77">
        <v>18</v>
      </c>
      <c r="I77">
        <v>1030923.52</v>
      </c>
      <c r="J77" t="s">
        <v>37</v>
      </c>
      <c r="K77" t="s">
        <v>26</v>
      </c>
      <c r="L77">
        <f t="shared" si="2"/>
        <v>1101560</v>
      </c>
    </row>
    <row r="78" spans="1:12" x14ac:dyDescent="0.3">
      <c r="A78" t="s">
        <v>158</v>
      </c>
      <c r="B78" t="s">
        <v>70</v>
      </c>
      <c r="C78" t="s">
        <v>35</v>
      </c>
      <c r="D78" t="s">
        <v>56</v>
      </c>
      <c r="E78">
        <v>12</v>
      </c>
      <c r="F78">
        <v>35317</v>
      </c>
      <c r="G78">
        <v>10</v>
      </c>
      <c r="H78">
        <v>12</v>
      </c>
      <c r="I78">
        <v>427194.43</v>
      </c>
      <c r="J78" t="s">
        <v>37</v>
      </c>
      <c r="K78" t="s">
        <v>26</v>
      </c>
      <c r="L78">
        <f t="shared" si="2"/>
        <v>1101560</v>
      </c>
    </row>
    <row r="79" spans="1:12" x14ac:dyDescent="0.3">
      <c r="A79" t="s">
        <v>194</v>
      </c>
      <c r="B79" t="s">
        <v>70</v>
      </c>
      <c r="C79" t="s">
        <v>48</v>
      </c>
      <c r="D79" t="s">
        <v>49</v>
      </c>
      <c r="E79">
        <v>17</v>
      </c>
      <c r="F79">
        <v>77938</v>
      </c>
      <c r="G79">
        <v>10</v>
      </c>
      <c r="H79">
        <v>12</v>
      </c>
      <c r="I79">
        <v>1335545.57</v>
      </c>
      <c r="J79" t="s">
        <v>21</v>
      </c>
      <c r="K79" t="s">
        <v>16</v>
      </c>
      <c r="L79">
        <f t="shared" si="2"/>
        <v>1011725</v>
      </c>
    </row>
    <row r="80" spans="1:12" x14ac:dyDescent="0.3">
      <c r="A80" t="s">
        <v>172</v>
      </c>
      <c r="B80" t="s">
        <v>70</v>
      </c>
      <c r="C80" t="s">
        <v>62</v>
      </c>
      <c r="D80" t="s">
        <v>92</v>
      </c>
      <c r="E80">
        <v>39</v>
      </c>
      <c r="F80">
        <v>66241</v>
      </c>
      <c r="G80">
        <v>0</v>
      </c>
      <c r="H80">
        <v>12</v>
      </c>
      <c r="I80">
        <v>2893406.88</v>
      </c>
      <c r="J80" t="s">
        <v>15</v>
      </c>
      <c r="K80" t="s">
        <v>38</v>
      </c>
      <c r="L80">
        <f t="shared" si="2"/>
        <v>849162</v>
      </c>
    </row>
    <row r="81" spans="1:12" x14ac:dyDescent="0.3">
      <c r="A81" t="s">
        <v>175</v>
      </c>
      <c r="B81" t="s">
        <v>70</v>
      </c>
      <c r="C81" t="s">
        <v>35</v>
      </c>
      <c r="D81" t="s">
        <v>77</v>
      </c>
      <c r="E81">
        <v>23</v>
      </c>
      <c r="F81">
        <v>71834</v>
      </c>
      <c r="G81">
        <v>10</v>
      </c>
      <c r="H81">
        <v>12</v>
      </c>
      <c r="I81">
        <v>1665399.46</v>
      </c>
      <c r="J81" t="s">
        <v>21</v>
      </c>
      <c r="K81" t="s">
        <v>16</v>
      </c>
      <c r="L81">
        <f t="shared" si="2"/>
        <v>1101560</v>
      </c>
    </row>
    <row r="82" spans="1:12" x14ac:dyDescent="0.3">
      <c r="A82" t="s">
        <v>47</v>
      </c>
      <c r="B82" t="s">
        <v>70</v>
      </c>
      <c r="C82" t="s">
        <v>35</v>
      </c>
      <c r="D82" t="s">
        <v>56</v>
      </c>
      <c r="E82">
        <v>29</v>
      </c>
      <c r="F82">
        <v>45470</v>
      </c>
      <c r="G82">
        <v>12</v>
      </c>
      <c r="H82">
        <v>28</v>
      </c>
      <c r="I82">
        <v>1485304.83</v>
      </c>
      <c r="J82" t="s">
        <v>37</v>
      </c>
      <c r="K82" t="s">
        <v>26</v>
      </c>
      <c r="L82">
        <f t="shared" si="2"/>
        <v>1101560</v>
      </c>
    </row>
    <row r="83" spans="1:12" x14ac:dyDescent="0.3">
      <c r="A83" t="s">
        <v>120</v>
      </c>
      <c r="B83" t="s">
        <v>70</v>
      </c>
      <c r="C83" t="s">
        <v>44</v>
      </c>
      <c r="D83" t="s">
        <v>51</v>
      </c>
      <c r="E83">
        <v>1</v>
      </c>
      <c r="F83">
        <v>13931</v>
      </c>
      <c r="G83">
        <v>12</v>
      </c>
      <c r="H83">
        <v>18</v>
      </c>
      <c r="I83">
        <v>14465.95</v>
      </c>
      <c r="J83" t="s">
        <v>37</v>
      </c>
      <c r="K83" t="s">
        <v>16</v>
      </c>
      <c r="L83">
        <f t="shared" si="2"/>
        <v>476723</v>
      </c>
    </row>
    <row r="84" spans="1:12" x14ac:dyDescent="0.3">
      <c r="A84" t="s">
        <v>121</v>
      </c>
      <c r="B84" t="s">
        <v>70</v>
      </c>
      <c r="C84" t="s">
        <v>29</v>
      </c>
      <c r="D84" t="s">
        <v>30</v>
      </c>
      <c r="E84">
        <v>35</v>
      </c>
      <c r="F84">
        <v>23317</v>
      </c>
      <c r="G84">
        <v>5</v>
      </c>
      <c r="H84">
        <v>28</v>
      </c>
      <c r="I84">
        <v>992371.52</v>
      </c>
      <c r="J84" t="s">
        <v>15</v>
      </c>
      <c r="K84" t="s">
        <v>33</v>
      </c>
      <c r="L84">
        <f t="shared" si="2"/>
        <v>145011</v>
      </c>
    </row>
    <row r="85" spans="1:12" x14ac:dyDescent="0.3">
      <c r="A85" t="s">
        <v>128</v>
      </c>
      <c r="B85" t="s">
        <v>70</v>
      </c>
      <c r="C85" t="s">
        <v>62</v>
      </c>
      <c r="D85" t="s">
        <v>92</v>
      </c>
      <c r="E85">
        <v>16</v>
      </c>
      <c r="F85">
        <v>42259</v>
      </c>
      <c r="G85">
        <v>10</v>
      </c>
      <c r="H85">
        <v>12</v>
      </c>
      <c r="I85">
        <v>681553.15</v>
      </c>
      <c r="J85" t="s">
        <v>21</v>
      </c>
      <c r="K85" t="s">
        <v>16</v>
      </c>
      <c r="L85">
        <f t="shared" si="2"/>
        <v>849162</v>
      </c>
    </row>
    <row r="86" spans="1:12" x14ac:dyDescent="0.3">
      <c r="A86" t="s">
        <v>230</v>
      </c>
      <c r="B86" t="s">
        <v>70</v>
      </c>
      <c r="C86" t="s">
        <v>24</v>
      </c>
      <c r="D86" t="s">
        <v>76</v>
      </c>
      <c r="E86">
        <v>11</v>
      </c>
      <c r="F86">
        <v>72597</v>
      </c>
      <c r="G86">
        <v>0</v>
      </c>
      <c r="H86">
        <v>12</v>
      </c>
      <c r="I86">
        <v>894395.04</v>
      </c>
      <c r="J86" t="s">
        <v>46</v>
      </c>
      <c r="K86" t="s">
        <v>16</v>
      </c>
      <c r="L86">
        <f t="shared" si="2"/>
        <v>891533</v>
      </c>
    </row>
    <row r="87" spans="1:12" x14ac:dyDescent="0.3">
      <c r="A87" t="s">
        <v>108</v>
      </c>
      <c r="B87" t="s">
        <v>70</v>
      </c>
      <c r="C87" t="s">
        <v>19</v>
      </c>
      <c r="D87" t="s">
        <v>20</v>
      </c>
      <c r="E87">
        <v>20</v>
      </c>
      <c r="F87">
        <v>49217</v>
      </c>
      <c r="G87">
        <v>5</v>
      </c>
      <c r="H87">
        <v>18</v>
      </c>
      <c r="I87">
        <v>1103445.1399999999</v>
      </c>
      <c r="J87" t="s">
        <v>46</v>
      </c>
      <c r="K87" t="s">
        <v>38</v>
      </c>
      <c r="L87">
        <f t="shared" si="2"/>
        <v>252125</v>
      </c>
    </row>
    <row r="88" spans="1:12" x14ac:dyDescent="0.3">
      <c r="A88" t="s">
        <v>154</v>
      </c>
      <c r="B88" t="s">
        <v>70</v>
      </c>
      <c r="C88" t="s">
        <v>44</v>
      </c>
      <c r="D88" t="s">
        <v>45</v>
      </c>
      <c r="E88">
        <v>8</v>
      </c>
      <c r="F88">
        <v>4177</v>
      </c>
      <c r="G88">
        <v>12</v>
      </c>
      <c r="H88">
        <v>18</v>
      </c>
      <c r="I88">
        <v>34699.17</v>
      </c>
      <c r="J88" t="s">
        <v>46</v>
      </c>
      <c r="K88" t="s">
        <v>16</v>
      </c>
      <c r="L88">
        <f t="shared" si="2"/>
        <v>476723</v>
      </c>
    </row>
    <row r="89" spans="1:12" x14ac:dyDescent="0.3">
      <c r="A89" t="s">
        <v>191</v>
      </c>
      <c r="B89" t="s">
        <v>70</v>
      </c>
      <c r="C89" t="s">
        <v>24</v>
      </c>
      <c r="D89" t="s">
        <v>40</v>
      </c>
      <c r="E89">
        <v>24</v>
      </c>
      <c r="F89">
        <v>12467</v>
      </c>
      <c r="G89">
        <v>12</v>
      </c>
      <c r="H89">
        <v>28</v>
      </c>
      <c r="I89">
        <v>337027.89</v>
      </c>
      <c r="J89" t="s">
        <v>15</v>
      </c>
      <c r="K89" t="s">
        <v>26</v>
      </c>
      <c r="L89">
        <f t="shared" si="2"/>
        <v>891533</v>
      </c>
    </row>
    <row r="90" spans="1:12" x14ac:dyDescent="0.3">
      <c r="A90" t="s">
        <v>88</v>
      </c>
      <c r="B90" t="s">
        <v>70</v>
      </c>
      <c r="C90" t="s">
        <v>62</v>
      </c>
      <c r="D90" t="s">
        <v>92</v>
      </c>
      <c r="E90">
        <v>6</v>
      </c>
      <c r="F90">
        <v>61673</v>
      </c>
      <c r="G90">
        <v>5</v>
      </c>
      <c r="H90">
        <v>18</v>
      </c>
      <c r="I90">
        <v>414812.6</v>
      </c>
      <c r="J90" t="s">
        <v>15</v>
      </c>
      <c r="K90" t="s">
        <v>16</v>
      </c>
      <c r="L90">
        <f t="shared" si="2"/>
        <v>849162</v>
      </c>
    </row>
    <row r="91" spans="1:12" x14ac:dyDescent="0.3">
      <c r="A91" t="s">
        <v>17</v>
      </c>
      <c r="B91" t="s">
        <v>70</v>
      </c>
      <c r="C91" t="s">
        <v>44</v>
      </c>
      <c r="D91" t="s">
        <v>45</v>
      </c>
      <c r="E91">
        <v>14</v>
      </c>
      <c r="F91">
        <v>74725</v>
      </c>
      <c r="G91">
        <v>12</v>
      </c>
      <c r="H91">
        <v>28</v>
      </c>
      <c r="I91">
        <v>1178383.3600000001</v>
      </c>
      <c r="J91" t="s">
        <v>15</v>
      </c>
      <c r="K91" t="s">
        <v>26</v>
      </c>
      <c r="L91">
        <f t="shared" si="2"/>
        <v>476723</v>
      </c>
    </row>
    <row r="92" spans="1:12" x14ac:dyDescent="0.3">
      <c r="A92" t="s">
        <v>147</v>
      </c>
      <c r="B92" t="s">
        <v>70</v>
      </c>
      <c r="C92" t="s">
        <v>24</v>
      </c>
      <c r="D92" t="s">
        <v>76</v>
      </c>
      <c r="E92">
        <v>3</v>
      </c>
      <c r="F92">
        <v>53099</v>
      </c>
      <c r="G92">
        <v>10</v>
      </c>
      <c r="H92">
        <v>28</v>
      </c>
      <c r="I92">
        <v>183510.14</v>
      </c>
      <c r="J92" t="s">
        <v>21</v>
      </c>
      <c r="K92" t="s">
        <v>38</v>
      </c>
      <c r="L92">
        <f t="shared" si="2"/>
        <v>891533</v>
      </c>
    </row>
    <row r="93" spans="1:12" x14ac:dyDescent="0.3">
      <c r="A93" t="s">
        <v>88</v>
      </c>
      <c r="B93" t="s">
        <v>70</v>
      </c>
      <c r="C93" t="s">
        <v>24</v>
      </c>
      <c r="D93" t="s">
        <v>25</v>
      </c>
      <c r="E93">
        <v>32</v>
      </c>
      <c r="F93">
        <v>39341</v>
      </c>
      <c r="G93">
        <v>10</v>
      </c>
      <c r="H93">
        <v>28</v>
      </c>
      <c r="I93">
        <v>1450266.62</v>
      </c>
      <c r="J93" t="s">
        <v>37</v>
      </c>
      <c r="K93" t="s">
        <v>26</v>
      </c>
      <c r="L93">
        <f t="shared" si="2"/>
        <v>891533</v>
      </c>
    </row>
    <row r="94" spans="1:12" x14ac:dyDescent="0.3">
      <c r="A94" t="s">
        <v>181</v>
      </c>
      <c r="B94" t="s">
        <v>70</v>
      </c>
      <c r="C94" t="s">
        <v>44</v>
      </c>
      <c r="D94" t="s">
        <v>51</v>
      </c>
      <c r="E94">
        <v>39</v>
      </c>
      <c r="F94">
        <v>30667</v>
      </c>
      <c r="G94">
        <v>5</v>
      </c>
      <c r="H94">
        <v>18</v>
      </c>
      <c r="I94">
        <v>1340730.57</v>
      </c>
      <c r="J94" t="s">
        <v>46</v>
      </c>
      <c r="K94" t="s">
        <v>16</v>
      </c>
      <c r="L94">
        <f t="shared" si="2"/>
        <v>476723</v>
      </c>
    </row>
    <row r="95" spans="1:12" x14ac:dyDescent="0.3">
      <c r="A95" t="s">
        <v>73</v>
      </c>
      <c r="B95" t="s">
        <v>70</v>
      </c>
      <c r="C95" t="s">
        <v>62</v>
      </c>
      <c r="D95" t="s">
        <v>92</v>
      </c>
      <c r="E95">
        <v>21</v>
      </c>
      <c r="F95">
        <v>15620</v>
      </c>
      <c r="G95">
        <v>5</v>
      </c>
      <c r="H95">
        <v>28</v>
      </c>
      <c r="I95">
        <v>398872.32000000001</v>
      </c>
      <c r="J95" t="s">
        <v>37</v>
      </c>
      <c r="K95" t="s">
        <v>38</v>
      </c>
      <c r="L95">
        <f t="shared" si="2"/>
        <v>849162</v>
      </c>
    </row>
    <row r="96" spans="1:12" x14ac:dyDescent="0.3">
      <c r="A96" t="s">
        <v>133</v>
      </c>
      <c r="B96" t="s">
        <v>70</v>
      </c>
      <c r="C96" t="s">
        <v>44</v>
      </c>
      <c r="D96" t="s">
        <v>45</v>
      </c>
      <c r="E96">
        <v>37</v>
      </c>
      <c r="F96">
        <v>11166</v>
      </c>
      <c r="G96">
        <v>12</v>
      </c>
      <c r="H96">
        <v>12</v>
      </c>
      <c r="I96">
        <v>407192.76</v>
      </c>
      <c r="J96" t="s">
        <v>15</v>
      </c>
      <c r="K96" t="s">
        <v>16</v>
      </c>
      <c r="L96">
        <f t="shared" si="2"/>
        <v>476723</v>
      </c>
    </row>
    <row r="97" spans="1:12" x14ac:dyDescent="0.3">
      <c r="A97" t="s">
        <v>200</v>
      </c>
      <c r="B97" t="s">
        <v>70</v>
      </c>
      <c r="C97" t="s">
        <v>19</v>
      </c>
      <c r="D97" t="s">
        <v>20</v>
      </c>
      <c r="E97">
        <v>22</v>
      </c>
      <c r="F97">
        <v>52021</v>
      </c>
      <c r="G97">
        <v>10</v>
      </c>
      <c r="H97">
        <v>18</v>
      </c>
      <c r="I97">
        <v>1215418.6399999999</v>
      </c>
      <c r="J97" t="s">
        <v>46</v>
      </c>
      <c r="K97" t="s">
        <v>38</v>
      </c>
      <c r="L97">
        <f t="shared" si="2"/>
        <v>252125</v>
      </c>
    </row>
    <row r="98" spans="1:12" x14ac:dyDescent="0.3">
      <c r="A98" t="s">
        <v>71</v>
      </c>
      <c r="B98" t="s">
        <v>70</v>
      </c>
      <c r="C98" t="s">
        <v>44</v>
      </c>
      <c r="D98" t="s">
        <v>51</v>
      </c>
      <c r="E98">
        <v>5</v>
      </c>
      <c r="F98">
        <v>78001</v>
      </c>
      <c r="G98">
        <v>5</v>
      </c>
      <c r="H98">
        <v>18</v>
      </c>
      <c r="I98">
        <v>437195.6</v>
      </c>
      <c r="J98" t="s">
        <v>46</v>
      </c>
      <c r="K98" t="s">
        <v>16</v>
      </c>
      <c r="L98">
        <f t="shared" ref="L98:L113" si="3">SUMIF(C:C,C98,F:F)</f>
        <v>476723</v>
      </c>
    </row>
    <row r="99" spans="1:12" x14ac:dyDescent="0.3">
      <c r="A99" t="s">
        <v>173</v>
      </c>
      <c r="B99" t="s">
        <v>70</v>
      </c>
      <c r="C99" t="s">
        <v>19</v>
      </c>
      <c r="D99" t="s">
        <v>20</v>
      </c>
      <c r="E99">
        <v>21</v>
      </c>
      <c r="F99">
        <v>56247</v>
      </c>
      <c r="G99">
        <v>12</v>
      </c>
      <c r="H99">
        <v>12</v>
      </c>
      <c r="I99">
        <v>1164177.9099999999</v>
      </c>
      <c r="J99" t="s">
        <v>21</v>
      </c>
      <c r="K99" t="s">
        <v>38</v>
      </c>
      <c r="L99">
        <f t="shared" si="3"/>
        <v>252125</v>
      </c>
    </row>
    <row r="100" spans="1:12" x14ac:dyDescent="0.3">
      <c r="A100" t="s">
        <v>98</v>
      </c>
      <c r="B100" t="s">
        <v>70</v>
      </c>
      <c r="C100" t="s">
        <v>48</v>
      </c>
      <c r="D100" t="s">
        <v>49</v>
      </c>
      <c r="E100">
        <v>17</v>
      </c>
      <c r="F100">
        <v>50992</v>
      </c>
      <c r="G100">
        <v>0</v>
      </c>
      <c r="H100">
        <v>18</v>
      </c>
      <c r="I100">
        <v>1022899.52</v>
      </c>
      <c r="J100" t="s">
        <v>21</v>
      </c>
      <c r="K100" t="s">
        <v>38</v>
      </c>
      <c r="L100">
        <f t="shared" si="3"/>
        <v>1011725</v>
      </c>
    </row>
    <row r="101" spans="1:12" x14ac:dyDescent="0.3">
      <c r="A101" t="s">
        <v>183</v>
      </c>
      <c r="B101" t="s">
        <v>70</v>
      </c>
      <c r="C101" t="s">
        <v>44</v>
      </c>
      <c r="D101" t="s">
        <v>51</v>
      </c>
      <c r="E101">
        <v>25</v>
      </c>
      <c r="F101">
        <v>37753</v>
      </c>
      <c r="G101">
        <v>0</v>
      </c>
      <c r="H101">
        <v>18</v>
      </c>
      <c r="I101">
        <v>1113713.5</v>
      </c>
      <c r="J101" t="s">
        <v>21</v>
      </c>
      <c r="K101" t="s">
        <v>26</v>
      </c>
      <c r="L101">
        <f t="shared" si="3"/>
        <v>476723</v>
      </c>
    </row>
    <row r="102" spans="1:12" x14ac:dyDescent="0.3">
      <c r="A102" t="s">
        <v>182</v>
      </c>
      <c r="B102" t="s">
        <v>70</v>
      </c>
      <c r="C102" t="s">
        <v>24</v>
      </c>
      <c r="D102" t="s">
        <v>76</v>
      </c>
      <c r="E102">
        <v>11</v>
      </c>
      <c r="F102">
        <v>77919</v>
      </c>
      <c r="G102">
        <v>0</v>
      </c>
      <c r="H102">
        <v>12</v>
      </c>
      <c r="I102">
        <v>959962.08</v>
      </c>
      <c r="J102" t="s">
        <v>46</v>
      </c>
      <c r="K102" t="s">
        <v>26</v>
      </c>
      <c r="L102">
        <f t="shared" si="3"/>
        <v>891533</v>
      </c>
    </row>
    <row r="103" spans="1:12" x14ac:dyDescent="0.3">
      <c r="A103" t="s">
        <v>164</v>
      </c>
      <c r="B103" t="s">
        <v>70</v>
      </c>
      <c r="C103" t="s">
        <v>24</v>
      </c>
      <c r="D103" t="s">
        <v>76</v>
      </c>
      <c r="E103">
        <v>18</v>
      </c>
      <c r="F103">
        <v>69092</v>
      </c>
      <c r="G103">
        <v>5</v>
      </c>
      <c r="H103">
        <v>18</v>
      </c>
      <c r="I103">
        <v>1394138.38</v>
      </c>
      <c r="J103" t="s">
        <v>15</v>
      </c>
      <c r="K103" t="s">
        <v>33</v>
      </c>
      <c r="L103">
        <f t="shared" si="3"/>
        <v>891533</v>
      </c>
    </row>
    <row r="104" spans="1:12" x14ac:dyDescent="0.3">
      <c r="A104" t="s">
        <v>171</v>
      </c>
      <c r="B104" t="s">
        <v>70</v>
      </c>
      <c r="C104" t="s">
        <v>62</v>
      </c>
      <c r="D104" t="s">
        <v>92</v>
      </c>
      <c r="E104">
        <v>40</v>
      </c>
      <c r="F104">
        <v>83260</v>
      </c>
      <c r="G104">
        <v>10</v>
      </c>
      <c r="H104">
        <v>28</v>
      </c>
      <c r="I104">
        <v>3836620.7999999998</v>
      </c>
      <c r="J104" t="s">
        <v>37</v>
      </c>
      <c r="K104" t="s">
        <v>16</v>
      </c>
      <c r="L104">
        <f t="shared" si="3"/>
        <v>849162</v>
      </c>
    </row>
    <row r="105" spans="1:12" x14ac:dyDescent="0.3">
      <c r="A105" t="s">
        <v>141</v>
      </c>
      <c r="B105" t="s">
        <v>70</v>
      </c>
      <c r="C105" t="s">
        <v>13</v>
      </c>
      <c r="D105" t="s">
        <v>32</v>
      </c>
      <c r="E105">
        <v>7</v>
      </c>
      <c r="F105">
        <v>6199</v>
      </c>
      <c r="G105">
        <v>12</v>
      </c>
      <c r="H105">
        <v>12</v>
      </c>
      <c r="I105">
        <v>42768.14</v>
      </c>
      <c r="J105" t="s">
        <v>37</v>
      </c>
      <c r="K105" t="s">
        <v>38</v>
      </c>
      <c r="L105">
        <f t="shared" si="3"/>
        <v>456978</v>
      </c>
    </row>
    <row r="106" spans="1:12" x14ac:dyDescent="0.3">
      <c r="A106" t="s">
        <v>206</v>
      </c>
      <c r="B106" t="s">
        <v>70</v>
      </c>
      <c r="C106" t="s">
        <v>48</v>
      </c>
      <c r="D106" t="s">
        <v>49</v>
      </c>
      <c r="E106">
        <v>14</v>
      </c>
      <c r="F106">
        <v>83695</v>
      </c>
      <c r="G106">
        <v>12</v>
      </c>
      <c r="H106">
        <v>12</v>
      </c>
      <c r="I106">
        <v>1154857.0900000001</v>
      </c>
      <c r="J106" t="s">
        <v>46</v>
      </c>
      <c r="K106" t="s">
        <v>33</v>
      </c>
      <c r="L106">
        <f t="shared" si="3"/>
        <v>1011725</v>
      </c>
    </row>
    <row r="107" spans="1:12" x14ac:dyDescent="0.3">
      <c r="A107" t="s">
        <v>52</v>
      </c>
      <c r="B107" t="s">
        <v>70</v>
      </c>
      <c r="C107" t="s">
        <v>48</v>
      </c>
      <c r="D107" t="s">
        <v>49</v>
      </c>
      <c r="E107">
        <v>11</v>
      </c>
      <c r="F107">
        <v>39753</v>
      </c>
      <c r="G107">
        <v>12</v>
      </c>
      <c r="H107">
        <v>28</v>
      </c>
      <c r="I107">
        <v>492555.57</v>
      </c>
      <c r="J107" t="s">
        <v>21</v>
      </c>
      <c r="K107" t="s">
        <v>26</v>
      </c>
      <c r="L107">
        <f t="shared" si="3"/>
        <v>1011725</v>
      </c>
    </row>
    <row r="108" spans="1:12" x14ac:dyDescent="0.3">
      <c r="A108" t="s">
        <v>154</v>
      </c>
      <c r="B108" t="s">
        <v>70</v>
      </c>
      <c r="C108" t="s">
        <v>35</v>
      </c>
      <c r="D108" t="s">
        <v>56</v>
      </c>
      <c r="E108">
        <v>6</v>
      </c>
      <c r="F108">
        <v>44321</v>
      </c>
      <c r="G108">
        <v>10</v>
      </c>
      <c r="H108">
        <v>12</v>
      </c>
      <c r="I108">
        <v>268053.40999999997</v>
      </c>
      <c r="J108" t="s">
        <v>21</v>
      </c>
      <c r="K108" t="s">
        <v>38</v>
      </c>
      <c r="L108">
        <f t="shared" si="3"/>
        <v>1101560</v>
      </c>
    </row>
    <row r="109" spans="1:12" x14ac:dyDescent="0.3">
      <c r="A109" t="s">
        <v>90</v>
      </c>
      <c r="B109" t="s">
        <v>70</v>
      </c>
      <c r="C109" t="s">
        <v>35</v>
      </c>
      <c r="D109" t="s">
        <v>77</v>
      </c>
      <c r="E109">
        <v>16</v>
      </c>
      <c r="F109">
        <v>42316</v>
      </c>
      <c r="G109">
        <v>10</v>
      </c>
      <c r="H109">
        <v>18</v>
      </c>
      <c r="I109">
        <v>719033.47</v>
      </c>
      <c r="J109" t="s">
        <v>15</v>
      </c>
      <c r="K109" t="s">
        <v>38</v>
      </c>
      <c r="L109">
        <f t="shared" si="3"/>
        <v>1101560</v>
      </c>
    </row>
    <row r="110" spans="1:12" x14ac:dyDescent="0.3">
      <c r="A110" t="s">
        <v>209</v>
      </c>
      <c r="B110" t="s">
        <v>70</v>
      </c>
      <c r="C110" t="s">
        <v>48</v>
      </c>
      <c r="D110" t="s">
        <v>59</v>
      </c>
      <c r="E110">
        <v>38</v>
      </c>
      <c r="F110">
        <v>55371</v>
      </c>
      <c r="G110">
        <v>10</v>
      </c>
      <c r="H110">
        <v>28</v>
      </c>
      <c r="I110">
        <v>2423920.9</v>
      </c>
      <c r="J110" t="s">
        <v>15</v>
      </c>
      <c r="K110" t="s">
        <v>16</v>
      </c>
      <c r="L110">
        <f t="shared" si="3"/>
        <v>1011725</v>
      </c>
    </row>
    <row r="111" spans="1:12" x14ac:dyDescent="0.3">
      <c r="A111" t="s">
        <v>142</v>
      </c>
      <c r="B111" t="s">
        <v>70</v>
      </c>
      <c r="C111" t="s">
        <v>48</v>
      </c>
      <c r="D111" t="s">
        <v>59</v>
      </c>
      <c r="E111">
        <v>15</v>
      </c>
      <c r="F111">
        <v>68264</v>
      </c>
      <c r="G111">
        <v>5</v>
      </c>
      <c r="H111">
        <v>12</v>
      </c>
      <c r="I111">
        <v>1089493.44</v>
      </c>
      <c r="J111" t="s">
        <v>37</v>
      </c>
      <c r="K111" t="s">
        <v>26</v>
      </c>
      <c r="L111">
        <f t="shared" si="3"/>
        <v>1011725</v>
      </c>
    </row>
    <row r="112" spans="1:12" x14ac:dyDescent="0.3">
      <c r="A112" t="s">
        <v>66</v>
      </c>
      <c r="B112" t="s">
        <v>70</v>
      </c>
      <c r="C112" t="s">
        <v>35</v>
      </c>
      <c r="D112" t="s">
        <v>36</v>
      </c>
      <c r="E112">
        <v>27</v>
      </c>
      <c r="F112">
        <v>64479</v>
      </c>
      <c r="G112">
        <v>12</v>
      </c>
      <c r="H112">
        <v>28</v>
      </c>
      <c r="I112">
        <v>1960986.93</v>
      </c>
      <c r="J112" t="s">
        <v>37</v>
      </c>
      <c r="K112" t="s">
        <v>38</v>
      </c>
      <c r="L112">
        <f t="shared" si="3"/>
        <v>1101560</v>
      </c>
    </row>
    <row r="113" spans="1:12" x14ac:dyDescent="0.3">
      <c r="A113" t="s">
        <v>93</v>
      </c>
      <c r="B113" t="s">
        <v>70</v>
      </c>
      <c r="C113" t="s">
        <v>62</v>
      </c>
      <c r="D113" t="s">
        <v>63</v>
      </c>
      <c r="E113">
        <v>40</v>
      </c>
      <c r="F113">
        <v>39307</v>
      </c>
      <c r="G113">
        <v>12</v>
      </c>
      <c r="H113">
        <v>28</v>
      </c>
      <c r="I113">
        <v>1771016.19</v>
      </c>
      <c r="J113" t="s">
        <v>15</v>
      </c>
      <c r="K113" t="s">
        <v>26</v>
      </c>
      <c r="L113">
        <f t="shared" si="3"/>
        <v>849162</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L113"/>
  <sheetViews>
    <sheetView workbookViewId="0">
      <selection activeCell="L2" sqref="L2"/>
    </sheetView>
  </sheetViews>
  <sheetFormatPr defaultRowHeight="14.4" x14ac:dyDescent="0.3"/>
  <cols>
    <col min="1" max="1" width="15.88671875" bestFit="1" customWidth="1"/>
    <col min="2" max="2" width="19.109375" bestFit="1" customWidth="1"/>
    <col min="3" max="3" width="16" bestFit="1" customWidth="1"/>
    <col min="4" max="4" width="14.109375" bestFit="1" customWidth="1"/>
    <col min="5" max="5" width="6.21875" bestFit="1" customWidth="1"/>
    <col min="6" max="6" width="11.88671875" bestFit="1" customWidth="1"/>
    <col min="7" max="7" width="13" bestFit="1" customWidth="1"/>
    <col min="9" max="9" width="15.44140625" bestFit="1" customWidth="1"/>
    <col min="10" max="10" width="12.77734375" bestFit="1" customWidth="1"/>
    <col min="11" max="11" width="16.88671875" bestFit="1" customWidth="1"/>
  </cols>
  <sheetData>
    <row r="1" spans="1:12" x14ac:dyDescent="0.3">
      <c r="A1" t="s">
        <v>0</v>
      </c>
      <c r="B1" t="s">
        <v>1</v>
      </c>
      <c r="C1" t="s">
        <v>2</v>
      </c>
      <c r="D1" t="s">
        <v>3</v>
      </c>
      <c r="E1" t="s">
        <v>4</v>
      </c>
      <c r="F1" t="s">
        <v>5</v>
      </c>
      <c r="G1" t="s">
        <v>6</v>
      </c>
      <c r="H1" t="s">
        <v>7</v>
      </c>
      <c r="I1" t="s">
        <v>8</v>
      </c>
      <c r="J1" t="s">
        <v>9</v>
      </c>
      <c r="K1" t="s">
        <v>10</v>
      </c>
      <c r="L1" t="s">
        <v>251</v>
      </c>
    </row>
    <row r="2" spans="1:12" x14ac:dyDescent="0.3">
      <c r="A2" t="s">
        <v>114</v>
      </c>
      <c r="B2" t="s">
        <v>12</v>
      </c>
      <c r="C2" t="s">
        <v>13</v>
      </c>
      <c r="D2" t="s">
        <v>32</v>
      </c>
      <c r="E2">
        <v>30</v>
      </c>
      <c r="F2">
        <v>59479</v>
      </c>
      <c r="G2">
        <v>10</v>
      </c>
      <c r="H2">
        <v>18</v>
      </c>
      <c r="I2">
        <v>1895000.94</v>
      </c>
      <c r="J2" t="s">
        <v>37</v>
      </c>
      <c r="K2" t="s">
        <v>16</v>
      </c>
      <c r="L2">
        <f t="shared" ref="L2:L33" si="0">SUMIF(C:C,C2,F:F)</f>
        <v>422592</v>
      </c>
    </row>
    <row r="3" spans="1:12" x14ac:dyDescent="0.3">
      <c r="A3" t="s">
        <v>137</v>
      </c>
      <c r="B3" t="s">
        <v>12</v>
      </c>
      <c r="C3" t="s">
        <v>13</v>
      </c>
      <c r="D3" t="s">
        <v>14</v>
      </c>
      <c r="E3">
        <v>13</v>
      </c>
      <c r="F3">
        <v>8278</v>
      </c>
      <c r="G3">
        <v>5</v>
      </c>
      <c r="H3">
        <v>18</v>
      </c>
      <c r="I3">
        <v>120635.29</v>
      </c>
      <c r="J3" t="s">
        <v>21</v>
      </c>
      <c r="K3" t="s">
        <v>16</v>
      </c>
      <c r="L3">
        <f t="shared" si="0"/>
        <v>422592</v>
      </c>
    </row>
    <row r="4" spans="1:12" x14ac:dyDescent="0.3">
      <c r="A4" t="s">
        <v>168</v>
      </c>
      <c r="B4" t="s">
        <v>12</v>
      </c>
      <c r="C4" t="s">
        <v>44</v>
      </c>
      <c r="D4" t="s">
        <v>51</v>
      </c>
      <c r="E4">
        <v>18</v>
      </c>
      <c r="F4">
        <v>72221</v>
      </c>
      <c r="G4">
        <v>10</v>
      </c>
      <c r="H4">
        <v>28</v>
      </c>
      <c r="I4">
        <v>1497574.66</v>
      </c>
      <c r="J4" t="s">
        <v>37</v>
      </c>
      <c r="K4" t="s">
        <v>16</v>
      </c>
      <c r="L4">
        <f t="shared" si="0"/>
        <v>786708</v>
      </c>
    </row>
    <row r="5" spans="1:12" x14ac:dyDescent="0.3">
      <c r="A5" t="s">
        <v>231</v>
      </c>
      <c r="B5" t="s">
        <v>12</v>
      </c>
      <c r="C5" t="s">
        <v>13</v>
      </c>
      <c r="D5" t="s">
        <v>32</v>
      </c>
      <c r="E5">
        <v>34</v>
      </c>
      <c r="F5">
        <v>12142</v>
      </c>
      <c r="G5">
        <v>10</v>
      </c>
      <c r="H5">
        <v>28</v>
      </c>
      <c r="I5">
        <v>475577.86</v>
      </c>
      <c r="J5" t="s">
        <v>15</v>
      </c>
      <c r="K5" t="s">
        <v>38</v>
      </c>
      <c r="L5">
        <f t="shared" si="0"/>
        <v>422592</v>
      </c>
    </row>
    <row r="6" spans="1:12" x14ac:dyDescent="0.3">
      <c r="A6" t="s">
        <v>160</v>
      </c>
      <c r="B6" t="s">
        <v>12</v>
      </c>
      <c r="C6" t="s">
        <v>24</v>
      </c>
      <c r="D6" t="s">
        <v>25</v>
      </c>
      <c r="E6">
        <v>32</v>
      </c>
      <c r="F6">
        <v>39320</v>
      </c>
      <c r="G6">
        <v>0</v>
      </c>
      <c r="H6">
        <v>18</v>
      </c>
      <c r="I6">
        <v>1484723.2</v>
      </c>
      <c r="J6" t="s">
        <v>37</v>
      </c>
      <c r="K6" t="s">
        <v>33</v>
      </c>
      <c r="L6">
        <f t="shared" si="0"/>
        <v>993403</v>
      </c>
    </row>
    <row r="7" spans="1:12" x14ac:dyDescent="0.3">
      <c r="A7" t="s">
        <v>181</v>
      </c>
      <c r="B7" t="s">
        <v>12</v>
      </c>
      <c r="C7" t="s">
        <v>13</v>
      </c>
      <c r="D7" t="s">
        <v>32</v>
      </c>
      <c r="E7">
        <v>32</v>
      </c>
      <c r="F7">
        <v>47305</v>
      </c>
      <c r="G7">
        <v>10</v>
      </c>
      <c r="H7">
        <v>28</v>
      </c>
      <c r="I7">
        <v>1743851.52</v>
      </c>
      <c r="J7" t="s">
        <v>21</v>
      </c>
      <c r="K7" t="s">
        <v>26</v>
      </c>
      <c r="L7">
        <f t="shared" si="0"/>
        <v>422592</v>
      </c>
    </row>
    <row r="8" spans="1:12" x14ac:dyDescent="0.3">
      <c r="A8" t="s">
        <v>180</v>
      </c>
      <c r="B8" t="s">
        <v>12</v>
      </c>
      <c r="C8" t="s">
        <v>24</v>
      </c>
      <c r="D8" t="s">
        <v>76</v>
      </c>
      <c r="E8">
        <v>10</v>
      </c>
      <c r="F8">
        <v>33379</v>
      </c>
      <c r="G8">
        <v>12</v>
      </c>
      <c r="H8">
        <v>28</v>
      </c>
      <c r="I8">
        <v>375981.06</v>
      </c>
      <c r="J8" t="s">
        <v>15</v>
      </c>
      <c r="K8" t="s">
        <v>38</v>
      </c>
      <c r="L8">
        <f t="shared" si="0"/>
        <v>993403</v>
      </c>
    </row>
    <row r="9" spans="1:12" x14ac:dyDescent="0.3">
      <c r="A9" t="s">
        <v>89</v>
      </c>
      <c r="B9" t="s">
        <v>12</v>
      </c>
      <c r="C9" t="s">
        <v>44</v>
      </c>
      <c r="D9" t="s">
        <v>45</v>
      </c>
      <c r="E9">
        <v>21</v>
      </c>
      <c r="F9">
        <v>4302</v>
      </c>
      <c r="G9">
        <v>0</v>
      </c>
      <c r="H9">
        <v>12</v>
      </c>
      <c r="I9">
        <v>101183.03999999999</v>
      </c>
      <c r="J9" t="s">
        <v>37</v>
      </c>
      <c r="K9" t="s">
        <v>38</v>
      </c>
      <c r="L9">
        <f t="shared" si="0"/>
        <v>786708</v>
      </c>
    </row>
    <row r="10" spans="1:12" x14ac:dyDescent="0.3">
      <c r="A10" t="s">
        <v>68</v>
      </c>
      <c r="B10" t="s">
        <v>12</v>
      </c>
      <c r="C10" t="s">
        <v>35</v>
      </c>
      <c r="D10" t="s">
        <v>36</v>
      </c>
      <c r="E10">
        <v>19</v>
      </c>
      <c r="F10">
        <v>37748</v>
      </c>
      <c r="G10">
        <v>10</v>
      </c>
      <c r="H10">
        <v>12</v>
      </c>
      <c r="I10">
        <v>722949.7</v>
      </c>
      <c r="J10" t="s">
        <v>46</v>
      </c>
      <c r="K10" t="s">
        <v>16</v>
      </c>
      <c r="L10">
        <f t="shared" si="0"/>
        <v>686405</v>
      </c>
    </row>
    <row r="11" spans="1:12" x14ac:dyDescent="0.3">
      <c r="A11" t="s">
        <v>223</v>
      </c>
      <c r="B11" t="s">
        <v>12</v>
      </c>
      <c r="C11" t="s">
        <v>19</v>
      </c>
      <c r="D11" t="s">
        <v>20</v>
      </c>
      <c r="E11">
        <v>22</v>
      </c>
      <c r="F11">
        <v>70021</v>
      </c>
      <c r="G11">
        <v>10</v>
      </c>
      <c r="H11">
        <v>18</v>
      </c>
      <c r="I11">
        <v>1635970.64</v>
      </c>
      <c r="J11" t="s">
        <v>21</v>
      </c>
      <c r="K11" t="s">
        <v>33</v>
      </c>
      <c r="L11">
        <f t="shared" si="0"/>
        <v>581501</v>
      </c>
    </row>
    <row r="12" spans="1:12" x14ac:dyDescent="0.3">
      <c r="A12" t="s">
        <v>112</v>
      </c>
      <c r="B12" t="s">
        <v>12</v>
      </c>
      <c r="C12" t="s">
        <v>62</v>
      </c>
      <c r="D12" t="s">
        <v>63</v>
      </c>
      <c r="E12">
        <v>34</v>
      </c>
      <c r="F12">
        <v>69891</v>
      </c>
      <c r="G12">
        <v>10</v>
      </c>
      <c r="H12">
        <v>18</v>
      </c>
      <c r="I12">
        <v>2523624.23</v>
      </c>
      <c r="J12" t="s">
        <v>37</v>
      </c>
      <c r="K12" t="s">
        <v>38</v>
      </c>
      <c r="L12">
        <f t="shared" si="0"/>
        <v>252752</v>
      </c>
    </row>
    <row r="13" spans="1:12" x14ac:dyDescent="0.3">
      <c r="A13" t="s">
        <v>211</v>
      </c>
      <c r="B13" t="s">
        <v>12</v>
      </c>
      <c r="C13" t="s">
        <v>24</v>
      </c>
      <c r="D13" t="s">
        <v>76</v>
      </c>
      <c r="E13">
        <v>27</v>
      </c>
      <c r="F13">
        <v>17889</v>
      </c>
      <c r="G13">
        <v>5</v>
      </c>
      <c r="H13">
        <v>28</v>
      </c>
      <c r="I13">
        <v>587331.65</v>
      </c>
      <c r="J13" t="s">
        <v>15</v>
      </c>
      <c r="K13" t="s">
        <v>26</v>
      </c>
      <c r="L13">
        <f t="shared" si="0"/>
        <v>993403</v>
      </c>
    </row>
    <row r="14" spans="1:12" x14ac:dyDescent="0.3">
      <c r="A14" t="s">
        <v>194</v>
      </c>
      <c r="B14" t="s">
        <v>12</v>
      </c>
      <c r="C14" t="s">
        <v>48</v>
      </c>
      <c r="D14" t="s">
        <v>49</v>
      </c>
      <c r="E14">
        <v>12</v>
      </c>
      <c r="F14">
        <v>41238</v>
      </c>
      <c r="G14">
        <v>5</v>
      </c>
      <c r="H14">
        <v>28</v>
      </c>
      <c r="I14">
        <v>601744.9</v>
      </c>
      <c r="J14" t="s">
        <v>46</v>
      </c>
      <c r="K14" t="s">
        <v>33</v>
      </c>
      <c r="L14">
        <f t="shared" si="0"/>
        <v>548946</v>
      </c>
    </row>
    <row r="15" spans="1:12" x14ac:dyDescent="0.3">
      <c r="A15" t="s">
        <v>101</v>
      </c>
      <c r="B15" t="s">
        <v>12</v>
      </c>
      <c r="C15" t="s">
        <v>35</v>
      </c>
      <c r="D15" t="s">
        <v>56</v>
      </c>
      <c r="E15">
        <v>14</v>
      </c>
      <c r="F15">
        <v>26077</v>
      </c>
      <c r="G15">
        <v>12</v>
      </c>
      <c r="H15">
        <v>18</v>
      </c>
      <c r="I15">
        <v>379097</v>
      </c>
      <c r="J15" t="s">
        <v>15</v>
      </c>
      <c r="K15" t="s">
        <v>33</v>
      </c>
      <c r="L15">
        <f t="shared" si="0"/>
        <v>686405</v>
      </c>
    </row>
    <row r="16" spans="1:12" x14ac:dyDescent="0.3">
      <c r="A16" t="s">
        <v>202</v>
      </c>
      <c r="B16" t="s">
        <v>12</v>
      </c>
      <c r="C16" t="s">
        <v>29</v>
      </c>
      <c r="D16" t="s">
        <v>30</v>
      </c>
      <c r="E16">
        <v>28</v>
      </c>
      <c r="F16">
        <v>49284</v>
      </c>
      <c r="G16">
        <v>0</v>
      </c>
      <c r="H16">
        <v>18</v>
      </c>
      <c r="I16">
        <v>1628343.36</v>
      </c>
      <c r="J16" t="s">
        <v>15</v>
      </c>
      <c r="K16" t="s">
        <v>33</v>
      </c>
      <c r="L16">
        <f t="shared" si="0"/>
        <v>235219</v>
      </c>
    </row>
    <row r="17" spans="1:12" x14ac:dyDescent="0.3">
      <c r="A17" t="s">
        <v>214</v>
      </c>
      <c r="B17" t="s">
        <v>12</v>
      </c>
      <c r="C17" t="s">
        <v>29</v>
      </c>
      <c r="D17" t="s">
        <v>30</v>
      </c>
      <c r="E17">
        <v>34</v>
      </c>
      <c r="F17">
        <v>8567</v>
      </c>
      <c r="G17">
        <v>12</v>
      </c>
      <c r="H17">
        <v>18</v>
      </c>
      <c r="I17">
        <v>302463.08</v>
      </c>
      <c r="J17" t="s">
        <v>46</v>
      </c>
      <c r="K17" t="s">
        <v>16</v>
      </c>
      <c r="L17">
        <f t="shared" si="0"/>
        <v>235219</v>
      </c>
    </row>
    <row r="18" spans="1:12" x14ac:dyDescent="0.3">
      <c r="A18" t="s">
        <v>158</v>
      </c>
      <c r="B18" t="s">
        <v>12</v>
      </c>
      <c r="C18" t="s">
        <v>44</v>
      </c>
      <c r="D18" t="s">
        <v>45</v>
      </c>
      <c r="E18">
        <v>34</v>
      </c>
      <c r="F18">
        <v>84045</v>
      </c>
      <c r="G18">
        <v>5</v>
      </c>
      <c r="H18">
        <v>28</v>
      </c>
      <c r="I18">
        <v>3474756.48</v>
      </c>
      <c r="J18" t="s">
        <v>46</v>
      </c>
      <c r="K18" t="s">
        <v>38</v>
      </c>
      <c r="L18">
        <f t="shared" si="0"/>
        <v>786708</v>
      </c>
    </row>
    <row r="19" spans="1:12" x14ac:dyDescent="0.3">
      <c r="A19" t="s">
        <v>204</v>
      </c>
      <c r="B19" t="s">
        <v>12</v>
      </c>
      <c r="C19" t="s">
        <v>24</v>
      </c>
      <c r="D19" t="s">
        <v>40</v>
      </c>
      <c r="E19">
        <v>24</v>
      </c>
      <c r="F19">
        <v>58954</v>
      </c>
      <c r="G19">
        <v>5</v>
      </c>
      <c r="H19">
        <v>28</v>
      </c>
      <c r="I19">
        <v>1720513.54</v>
      </c>
      <c r="J19" t="s">
        <v>21</v>
      </c>
      <c r="K19" t="s">
        <v>38</v>
      </c>
      <c r="L19">
        <f t="shared" si="0"/>
        <v>993403</v>
      </c>
    </row>
    <row r="20" spans="1:12" x14ac:dyDescent="0.3">
      <c r="A20" t="s">
        <v>91</v>
      </c>
      <c r="B20" t="s">
        <v>12</v>
      </c>
      <c r="C20" t="s">
        <v>24</v>
      </c>
      <c r="D20" t="s">
        <v>40</v>
      </c>
      <c r="E20">
        <v>16</v>
      </c>
      <c r="F20">
        <v>42100</v>
      </c>
      <c r="G20">
        <v>12</v>
      </c>
      <c r="H20">
        <v>28</v>
      </c>
      <c r="I20">
        <v>758743.04000000004</v>
      </c>
      <c r="J20" t="s">
        <v>21</v>
      </c>
      <c r="K20" t="s">
        <v>16</v>
      </c>
      <c r="L20">
        <f t="shared" si="0"/>
        <v>993403</v>
      </c>
    </row>
    <row r="21" spans="1:12" x14ac:dyDescent="0.3">
      <c r="A21" t="s">
        <v>64</v>
      </c>
      <c r="B21" t="s">
        <v>12</v>
      </c>
      <c r="C21" t="s">
        <v>44</v>
      </c>
      <c r="D21" t="s">
        <v>45</v>
      </c>
      <c r="E21">
        <v>30</v>
      </c>
      <c r="F21">
        <v>36509</v>
      </c>
      <c r="G21">
        <v>0</v>
      </c>
      <c r="H21">
        <v>28</v>
      </c>
      <c r="I21">
        <v>1401945.6</v>
      </c>
      <c r="J21" t="s">
        <v>15</v>
      </c>
      <c r="K21" t="s">
        <v>26</v>
      </c>
      <c r="L21">
        <f t="shared" si="0"/>
        <v>786708</v>
      </c>
    </row>
    <row r="22" spans="1:12" x14ac:dyDescent="0.3">
      <c r="A22" t="s">
        <v>172</v>
      </c>
      <c r="B22" t="s">
        <v>12</v>
      </c>
      <c r="C22" t="s">
        <v>29</v>
      </c>
      <c r="D22" t="s">
        <v>30</v>
      </c>
      <c r="E22">
        <v>28</v>
      </c>
      <c r="F22">
        <v>18381</v>
      </c>
      <c r="G22">
        <v>0</v>
      </c>
      <c r="H22">
        <v>12</v>
      </c>
      <c r="I22">
        <v>576428.16</v>
      </c>
      <c r="J22" t="s">
        <v>21</v>
      </c>
      <c r="K22" t="s">
        <v>33</v>
      </c>
      <c r="L22">
        <f t="shared" si="0"/>
        <v>235219</v>
      </c>
    </row>
    <row r="23" spans="1:12" x14ac:dyDescent="0.3">
      <c r="A23" t="s">
        <v>27</v>
      </c>
      <c r="B23" t="s">
        <v>12</v>
      </c>
      <c r="C23" t="s">
        <v>19</v>
      </c>
      <c r="D23" t="s">
        <v>20</v>
      </c>
      <c r="E23">
        <v>21</v>
      </c>
      <c r="F23">
        <v>53185</v>
      </c>
      <c r="G23">
        <v>5</v>
      </c>
      <c r="H23">
        <v>18</v>
      </c>
      <c r="I23">
        <v>1252028.08</v>
      </c>
      <c r="J23" t="s">
        <v>15</v>
      </c>
      <c r="K23" t="s">
        <v>33</v>
      </c>
      <c r="L23">
        <f t="shared" si="0"/>
        <v>581501</v>
      </c>
    </row>
    <row r="24" spans="1:12" x14ac:dyDescent="0.3">
      <c r="A24" t="s">
        <v>150</v>
      </c>
      <c r="B24" t="s">
        <v>12</v>
      </c>
      <c r="C24" t="s">
        <v>44</v>
      </c>
      <c r="D24" t="s">
        <v>51</v>
      </c>
      <c r="E24">
        <v>39</v>
      </c>
      <c r="F24">
        <v>52795</v>
      </c>
      <c r="G24">
        <v>0</v>
      </c>
      <c r="H24">
        <v>12</v>
      </c>
      <c r="I24">
        <v>2306085.6</v>
      </c>
      <c r="J24" t="s">
        <v>46</v>
      </c>
      <c r="K24" t="s">
        <v>16</v>
      </c>
      <c r="L24">
        <f t="shared" si="0"/>
        <v>786708</v>
      </c>
    </row>
    <row r="25" spans="1:12" x14ac:dyDescent="0.3">
      <c r="A25" t="s">
        <v>55</v>
      </c>
      <c r="B25" t="s">
        <v>12</v>
      </c>
      <c r="C25" t="s">
        <v>24</v>
      </c>
      <c r="D25" t="s">
        <v>76</v>
      </c>
      <c r="E25">
        <v>6</v>
      </c>
      <c r="F25">
        <v>46560</v>
      </c>
      <c r="G25">
        <v>10</v>
      </c>
      <c r="H25">
        <v>18</v>
      </c>
      <c r="I25">
        <v>296680.32000000001</v>
      </c>
      <c r="J25" t="s">
        <v>46</v>
      </c>
      <c r="K25" t="s">
        <v>26</v>
      </c>
      <c r="L25">
        <f t="shared" si="0"/>
        <v>993403</v>
      </c>
    </row>
    <row r="26" spans="1:12" x14ac:dyDescent="0.3">
      <c r="A26" t="s">
        <v>61</v>
      </c>
      <c r="B26" t="s">
        <v>12</v>
      </c>
      <c r="C26" t="s">
        <v>24</v>
      </c>
      <c r="D26" t="s">
        <v>40</v>
      </c>
      <c r="E26">
        <v>18</v>
      </c>
      <c r="F26">
        <v>30433</v>
      </c>
      <c r="G26">
        <v>12</v>
      </c>
      <c r="H26">
        <v>28</v>
      </c>
      <c r="I26">
        <v>617035.16</v>
      </c>
      <c r="J26" t="s">
        <v>46</v>
      </c>
      <c r="K26" t="s">
        <v>33</v>
      </c>
      <c r="L26">
        <f t="shared" si="0"/>
        <v>993403</v>
      </c>
    </row>
    <row r="27" spans="1:12" x14ac:dyDescent="0.3">
      <c r="A27" t="s">
        <v>207</v>
      </c>
      <c r="B27" t="s">
        <v>12</v>
      </c>
      <c r="C27" t="s">
        <v>62</v>
      </c>
      <c r="D27" t="s">
        <v>63</v>
      </c>
      <c r="E27">
        <v>1</v>
      </c>
      <c r="F27">
        <v>16733</v>
      </c>
      <c r="G27">
        <v>10</v>
      </c>
      <c r="H27">
        <v>18</v>
      </c>
      <c r="I27">
        <v>17770.45</v>
      </c>
      <c r="J27" t="s">
        <v>15</v>
      </c>
      <c r="K27" t="s">
        <v>33</v>
      </c>
      <c r="L27">
        <f t="shared" si="0"/>
        <v>252752</v>
      </c>
    </row>
    <row r="28" spans="1:12" x14ac:dyDescent="0.3">
      <c r="A28" t="s">
        <v>217</v>
      </c>
      <c r="B28" t="s">
        <v>12</v>
      </c>
      <c r="C28" t="s">
        <v>48</v>
      </c>
      <c r="D28" t="s">
        <v>49</v>
      </c>
      <c r="E28">
        <v>11</v>
      </c>
      <c r="F28">
        <v>57611</v>
      </c>
      <c r="G28">
        <v>10</v>
      </c>
      <c r="H28">
        <v>12</v>
      </c>
      <c r="I28">
        <v>638790.77</v>
      </c>
      <c r="J28" t="s">
        <v>15</v>
      </c>
      <c r="K28" t="s">
        <v>26</v>
      </c>
      <c r="L28">
        <f t="shared" si="0"/>
        <v>548946</v>
      </c>
    </row>
    <row r="29" spans="1:12" x14ac:dyDescent="0.3">
      <c r="A29" t="s">
        <v>219</v>
      </c>
      <c r="B29" t="s">
        <v>12</v>
      </c>
      <c r="C29" t="s">
        <v>35</v>
      </c>
      <c r="D29" t="s">
        <v>36</v>
      </c>
      <c r="E29">
        <v>39</v>
      </c>
      <c r="F29">
        <v>76924</v>
      </c>
      <c r="G29">
        <v>5</v>
      </c>
      <c r="H29">
        <v>28</v>
      </c>
      <c r="I29">
        <v>3648043.78</v>
      </c>
      <c r="J29" t="s">
        <v>37</v>
      </c>
      <c r="K29" t="s">
        <v>33</v>
      </c>
      <c r="L29">
        <f t="shared" si="0"/>
        <v>686405</v>
      </c>
    </row>
    <row r="30" spans="1:12" x14ac:dyDescent="0.3">
      <c r="A30" t="s">
        <v>194</v>
      </c>
      <c r="B30" t="s">
        <v>12</v>
      </c>
      <c r="C30" t="s">
        <v>35</v>
      </c>
      <c r="D30" t="s">
        <v>77</v>
      </c>
      <c r="E30">
        <v>25</v>
      </c>
      <c r="F30">
        <v>81717</v>
      </c>
      <c r="G30">
        <v>5</v>
      </c>
      <c r="H30">
        <v>28</v>
      </c>
      <c r="I30">
        <v>2484196.7999999998</v>
      </c>
      <c r="J30" t="s">
        <v>21</v>
      </c>
      <c r="K30" t="s">
        <v>33</v>
      </c>
      <c r="L30">
        <f t="shared" si="0"/>
        <v>686405</v>
      </c>
    </row>
    <row r="31" spans="1:12" x14ac:dyDescent="0.3">
      <c r="A31" t="s">
        <v>227</v>
      </c>
      <c r="B31" t="s">
        <v>12</v>
      </c>
      <c r="C31" t="s">
        <v>29</v>
      </c>
      <c r="D31" t="s">
        <v>30</v>
      </c>
      <c r="E31">
        <v>28</v>
      </c>
      <c r="F31">
        <v>2665</v>
      </c>
      <c r="G31">
        <v>5</v>
      </c>
      <c r="H31">
        <v>12</v>
      </c>
      <c r="I31">
        <v>79395.679999999993</v>
      </c>
      <c r="J31" t="s">
        <v>15</v>
      </c>
      <c r="K31" t="s">
        <v>38</v>
      </c>
      <c r="L31">
        <f t="shared" si="0"/>
        <v>235219</v>
      </c>
    </row>
    <row r="32" spans="1:12" x14ac:dyDescent="0.3">
      <c r="A32" t="s">
        <v>90</v>
      </c>
      <c r="B32" t="s">
        <v>12</v>
      </c>
      <c r="C32" t="s">
        <v>44</v>
      </c>
      <c r="D32" t="s">
        <v>45</v>
      </c>
      <c r="E32">
        <v>36</v>
      </c>
      <c r="F32">
        <v>20150</v>
      </c>
      <c r="G32">
        <v>10</v>
      </c>
      <c r="H32">
        <v>18</v>
      </c>
      <c r="I32">
        <v>770374.8</v>
      </c>
      <c r="J32" t="s">
        <v>21</v>
      </c>
      <c r="K32" t="s">
        <v>26</v>
      </c>
      <c r="L32">
        <f t="shared" si="0"/>
        <v>786708</v>
      </c>
    </row>
    <row r="33" spans="1:12" x14ac:dyDescent="0.3">
      <c r="A33" t="s">
        <v>98</v>
      </c>
      <c r="B33" t="s">
        <v>12</v>
      </c>
      <c r="C33" t="s">
        <v>35</v>
      </c>
      <c r="D33" t="s">
        <v>36</v>
      </c>
      <c r="E33">
        <v>5</v>
      </c>
      <c r="F33">
        <v>25804</v>
      </c>
      <c r="G33">
        <v>5</v>
      </c>
      <c r="H33">
        <v>18</v>
      </c>
      <c r="I33">
        <v>144631.42000000001</v>
      </c>
      <c r="J33" t="s">
        <v>21</v>
      </c>
      <c r="K33" t="s">
        <v>26</v>
      </c>
      <c r="L33">
        <f t="shared" si="0"/>
        <v>686405</v>
      </c>
    </row>
    <row r="34" spans="1:12" x14ac:dyDescent="0.3">
      <c r="A34" t="s">
        <v>212</v>
      </c>
      <c r="B34" t="s">
        <v>12</v>
      </c>
      <c r="C34" t="s">
        <v>48</v>
      </c>
      <c r="D34" t="s">
        <v>59</v>
      </c>
      <c r="E34">
        <v>17</v>
      </c>
      <c r="F34">
        <v>15153</v>
      </c>
      <c r="G34">
        <v>10</v>
      </c>
      <c r="H34">
        <v>18</v>
      </c>
      <c r="I34">
        <v>273572.26</v>
      </c>
      <c r="J34" t="s">
        <v>15</v>
      </c>
      <c r="K34" t="s">
        <v>16</v>
      </c>
      <c r="L34">
        <f t="shared" ref="L34:L65" si="1">SUMIF(C:C,C34,F:F)</f>
        <v>548946</v>
      </c>
    </row>
    <row r="35" spans="1:12" x14ac:dyDescent="0.3">
      <c r="A35" t="s">
        <v>225</v>
      </c>
      <c r="B35" t="s">
        <v>12</v>
      </c>
      <c r="C35" t="s">
        <v>35</v>
      </c>
      <c r="D35" t="s">
        <v>36</v>
      </c>
      <c r="E35">
        <v>37</v>
      </c>
      <c r="F35">
        <v>81927</v>
      </c>
      <c r="G35">
        <v>5</v>
      </c>
      <c r="H35">
        <v>28</v>
      </c>
      <c r="I35">
        <v>3686059.58</v>
      </c>
      <c r="J35" t="s">
        <v>37</v>
      </c>
      <c r="K35" t="s">
        <v>33</v>
      </c>
      <c r="L35">
        <f t="shared" si="1"/>
        <v>686405</v>
      </c>
    </row>
    <row r="36" spans="1:12" x14ac:dyDescent="0.3">
      <c r="A36" t="s">
        <v>151</v>
      </c>
      <c r="B36" t="s">
        <v>12</v>
      </c>
      <c r="C36" t="s">
        <v>24</v>
      </c>
      <c r="D36" t="s">
        <v>40</v>
      </c>
      <c r="E36">
        <v>6</v>
      </c>
      <c r="F36">
        <v>78256</v>
      </c>
      <c r="G36">
        <v>5</v>
      </c>
      <c r="H36">
        <v>28</v>
      </c>
      <c r="I36">
        <v>570955.78</v>
      </c>
      <c r="J36" t="s">
        <v>46</v>
      </c>
      <c r="K36" t="s">
        <v>33</v>
      </c>
      <c r="L36">
        <f t="shared" si="1"/>
        <v>993403</v>
      </c>
    </row>
    <row r="37" spans="1:12" x14ac:dyDescent="0.3">
      <c r="A37" t="s">
        <v>219</v>
      </c>
      <c r="B37" t="s">
        <v>12</v>
      </c>
      <c r="C37" t="s">
        <v>48</v>
      </c>
      <c r="D37" t="s">
        <v>49</v>
      </c>
      <c r="E37">
        <v>10</v>
      </c>
      <c r="F37">
        <v>62905</v>
      </c>
      <c r="G37">
        <v>5</v>
      </c>
      <c r="H37">
        <v>12</v>
      </c>
      <c r="I37">
        <v>669309.19999999995</v>
      </c>
      <c r="J37" t="s">
        <v>21</v>
      </c>
      <c r="K37" t="s">
        <v>33</v>
      </c>
      <c r="L37">
        <f t="shared" si="1"/>
        <v>548946</v>
      </c>
    </row>
    <row r="38" spans="1:12" x14ac:dyDescent="0.3">
      <c r="A38" t="s">
        <v>157</v>
      </c>
      <c r="B38" t="s">
        <v>12</v>
      </c>
      <c r="C38" t="s">
        <v>24</v>
      </c>
      <c r="D38" t="s">
        <v>25</v>
      </c>
      <c r="E38">
        <v>17</v>
      </c>
      <c r="F38">
        <v>19013</v>
      </c>
      <c r="G38">
        <v>10</v>
      </c>
      <c r="H38">
        <v>18</v>
      </c>
      <c r="I38">
        <v>343260.7</v>
      </c>
      <c r="J38" t="s">
        <v>21</v>
      </c>
      <c r="K38" t="s">
        <v>16</v>
      </c>
      <c r="L38">
        <f t="shared" si="1"/>
        <v>993403</v>
      </c>
    </row>
    <row r="39" spans="1:12" x14ac:dyDescent="0.3">
      <c r="A39" t="s">
        <v>232</v>
      </c>
      <c r="B39" t="s">
        <v>12</v>
      </c>
      <c r="C39" t="s">
        <v>24</v>
      </c>
      <c r="D39" t="s">
        <v>25</v>
      </c>
      <c r="E39">
        <v>1</v>
      </c>
      <c r="F39">
        <v>68925</v>
      </c>
      <c r="G39">
        <v>5</v>
      </c>
      <c r="H39">
        <v>12</v>
      </c>
      <c r="I39">
        <v>73336.2</v>
      </c>
      <c r="J39" t="s">
        <v>21</v>
      </c>
      <c r="K39" t="s">
        <v>33</v>
      </c>
      <c r="L39">
        <f t="shared" si="1"/>
        <v>993403</v>
      </c>
    </row>
    <row r="40" spans="1:12" x14ac:dyDescent="0.3">
      <c r="A40" t="s">
        <v>223</v>
      </c>
      <c r="B40" t="s">
        <v>12</v>
      </c>
      <c r="C40" t="s">
        <v>29</v>
      </c>
      <c r="D40" t="s">
        <v>30</v>
      </c>
      <c r="E40">
        <v>13</v>
      </c>
      <c r="F40">
        <v>8084</v>
      </c>
      <c r="G40">
        <v>12</v>
      </c>
      <c r="H40">
        <v>28</v>
      </c>
      <c r="I40">
        <v>118375.63</v>
      </c>
      <c r="J40" t="s">
        <v>15</v>
      </c>
      <c r="K40" t="s">
        <v>26</v>
      </c>
      <c r="L40">
        <f t="shared" si="1"/>
        <v>235219</v>
      </c>
    </row>
    <row r="41" spans="1:12" x14ac:dyDescent="0.3">
      <c r="A41" t="s">
        <v>110</v>
      </c>
      <c r="B41" t="s">
        <v>12</v>
      </c>
      <c r="C41" t="s">
        <v>19</v>
      </c>
      <c r="D41" t="s">
        <v>20</v>
      </c>
      <c r="E41">
        <v>37</v>
      </c>
      <c r="F41">
        <v>5197</v>
      </c>
      <c r="G41">
        <v>0</v>
      </c>
      <c r="H41">
        <v>28</v>
      </c>
      <c r="I41">
        <v>246129.92000000001</v>
      </c>
      <c r="J41" t="s">
        <v>21</v>
      </c>
      <c r="K41" t="s">
        <v>38</v>
      </c>
      <c r="L41">
        <f t="shared" si="1"/>
        <v>581501</v>
      </c>
    </row>
    <row r="42" spans="1:12" x14ac:dyDescent="0.3">
      <c r="A42" t="s">
        <v>179</v>
      </c>
      <c r="B42" t="s">
        <v>12</v>
      </c>
      <c r="C42" t="s">
        <v>62</v>
      </c>
      <c r="D42" t="s">
        <v>63</v>
      </c>
      <c r="E42">
        <v>38</v>
      </c>
      <c r="F42">
        <v>13530</v>
      </c>
      <c r="G42">
        <v>10</v>
      </c>
      <c r="H42">
        <v>28</v>
      </c>
      <c r="I42">
        <v>592289.28000000003</v>
      </c>
      <c r="J42" t="s">
        <v>37</v>
      </c>
      <c r="K42" t="s">
        <v>16</v>
      </c>
      <c r="L42">
        <f t="shared" si="1"/>
        <v>252752</v>
      </c>
    </row>
    <row r="43" spans="1:12" x14ac:dyDescent="0.3">
      <c r="A43" t="s">
        <v>142</v>
      </c>
      <c r="B43" t="s">
        <v>12</v>
      </c>
      <c r="C43" t="s">
        <v>24</v>
      </c>
      <c r="D43" t="s">
        <v>76</v>
      </c>
      <c r="E43">
        <v>16</v>
      </c>
      <c r="F43">
        <v>26539</v>
      </c>
      <c r="G43">
        <v>5</v>
      </c>
      <c r="H43">
        <v>18</v>
      </c>
      <c r="I43">
        <v>476003.5</v>
      </c>
      <c r="J43" t="s">
        <v>15</v>
      </c>
      <c r="K43" t="s">
        <v>38</v>
      </c>
      <c r="L43">
        <f t="shared" si="1"/>
        <v>993403</v>
      </c>
    </row>
    <row r="44" spans="1:12" x14ac:dyDescent="0.3">
      <c r="A44" t="s">
        <v>90</v>
      </c>
      <c r="B44" t="s">
        <v>12</v>
      </c>
      <c r="C44" t="s">
        <v>44</v>
      </c>
      <c r="D44" t="s">
        <v>45</v>
      </c>
      <c r="E44">
        <v>33</v>
      </c>
      <c r="F44">
        <v>20972</v>
      </c>
      <c r="G44">
        <v>12</v>
      </c>
      <c r="H44">
        <v>12</v>
      </c>
      <c r="I44">
        <v>682110.11</v>
      </c>
      <c r="J44" t="s">
        <v>46</v>
      </c>
      <c r="K44" t="s">
        <v>26</v>
      </c>
      <c r="L44">
        <f t="shared" si="1"/>
        <v>786708</v>
      </c>
    </row>
    <row r="45" spans="1:12" x14ac:dyDescent="0.3">
      <c r="A45" t="s">
        <v>150</v>
      </c>
      <c r="B45" t="s">
        <v>12</v>
      </c>
      <c r="C45" t="s">
        <v>44</v>
      </c>
      <c r="D45" t="s">
        <v>51</v>
      </c>
      <c r="E45">
        <v>36</v>
      </c>
      <c r="F45">
        <v>72551</v>
      </c>
      <c r="G45">
        <v>0</v>
      </c>
      <c r="H45">
        <v>12</v>
      </c>
      <c r="I45">
        <v>2925256.32</v>
      </c>
      <c r="J45" t="s">
        <v>37</v>
      </c>
      <c r="K45" t="s">
        <v>26</v>
      </c>
      <c r="L45">
        <f t="shared" si="1"/>
        <v>786708</v>
      </c>
    </row>
    <row r="46" spans="1:12" x14ac:dyDescent="0.3">
      <c r="A46" t="s">
        <v>184</v>
      </c>
      <c r="B46" t="s">
        <v>12</v>
      </c>
      <c r="C46" t="s">
        <v>44</v>
      </c>
      <c r="D46" t="s">
        <v>51</v>
      </c>
      <c r="E46">
        <v>26</v>
      </c>
      <c r="F46">
        <v>40064</v>
      </c>
      <c r="G46">
        <v>0</v>
      </c>
      <c r="H46">
        <v>12</v>
      </c>
      <c r="I46">
        <v>1166663.6799999999</v>
      </c>
      <c r="J46" t="s">
        <v>21</v>
      </c>
      <c r="K46" t="s">
        <v>16</v>
      </c>
      <c r="L46">
        <f t="shared" si="1"/>
        <v>786708</v>
      </c>
    </row>
    <row r="47" spans="1:12" x14ac:dyDescent="0.3">
      <c r="A47" t="s">
        <v>90</v>
      </c>
      <c r="B47" t="s">
        <v>12</v>
      </c>
      <c r="C47" t="s">
        <v>62</v>
      </c>
      <c r="D47" t="s">
        <v>63</v>
      </c>
      <c r="E47">
        <v>13</v>
      </c>
      <c r="F47">
        <v>25969</v>
      </c>
      <c r="G47">
        <v>5</v>
      </c>
      <c r="H47">
        <v>18</v>
      </c>
      <c r="I47">
        <v>378446.24</v>
      </c>
      <c r="J47" t="s">
        <v>37</v>
      </c>
      <c r="K47" t="s">
        <v>16</v>
      </c>
      <c r="L47">
        <f t="shared" si="1"/>
        <v>252752</v>
      </c>
    </row>
    <row r="48" spans="1:12" x14ac:dyDescent="0.3">
      <c r="A48" t="s">
        <v>230</v>
      </c>
      <c r="B48" t="s">
        <v>12</v>
      </c>
      <c r="C48" t="s">
        <v>35</v>
      </c>
      <c r="D48" t="s">
        <v>36</v>
      </c>
      <c r="E48">
        <v>13</v>
      </c>
      <c r="F48">
        <v>44393</v>
      </c>
      <c r="G48">
        <v>10</v>
      </c>
      <c r="H48">
        <v>18</v>
      </c>
      <c r="I48">
        <v>612889.76</v>
      </c>
      <c r="J48" t="s">
        <v>15</v>
      </c>
      <c r="K48" t="s">
        <v>16</v>
      </c>
      <c r="L48">
        <f t="shared" si="1"/>
        <v>686405</v>
      </c>
    </row>
    <row r="49" spans="1:12" x14ac:dyDescent="0.3">
      <c r="A49" t="s">
        <v>198</v>
      </c>
      <c r="B49" t="s">
        <v>12</v>
      </c>
      <c r="C49" t="s">
        <v>62</v>
      </c>
      <c r="D49" t="s">
        <v>92</v>
      </c>
      <c r="E49">
        <v>10</v>
      </c>
      <c r="F49">
        <v>30432</v>
      </c>
      <c r="G49">
        <v>12</v>
      </c>
      <c r="H49">
        <v>12</v>
      </c>
      <c r="I49">
        <v>299937.78999999998</v>
      </c>
      <c r="J49" t="s">
        <v>15</v>
      </c>
      <c r="K49" t="s">
        <v>33</v>
      </c>
      <c r="L49">
        <f t="shared" si="1"/>
        <v>252752</v>
      </c>
    </row>
    <row r="50" spans="1:12" x14ac:dyDescent="0.3">
      <c r="A50" t="s">
        <v>127</v>
      </c>
      <c r="B50" t="s">
        <v>12</v>
      </c>
      <c r="C50" t="s">
        <v>35</v>
      </c>
      <c r="D50" t="s">
        <v>56</v>
      </c>
      <c r="E50">
        <v>7</v>
      </c>
      <c r="F50">
        <v>45778</v>
      </c>
      <c r="G50">
        <v>5</v>
      </c>
      <c r="H50">
        <v>28</v>
      </c>
      <c r="I50">
        <v>389662.34</v>
      </c>
      <c r="J50" t="s">
        <v>46</v>
      </c>
      <c r="K50" t="s">
        <v>16</v>
      </c>
      <c r="L50">
        <f t="shared" si="1"/>
        <v>686405</v>
      </c>
    </row>
    <row r="51" spans="1:12" x14ac:dyDescent="0.3">
      <c r="A51" t="s">
        <v>72</v>
      </c>
      <c r="B51" t="s">
        <v>12</v>
      </c>
      <c r="C51" t="s">
        <v>35</v>
      </c>
      <c r="D51" t="s">
        <v>77</v>
      </c>
      <c r="E51">
        <v>27</v>
      </c>
      <c r="F51">
        <v>65218</v>
      </c>
      <c r="G51">
        <v>5</v>
      </c>
      <c r="H51">
        <v>12</v>
      </c>
      <c r="I51">
        <v>1873582.7</v>
      </c>
      <c r="J51" t="s">
        <v>15</v>
      </c>
      <c r="K51" t="s">
        <v>33</v>
      </c>
      <c r="L51">
        <f t="shared" si="1"/>
        <v>686405</v>
      </c>
    </row>
    <row r="52" spans="1:12" x14ac:dyDescent="0.3">
      <c r="A52" t="s">
        <v>55</v>
      </c>
      <c r="B52" t="s">
        <v>12</v>
      </c>
      <c r="C52" t="s">
        <v>24</v>
      </c>
      <c r="D52" t="s">
        <v>40</v>
      </c>
      <c r="E52">
        <v>9</v>
      </c>
      <c r="F52">
        <v>10318</v>
      </c>
      <c r="G52">
        <v>0</v>
      </c>
      <c r="H52">
        <v>28</v>
      </c>
      <c r="I52">
        <v>118863.36</v>
      </c>
      <c r="J52" t="s">
        <v>15</v>
      </c>
      <c r="K52" t="s">
        <v>33</v>
      </c>
      <c r="L52">
        <f t="shared" si="1"/>
        <v>993403</v>
      </c>
    </row>
    <row r="53" spans="1:12" x14ac:dyDescent="0.3">
      <c r="A53" t="s">
        <v>125</v>
      </c>
      <c r="B53" t="s">
        <v>12</v>
      </c>
      <c r="C53" t="s">
        <v>19</v>
      </c>
      <c r="D53" t="s">
        <v>20</v>
      </c>
      <c r="E53">
        <v>30</v>
      </c>
      <c r="F53">
        <v>27424</v>
      </c>
      <c r="G53">
        <v>5</v>
      </c>
      <c r="H53">
        <v>18</v>
      </c>
      <c r="I53">
        <v>922269.12</v>
      </c>
      <c r="J53" t="s">
        <v>46</v>
      </c>
      <c r="K53" t="s">
        <v>33</v>
      </c>
      <c r="L53">
        <f t="shared" si="1"/>
        <v>581501</v>
      </c>
    </row>
    <row r="54" spans="1:12" x14ac:dyDescent="0.3">
      <c r="A54" t="s">
        <v>90</v>
      </c>
      <c r="B54" t="s">
        <v>12</v>
      </c>
      <c r="C54" t="s">
        <v>19</v>
      </c>
      <c r="D54" t="s">
        <v>20</v>
      </c>
      <c r="E54">
        <v>11</v>
      </c>
      <c r="F54">
        <v>67400</v>
      </c>
      <c r="G54">
        <v>10</v>
      </c>
      <c r="H54">
        <v>12</v>
      </c>
      <c r="I54">
        <v>747331.2</v>
      </c>
      <c r="J54" t="s">
        <v>46</v>
      </c>
      <c r="K54" t="s">
        <v>26</v>
      </c>
      <c r="L54">
        <f t="shared" si="1"/>
        <v>581501</v>
      </c>
    </row>
    <row r="55" spans="1:12" x14ac:dyDescent="0.3">
      <c r="A55" t="s">
        <v>83</v>
      </c>
      <c r="B55" t="s">
        <v>12</v>
      </c>
      <c r="C55" t="s">
        <v>29</v>
      </c>
      <c r="D55" t="s">
        <v>30</v>
      </c>
      <c r="E55">
        <v>37</v>
      </c>
      <c r="F55">
        <v>43245</v>
      </c>
      <c r="G55">
        <v>0</v>
      </c>
      <c r="H55">
        <v>28</v>
      </c>
      <c r="I55">
        <v>2048083.2</v>
      </c>
      <c r="J55" t="s">
        <v>15</v>
      </c>
      <c r="K55" t="s">
        <v>26</v>
      </c>
      <c r="L55">
        <f t="shared" si="1"/>
        <v>235219</v>
      </c>
    </row>
    <row r="56" spans="1:12" x14ac:dyDescent="0.3">
      <c r="A56" t="s">
        <v>148</v>
      </c>
      <c r="B56" t="s">
        <v>12</v>
      </c>
      <c r="C56" t="s">
        <v>44</v>
      </c>
      <c r="D56" t="s">
        <v>45</v>
      </c>
      <c r="E56">
        <v>15</v>
      </c>
      <c r="F56">
        <v>14406</v>
      </c>
      <c r="G56">
        <v>10</v>
      </c>
      <c r="H56">
        <v>12</v>
      </c>
      <c r="I56">
        <v>217818.72</v>
      </c>
      <c r="J56" t="s">
        <v>37</v>
      </c>
      <c r="K56" t="s">
        <v>26</v>
      </c>
      <c r="L56">
        <f t="shared" si="1"/>
        <v>786708</v>
      </c>
    </row>
    <row r="57" spans="1:12" x14ac:dyDescent="0.3">
      <c r="A57" t="s">
        <v>104</v>
      </c>
      <c r="B57" t="s">
        <v>12</v>
      </c>
      <c r="C57" t="s">
        <v>24</v>
      </c>
      <c r="D57" t="s">
        <v>76</v>
      </c>
      <c r="E57">
        <v>18</v>
      </c>
      <c r="F57">
        <v>6322</v>
      </c>
      <c r="G57">
        <v>12</v>
      </c>
      <c r="H57">
        <v>28</v>
      </c>
      <c r="I57">
        <v>128179.81</v>
      </c>
      <c r="J57" t="s">
        <v>21</v>
      </c>
      <c r="K57" t="s">
        <v>26</v>
      </c>
      <c r="L57">
        <f t="shared" si="1"/>
        <v>993403</v>
      </c>
    </row>
    <row r="58" spans="1:12" x14ac:dyDescent="0.3">
      <c r="A58" t="s">
        <v>69</v>
      </c>
      <c r="B58" t="s">
        <v>12</v>
      </c>
      <c r="C58" t="s">
        <v>29</v>
      </c>
      <c r="D58" t="s">
        <v>30</v>
      </c>
      <c r="E58">
        <v>36</v>
      </c>
      <c r="F58">
        <v>45988</v>
      </c>
      <c r="G58">
        <v>10</v>
      </c>
      <c r="H58">
        <v>18</v>
      </c>
      <c r="I58">
        <v>1758213.22</v>
      </c>
      <c r="J58" t="s">
        <v>21</v>
      </c>
      <c r="K58" t="s">
        <v>38</v>
      </c>
      <c r="L58">
        <f t="shared" si="1"/>
        <v>235219</v>
      </c>
    </row>
    <row r="59" spans="1:12" x14ac:dyDescent="0.3">
      <c r="A59" t="s">
        <v>113</v>
      </c>
      <c r="B59" t="s">
        <v>12</v>
      </c>
      <c r="C59" t="s">
        <v>19</v>
      </c>
      <c r="D59" t="s">
        <v>20</v>
      </c>
      <c r="E59">
        <v>34</v>
      </c>
      <c r="F59">
        <v>23962</v>
      </c>
      <c r="G59">
        <v>0</v>
      </c>
      <c r="H59">
        <v>18</v>
      </c>
      <c r="I59">
        <v>961355.44</v>
      </c>
      <c r="J59" t="s">
        <v>21</v>
      </c>
      <c r="K59" t="s">
        <v>16</v>
      </c>
      <c r="L59">
        <f t="shared" si="1"/>
        <v>581501</v>
      </c>
    </row>
    <row r="60" spans="1:12" x14ac:dyDescent="0.3">
      <c r="A60" t="s">
        <v>88</v>
      </c>
      <c r="B60" t="s">
        <v>12</v>
      </c>
      <c r="C60" t="s">
        <v>44</v>
      </c>
      <c r="D60" t="s">
        <v>45</v>
      </c>
      <c r="E60">
        <v>14</v>
      </c>
      <c r="F60">
        <v>18160</v>
      </c>
      <c r="G60">
        <v>10</v>
      </c>
      <c r="H60">
        <v>18</v>
      </c>
      <c r="I60">
        <v>270002.88</v>
      </c>
      <c r="J60" t="s">
        <v>15</v>
      </c>
      <c r="K60" t="s">
        <v>33</v>
      </c>
      <c r="L60">
        <f t="shared" si="1"/>
        <v>786708</v>
      </c>
    </row>
    <row r="61" spans="1:12" x14ac:dyDescent="0.3">
      <c r="A61" t="s">
        <v>68</v>
      </c>
      <c r="B61" t="s">
        <v>12</v>
      </c>
      <c r="C61" t="s">
        <v>24</v>
      </c>
      <c r="D61" t="s">
        <v>76</v>
      </c>
      <c r="E61">
        <v>25</v>
      </c>
      <c r="F61">
        <v>9407</v>
      </c>
      <c r="G61">
        <v>10</v>
      </c>
      <c r="H61">
        <v>12</v>
      </c>
      <c r="I61">
        <v>237056.4</v>
      </c>
      <c r="J61" t="s">
        <v>46</v>
      </c>
      <c r="K61" t="s">
        <v>16</v>
      </c>
      <c r="L61">
        <f t="shared" si="1"/>
        <v>993403</v>
      </c>
    </row>
    <row r="62" spans="1:12" x14ac:dyDescent="0.3">
      <c r="A62" t="s">
        <v>94</v>
      </c>
      <c r="B62" t="s">
        <v>12</v>
      </c>
      <c r="C62" t="s">
        <v>13</v>
      </c>
      <c r="D62" t="s">
        <v>14</v>
      </c>
      <c r="E62">
        <v>38</v>
      </c>
      <c r="F62">
        <v>58338</v>
      </c>
      <c r="G62">
        <v>5</v>
      </c>
      <c r="H62">
        <v>28</v>
      </c>
      <c r="I62">
        <v>2695682.3</v>
      </c>
      <c r="J62" t="s">
        <v>37</v>
      </c>
      <c r="K62" t="s">
        <v>38</v>
      </c>
      <c r="L62">
        <f t="shared" si="1"/>
        <v>422592</v>
      </c>
    </row>
    <row r="63" spans="1:12" x14ac:dyDescent="0.3">
      <c r="A63" t="s">
        <v>197</v>
      </c>
      <c r="B63" t="s">
        <v>12</v>
      </c>
      <c r="C63" t="s">
        <v>24</v>
      </c>
      <c r="D63" t="s">
        <v>25</v>
      </c>
      <c r="E63">
        <v>20</v>
      </c>
      <c r="F63">
        <v>13869</v>
      </c>
      <c r="G63">
        <v>0</v>
      </c>
      <c r="H63">
        <v>28</v>
      </c>
      <c r="I63">
        <v>355046.40000000002</v>
      </c>
      <c r="J63" t="s">
        <v>37</v>
      </c>
      <c r="K63" t="s">
        <v>33</v>
      </c>
      <c r="L63">
        <f t="shared" si="1"/>
        <v>993403</v>
      </c>
    </row>
    <row r="64" spans="1:12" x14ac:dyDescent="0.3">
      <c r="A64" t="s">
        <v>88</v>
      </c>
      <c r="B64" t="s">
        <v>12</v>
      </c>
      <c r="C64" t="s">
        <v>24</v>
      </c>
      <c r="D64" t="s">
        <v>25</v>
      </c>
      <c r="E64">
        <v>5</v>
      </c>
      <c r="F64">
        <v>13647</v>
      </c>
      <c r="G64">
        <v>12</v>
      </c>
      <c r="H64">
        <v>28</v>
      </c>
      <c r="I64">
        <v>76859.899999999994</v>
      </c>
      <c r="J64" t="s">
        <v>46</v>
      </c>
      <c r="K64" t="s">
        <v>26</v>
      </c>
      <c r="L64">
        <f t="shared" si="1"/>
        <v>993403</v>
      </c>
    </row>
    <row r="65" spans="1:12" x14ac:dyDescent="0.3">
      <c r="A65" t="s">
        <v>74</v>
      </c>
      <c r="B65" t="s">
        <v>12</v>
      </c>
      <c r="C65" t="s">
        <v>24</v>
      </c>
      <c r="D65" t="s">
        <v>40</v>
      </c>
      <c r="E65">
        <v>13</v>
      </c>
      <c r="F65">
        <v>76766</v>
      </c>
      <c r="G65">
        <v>12</v>
      </c>
      <c r="H65">
        <v>28</v>
      </c>
      <c r="I65">
        <v>1124099.8899999999</v>
      </c>
      <c r="J65" t="s">
        <v>37</v>
      </c>
      <c r="K65" t="s">
        <v>33</v>
      </c>
      <c r="L65">
        <f t="shared" si="1"/>
        <v>993403</v>
      </c>
    </row>
    <row r="66" spans="1:12" x14ac:dyDescent="0.3">
      <c r="A66" t="s">
        <v>69</v>
      </c>
      <c r="B66" t="s">
        <v>12</v>
      </c>
      <c r="C66" t="s">
        <v>29</v>
      </c>
      <c r="D66" t="s">
        <v>30</v>
      </c>
      <c r="E66">
        <v>22</v>
      </c>
      <c r="F66">
        <v>21521</v>
      </c>
      <c r="G66">
        <v>0</v>
      </c>
      <c r="H66">
        <v>18</v>
      </c>
      <c r="I66">
        <v>558685.16</v>
      </c>
      <c r="J66" t="s">
        <v>15</v>
      </c>
      <c r="K66" t="s">
        <v>38</v>
      </c>
      <c r="L66">
        <f t="shared" ref="L66:L97" si="2">SUMIF(C:C,C66,F:F)</f>
        <v>235219</v>
      </c>
    </row>
    <row r="67" spans="1:12" x14ac:dyDescent="0.3">
      <c r="A67" t="s">
        <v>88</v>
      </c>
      <c r="B67" t="s">
        <v>12</v>
      </c>
      <c r="C67" t="s">
        <v>24</v>
      </c>
      <c r="D67" t="s">
        <v>76</v>
      </c>
      <c r="E67">
        <v>26</v>
      </c>
      <c r="F67">
        <v>9501</v>
      </c>
      <c r="G67">
        <v>10</v>
      </c>
      <c r="H67">
        <v>18</v>
      </c>
      <c r="I67">
        <v>262341.61</v>
      </c>
      <c r="J67" t="s">
        <v>15</v>
      </c>
      <c r="K67" t="s">
        <v>33</v>
      </c>
      <c r="L67">
        <f t="shared" si="2"/>
        <v>993403</v>
      </c>
    </row>
    <row r="68" spans="1:12" x14ac:dyDescent="0.3">
      <c r="A68" t="s">
        <v>111</v>
      </c>
      <c r="B68" t="s">
        <v>12</v>
      </c>
      <c r="C68" t="s">
        <v>24</v>
      </c>
      <c r="D68" t="s">
        <v>76</v>
      </c>
      <c r="E68">
        <v>6</v>
      </c>
      <c r="F68">
        <v>5985</v>
      </c>
      <c r="G68">
        <v>5</v>
      </c>
      <c r="H68">
        <v>18</v>
      </c>
      <c r="I68">
        <v>40255.11</v>
      </c>
      <c r="J68" t="s">
        <v>37</v>
      </c>
      <c r="K68" t="s">
        <v>26</v>
      </c>
      <c r="L68">
        <f t="shared" si="2"/>
        <v>993403</v>
      </c>
    </row>
    <row r="69" spans="1:12" x14ac:dyDescent="0.3">
      <c r="A69" t="s">
        <v>124</v>
      </c>
      <c r="B69" t="s">
        <v>12</v>
      </c>
      <c r="C69" t="s">
        <v>24</v>
      </c>
      <c r="D69" t="s">
        <v>76</v>
      </c>
      <c r="E69">
        <v>13</v>
      </c>
      <c r="F69">
        <v>21448</v>
      </c>
      <c r="G69">
        <v>0</v>
      </c>
      <c r="H69">
        <v>12</v>
      </c>
      <c r="I69">
        <v>312282.88</v>
      </c>
      <c r="J69" t="s">
        <v>37</v>
      </c>
      <c r="K69" t="s">
        <v>16</v>
      </c>
      <c r="L69">
        <f t="shared" si="2"/>
        <v>993403</v>
      </c>
    </row>
    <row r="70" spans="1:12" x14ac:dyDescent="0.3">
      <c r="A70" t="s">
        <v>54</v>
      </c>
      <c r="B70" t="s">
        <v>12</v>
      </c>
      <c r="C70" t="s">
        <v>62</v>
      </c>
      <c r="D70" t="s">
        <v>63</v>
      </c>
      <c r="E70">
        <v>10</v>
      </c>
      <c r="F70">
        <v>17423</v>
      </c>
      <c r="G70">
        <v>10</v>
      </c>
      <c r="H70">
        <v>18</v>
      </c>
      <c r="I70">
        <v>185032.26</v>
      </c>
      <c r="J70" t="s">
        <v>46</v>
      </c>
      <c r="K70" t="s">
        <v>16</v>
      </c>
      <c r="L70">
        <f t="shared" si="2"/>
        <v>252752</v>
      </c>
    </row>
    <row r="71" spans="1:12" x14ac:dyDescent="0.3">
      <c r="A71" t="s">
        <v>88</v>
      </c>
      <c r="B71" t="s">
        <v>12</v>
      </c>
      <c r="C71" t="s">
        <v>44</v>
      </c>
      <c r="D71" t="s">
        <v>51</v>
      </c>
      <c r="E71">
        <v>25</v>
      </c>
      <c r="F71">
        <v>64782</v>
      </c>
      <c r="G71">
        <v>5</v>
      </c>
      <c r="H71">
        <v>12</v>
      </c>
      <c r="I71">
        <v>1723201.2</v>
      </c>
      <c r="J71" t="s">
        <v>15</v>
      </c>
      <c r="K71" t="s">
        <v>33</v>
      </c>
      <c r="L71">
        <f t="shared" si="2"/>
        <v>786708</v>
      </c>
    </row>
    <row r="72" spans="1:12" x14ac:dyDescent="0.3">
      <c r="A72" t="s">
        <v>184</v>
      </c>
      <c r="B72" t="s">
        <v>12</v>
      </c>
      <c r="C72" t="s">
        <v>62</v>
      </c>
      <c r="D72" t="s">
        <v>63</v>
      </c>
      <c r="E72">
        <v>21</v>
      </c>
      <c r="F72">
        <v>15416</v>
      </c>
      <c r="G72">
        <v>10</v>
      </c>
      <c r="H72">
        <v>18</v>
      </c>
      <c r="I72">
        <v>343807.63</v>
      </c>
      <c r="J72" t="s">
        <v>21</v>
      </c>
      <c r="K72" t="s">
        <v>38</v>
      </c>
      <c r="L72">
        <f t="shared" si="2"/>
        <v>252752</v>
      </c>
    </row>
    <row r="73" spans="1:12" x14ac:dyDescent="0.3">
      <c r="A73" t="s">
        <v>22</v>
      </c>
      <c r="B73" t="s">
        <v>12</v>
      </c>
      <c r="C73" t="s">
        <v>62</v>
      </c>
      <c r="D73" t="s">
        <v>92</v>
      </c>
      <c r="E73">
        <v>34</v>
      </c>
      <c r="F73">
        <v>22527</v>
      </c>
      <c r="G73">
        <v>0</v>
      </c>
      <c r="H73">
        <v>18</v>
      </c>
      <c r="I73">
        <v>903783.24</v>
      </c>
      <c r="J73" t="s">
        <v>37</v>
      </c>
      <c r="K73" t="s">
        <v>38</v>
      </c>
      <c r="L73">
        <f t="shared" si="2"/>
        <v>252752</v>
      </c>
    </row>
    <row r="74" spans="1:12" x14ac:dyDescent="0.3">
      <c r="A74" t="s">
        <v>156</v>
      </c>
      <c r="B74" t="s">
        <v>12</v>
      </c>
      <c r="C74" t="s">
        <v>24</v>
      </c>
      <c r="D74" t="s">
        <v>40</v>
      </c>
      <c r="E74">
        <v>16</v>
      </c>
      <c r="F74">
        <v>77157</v>
      </c>
      <c r="G74">
        <v>5</v>
      </c>
      <c r="H74">
        <v>12</v>
      </c>
      <c r="I74">
        <v>1313520.77</v>
      </c>
      <c r="J74" t="s">
        <v>37</v>
      </c>
      <c r="K74" t="s">
        <v>33</v>
      </c>
      <c r="L74">
        <f t="shared" si="2"/>
        <v>993403</v>
      </c>
    </row>
    <row r="75" spans="1:12" x14ac:dyDescent="0.3">
      <c r="A75" t="s">
        <v>11</v>
      </c>
      <c r="B75" t="s">
        <v>12</v>
      </c>
      <c r="C75" t="s">
        <v>24</v>
      </c>
      <c r="D75" t="s">
        <v>40</v>
      </c>
      <c r="E75">
        <v>28</v>
      </c>
      <c r="F75">
        <v>5585</v>
      </c>
      <c r="G75">
        <v>0</v>
      </c>
      <c r="H75">
        <v>28</v>
      </c>
      <c r="I75">
        <v>200166.39999999999</v>
      </c>
      <c r="J75" t="s">
        <v>46</v>
      </c>
      <c r="K75" t="s">
        <v>16</v>
      </c>
      <c r="L75">
        <f t="shared" si="2"/>
        <v>993403</v>
      </c>
    </row>
    <row r="76" spans="1:12" x14ac:dyDescent="0.3">
      <c r="A76" t="s">
        <v>208</v>
      </c>
      <c r="B76" t="s">
        <v>12</v>
      </c>
      <c r="C76" t="s">
        <v>48</v>
      </c>
      <c r="D76" t="s">
        <v>59</v>
      </c>
      <c r="E76">
        <v>14</v>
      </c>
      <c r="F76">
        <v>81389</v>
      </c>
      <c r="G76">
        <v>5</v>
      </c>
      <c r="H76">
        <v>18</v>
      </c>
      <c r="I76">
        <v>1277318.97</v>
      </c>
      <c r="J76" t="s">
        <v>15</v>
      </c>
      <c r="K76" t="s">
        <v>38</v>
      </c>
      <c r="L76">
        <f t="shared" si="2"/>
        <v>548946</v>
      </c>
    </row>
    <row r="77" spans="1:12" x14ac:dyDescent="0.3">
      <c r="A77" t="s">
        <v>90</v>
      </c>
      <c r="B77" t="s">
        <v>12</v>
      </c>
      <c r="C77" t="s">
        <v>44</v>
      </c>
      <c r="D77" t="s">
        <v>51</v>
      </c>
      <c r="E77">
        <v>12</v>
      </c>
      <c r="F77">
        <v>7859</v>
      </c>
      <c r="G77">
        <v>10</v>
      </c>
      <c r="H77">
        <v>28</v>
      </c>
      <c r="I77">
        <v>108642.82</v>
      </c>
      <c r="J77" t="s">
        <v>37</v>
      </c>
      <c r="K77" t="s">
        <v>26</v>
      </c>
      <c r="L77">
        <f t="shared" si="2"/>
        <v>786708</v>
      </c>
    </row>
    <row r="78" spans="1:12" x14ac:dyDescent="0.3">
      <c r="A78" t="s">
        <v>198</v>
      </c>
      <c r="B78" t="s">
        <v>12</v>
      </c>
      <c r="C78" t="s">
        <v>44</v>
      </c>
      <c r="D78" t="s">
        <v>45</v>
      </c>
      <c r="E78">
        <v>18</v>
      </c>
      <c r="F78">
        <v>2831</v>
      </c>
      <c r="G78">
        <v>12</v>
      </c>
      <c r="H78">
        <v>12</v>
      </c>
      <c r="I78">
        <v>50224.2</v>
      </c>
      <c r="J78" t="s">
        <v>37</v>
      </c>
      <c r="K78" t="s">
        <v>16</v>
      </c>
      <c r="L78">
        <f t="shared" si="2"/>
        <v>786708</v>
      </c>
    </row>
    <row r="79" spans="1:12" x14ac:dyDescent="0.3">
      <c r="A79" t="s">
        <v>91</v>
      </c>
      <c r="B79" t="s">
        <v>12</v>
      </c>
      <c r="C79" t="s">
        <v>44</v>
      </c>
      <c r="D79" t="s">
        <v>45</v>
      </c>
      <c r="E79">
        <v>32</v>
      </c>
      <c r="F79">
        <v>84632</v>
      </c>
      <c r="G79">
        <v>10</v>
      </c>
      <c r="H79">
        <v>18</v>
      </c>
      <c r="I79">
        <v>2876133.89</v>
      </c>
      <c r="J79" t="s">
        <v>37</v>
      </c>
      <c r="K79" t="s">
        <v>38</v>
      </c>
      <c r="L79">
        <f t="shared" si="2"/>
        <v>786708</v>
      </c>
    </row>
    <row r="80" spans="1:12" x14ac:dyDescent="0.3">
      <c r="A80" t="s">
        <v>52</v>
      </c>
      <c r="B80" t="s">
        <v>12</v>
      </c>
      <c r="C80" t="s">
        <v>13</v>
      </c>
      <c r="D80" t="s">
        <v>32</v>
      </c>
      <c r="E80">
        <v>3</v>
      </c>
      <c r="F80">
        <v>51992</v>
      </c>
      <c r="G80">
        <v>0</v>
      </c>
      <c r="H80">
        <v>18</v>
      </c>
      <c r="I80">
        <v>184051.68</v>
      </c>
      <c r="J80" t="s">
        <v>15</v>
      </c>
      <c r="K80" t="s">
        <v>26</v>
      </c>
      <c r="L80">
        <f t="shared" si="2"/>
        <v>422592</v>
      </c>
    </row>
    <row r="81" spans="1:12" x14ac:dyDescent="0.3">
      <c r="A81" t="s">
        <v>146</v>
      </c>
      <c r="B81" t="s">
        <v>12</v>
      </c>
      <c r="C81" t="s">
        <v>62</v>
      </c>
      <c r="D81" t="s">
        <v>92</v>
      </c>
      <c r="E81">
        <v>9</v>
      </c>
      <c r="F81">
        <v>15979</v>
      </c>
      <c r="G81">
        <v>5</v>
      </c>
      <c r="H81">
        <v>18</v>
      </c>
      <c r="I81">
        <v>161212.13</v>
      </c>
      <c r="J81" t="s">
        <v>46</v>
      </c>
      <c r="K81" t="s">
        <v>16</v>
      </c>
      <c r="L81">
        <f t="shared" si="2"/>
        <v>252752</v>
      </c>
    </row>
    <row r="82" spans="1:12" x14ac:dyDescent="0.3">
      <c r="A82" t="s">
        <v>222</v>
      </c>
      <c r="B82" t="s">
        <v>12</v>
      </c>
      <c r="C82" t="s">
        <v>19</v>
      </c>
      <c r="D82" t="s">
        <v>20</v>
      </c>
      <c r="E82">
        <v>33</v>
      </c>
      <c r="F82">
        <v>72687</v>
      </c>
      <c r="G82">
        <v>10</v>
      </c>
      <c r="H82">
        <v>18</v>
      </c>
      <c r="I82">
        <v>2547388.6</v>
      </c>
      <c r="J82" t="s">
        <v>15</v>
      </c>
      <c r="K82" t="s">
        <v>33</v>
      </c>
      <c r="L82">
        <f t="shared" si="2"/>
        <v>581501</v>
      </c>
    </row>
    <row r="83" spans="1:12" x14ac:dyDescent="0.3">
      <c r="A83" t="s">
        <v>137</v>
      </c>
      <c r="B83" t="s">
        <v>12</v>
      </c>
      <c r="C83" t="s">
        <v>13</v>
      </c>
      <c r="D83" t="s">
        <v>32</v>
      </c>
      <c r="E83">
        <v>5</v>
      </c>
      <c r="F83">
        <v>3458</v>
      </c>
      <c r="G83">
        <v>12</v>
      </c>
      <c r="H83">
        <v>18</v>
      </c>
      <c r="I83">
        <v>17953.939999999999</v>
      </c>
      <c r="J83" t="s">
        <v>37</v>
      </c>
      <c r="K83" t="s">
        <v>26</v>
      </c>
      <c r="L83">
        <f t="shared" si="2"/>
        <v>422592</v>
      </c>
    </row>
    <row r="84" spans="1:12" x14ac:dyDescent="0.3">
      <c r="A84" t="s">
        <v>60</v>
      </c>
      <c r="B84" t="s">
        <v>12</v>
      </c>
      <c r="C84" t="s">
        <v>19</v>
      </c>
      <c r="D84" t="s">
        <v>20</v>
      </c>
      <c r="E84">
        <v>8</v>
      </c>
      <c r="F84">
        <v>49720</v>
      </c>
      <c r="G84">
        <v>5</v>
      </c>
      <c r="H84">
        <v>12</v>
      </c>
      <c r="I84">
        <v>423216.64000000001</v>
      </c>
      <c r="J84" t="s">
        <v>37</v>
      </c>
      <c r="K84" t="s">
        <v>33</v>
      </c>
      <c r="L84">
        <f t="shared" si="2"/>
        <v>581501</v>
      </c>
    </row>
    <row r="85" spans="1:12" x14ac:dyDescent="0.3">
      <c r="A85" t="s">
        <v>199</v>
      </c>
      <c r="B85" t="s">
        <v>12</v>
      </c>
      <c r="C85" t="s">
        <v>19</v>
      </c>
      <c r="D85" t="s">
        <v>20</v>
      </c>
      <c r="E85">
        <v>9</v>
      </c>
      <c r="F85">
        <v>59123</v>
      </c>
      <c r="G85">
        <v>12</v>
      </c>
      <c r="H85">
        <v>18</v>
      </c>
      <c r="I85">
        <v>552539.91</v>
      </c>
      <c r="J85" t="s">
        <v>21</v>
      </c>
      <c r="K85" t="s">
        <v>38</v>
      </c>
      <c r="L85">
        <f t="shared" si="2"/>
        <v>581501</v>
      </c>
    </row>
    <row r="86" spans="1:12" x14ac:dyDescent="0.3">
      <c r="A86" t="s">
        <v>128</v>
      </c>
      <c r="B86" t="s">
        <v>12</v>
      </c>
      <c r="C86" t="s">
        <v>35</v>
      </c>
      <c r="D86" t="s">
        <v>77</v>
      </c>
      <c r="E86">
        <v>8</v>
      </c>
      <c r="F86">
        <v>36488</v>
      </c>
      <c r="G86">
        <v>10</v>
      </c>
      <c r="H86">
        <v>28</v>
      </c>
      <c r="I86">
        <v>336273.41</v>
      </c>
      <c r="J86" t="s">
        <v>21</v>
      </c>
      <c r="K86" t="s">
        <v>38</v>
      </c>
      <c r="L86">
        <f t="shared" si="2"/>
        <v>686405</v>
      </c>
    </row>
    <row r="87" spans="1:12" x14ac:dyDescent="0.3">
      <c r="A87" t="s">
        <v>144</v>
      </c>
      <c r="B87" t="s">
        <v>12</v>
      </c>
      <c r="C87" t="s">
        <v>24</v>
      </c>
      <c r="D87" t="s">
        <v>76</v>
      </c>
      <c r="E87">
        <v>31</v>
      </c>
      <c r="F87">
        <v>69809</v>
      </c>
      <c r="G87">
        <v>0</v>
      </c>
      <c r="H87">
        <v>28</v>
      </c>
      <c r="I87">
        <v>2770021.12</v>
      </c>
      <c r="J87" t="s">
        <v>37</v>
      </c>
      <c r="K87" t="s">
        <v>38</v>
      </c>
      <c r="L87">
        <f t="shared" si="2"/>
        <v>993403</v>
      </c>
    </row>
    <row r="88" spans="1:12" x14ac:dyDescent="0.3">
      <c r="A88" t="s">
        <v>225</v>
      </c>
      <c r="B88" t="s">
        <v>12</v>
      </c>
      <c r="C88" t="s">
        <v>48</v>
      </c>
      <c r="D88" t="s">
        <v>49</v>
      </c>
      <c r="E88">
        <v>3</v>
      </c>
      <c r="F88">
        <v>56716</v>
      </c>
      <c r="G88">
        <v>0</v>
      </c>
      <c r="H88">
        <v>18</v>
      </c>
      <c r="I88">
        <v>200774.64</v>
      </c>
      <c r="J88" t="s">
        <v>15</v>
      </c>
      <c r="K88" t="s">
        <v>38</v>
      </c>
      <c r="L88">
        <f t="shared" si="2"/>
        <v>548946</v>
      </c>
    </row>
    <row r="89" spans="1:12" x14ac:dyDescent="0.3">
      <c r="A89" t="s">
        <v>47</v>
      </c>
      <c r="B89" t="s">
        <v>12</v>
      </c>
      <c r="C89" t="s">
        <v>48</v>
      </c>
      <c r="D89" t="s">
        <v>49</v>
      </c>
      <c r="E89">
        <v>4</v>
      </c>
      <c r="F89">
        <v>34792</v>
      </c>
      <c r="G89">
        <v>5</v>
      </c>
      <c r="H89">
        <v>12</v>
      </c>
      <c r="I89">
        <v>148074.75</v>
      </c>
      <c r="J89" t="s">
        <v>15</v>
      </c>
      <c r="K89" t="s">
        <v>33</v>
      </c>
      <c r="L89">
        <f t="shared" si="2"/>
        <v>548946</v>
      </c>
    </row>
    <row r="90" spans="1:12" x14ac:dyDescent="0.3">
      <c r="A90" t="s">
        <v>123</v>
      </c>
      <c r="B90" t="s">
        <v>12</v>
      </c>
      <c r="C90" t="s">
        <v>44</v>
      </c>
      <c r="D90" t="s">
        <v>51</v>
      </c>
      <c r="E90">
        <v>3</v>
      </c>
      <c r="F90">
        <v>25005</v>
      </c>
      <c r="G90">
        <v>5</v>
      </c>
      <c r="H90">
        <v>28</v>
      </c>
      <c r="I90">
        <v>91218.240000000005</v>
      </c>
      <c r="J90" t="s">
        <v>15</v>
      </c>
      <c r="K90" t="s">
        <v>38</v>
      </c>
      <c r="L90">
        <f t="shared" si="2"/>
        <v>786708</v>
      </c>
    </row>
    <row r="91" spans="1:12" x14ac:dyDescent="0.3">
      <c r="A91" t="s">
        <v>230</v>
      </c>
      <c r="B91" t="s">
        <v>12</v>
      </c>
      <c r="C91" t="s">
        <v>24</v>
      </c>
      <c r="D91" t="s">
        <v>25</v>
      </c>
      <c r="E91">
        <v>7</v>
      </c>
      <c r="F91">
        <v>56482</v>
      </c>
      <c r="G91">
        <v>5</v>
      </c>
      <c r="H91">
        <v>28</v>
      </c>
      <c r="I91">
        <v>480774.78</v>
      </c>
      <c r="J91" t="s">
        <v>21</v>
      </c>
      <c r="K91" t="s">
        <v>33</v>
      </c>
      <c r="L91">
        <f t="shared" si="2"/>
        <v>993403</v>
      </c>
    </row>
    <row r="92" spans="1:12" x14ac:dyDescent="0.3">
      <c r="A92" t="s">
        <v>160</v>
      </c>
      <c r="B92" t="s">
        <v>12</v>
      </c>
      <c r="C92" t="s">
        <v>19</v>
      </c>
      <c r="D92" t="s">
        <v>20</v>
      </c>
      <c r="E92">
        <v>29</v>
      </c>
      <c r="F92">
        <v>78604</v>
      </c>
      <c r="G92">
        <v>12</v>
      </c>
      <c r="H92">
        <v>18</v>
      </c>
      <c r="I92">
        <v>2367049.41</v>
      </c>
      <c r="J92" t="s">
        <v>15</v>
      </c>
      <c r="K92" t="s">
        <v>26</v>
      </c>
      <c r="L92">
        <f t="shared" si="2"/>
        <v>581501</v>
      </c>
    </row>
    <row r="93" spans="1:12" x14ac:dyDescent="0.3">
      <c r="A93" t="s">
        <v>217</v>
      </c>
      <c r="B93" t="s">
        <v>12</v>
      </c>
      <c r="C93" t="s">
        <v>13</v>
      </c>
      <c r="D93" t="s">
        <v>32</v>
      </c>
      <c r="E93">
        <v>29</v>
      </c>
      <c r="F93">
        <v>26394</v>
      </c>
      <c r="G93">
        <v>5</v>
      </c>
      <c r="H93">
        <v>12</v>
      </c>
      <c r="I93">
        <v>814413.26</v>
      </c>
      <c r="J93" t="s">
        <v>21</v>
      </c>
      <c r="K93" t="s">
        <v>16</v>
      </c>
      <c r="L93">
        <f t="shared" si="2"/>
        <v>422592</v>
      </c>
    </row>
    <row r="94" spans="1:12" x14ac:dyDescent="0.3">
      <c r="A94" t="s">
        <v>171</v>
      </c>
      <c r="B94" t="s">
        <v>12</v>
      </c>
      <c r="C94" t="s">
        <v>29</v>
      </c>
      <c r="D94" t="s">
        <v>30</v>
      </c>
      <c r="E94">
        <v>21</v>
      </c>
      <c r="F94">
        <v>37484</v>
      </c>
      <c r="G94">
        <v>12</v>
      </c>
      <c r="H94">
        <v>18</v>
      </c>
      <c r="I94">
        <v>817391.1</v>
      </c>
      <c r="J94" t="s">
        <v>15</v>
      </c>
      <c r="K94" t="s">
        <v>26</v>
      </c>
      <c r="L94">
        <f t="shared" si="2"/>
        <v>235219</v>
      </c>
    </row>
    <row r="95" spans="1:12" x14ac:dyDescent="0.3">
      <c r="A95" t="s">
        <v>72</v>
      </c>
      <c r="B95" t="s">
        <v>12</v>
      </c>
      <c r="C95" t="s">
        <v>24</v>
      </c>
      <c r="D95" t="s">
        <v>76</v>
      </c>
      <c r="E95">
        <v>40</v>
      </c>
      <c r="F95">
        <v>75084</v>
      </c>
      <c r="G95">
        <v>10</v>
      </c>
      <c r="H95">
        <v>12</v>
      </c>
      <c r="I95">
        <v>3027386.88</v>
      </c>
      <c r="J95" t="s">
        <v>21</v>
      </c>
      <c r="K95" t="s">
        <v>16</v>
      </c>
      <c r="L95">
        <f t="shared" si="2"/>
        <v>993403</v>
      </c>
    </row>
    <row r="96" spans="1:12" x14ac:dyDescent="0.3">
      <c r="A96" t="s">
        <v>102</v>
      </c>
      <c r="B96" t="s">
        <v>12</v>
      </c>
      <c r="C96" t="s">
        <v>44</v>
      </c>
      <c r="D96" t="s">
        <v>51</v>
      </c>
      <c r="E96">
        <v>31</v>
      </c>
      <c r="F96">
        <v>14700</v>
      </c>
      <c r="G96">
        <v>10</v>
      </c>
      <c r="H96">
        <v>12</v>
      </c>
      <c r="I96">
        <v>459345.6</v>
      </c>
      <c r="J96" t="s">
        <v>15</v>
      </c>
      <c r="K96" t="s">
        <v>16</v>
      </c>
      <c r="L96">
        <f t="shared" si="2"/>
        <v>786708</v>
      </c>
    </row>
    <row r="97" spans="1:12" x14ac:dyDescent="0.3">
      <c r="A97" t="s">
        <v>89</v>
      </c>
      <c r="B97" t="s">
        <v>12</v>
      </c>
      <c r="C97" t="s">
        <v>44</v>
      </c>
      <c r="D97" t="s">
        <v>45</v>
      </c>
      <c r="E97">
        <v>14</v>
      </c>
      <c r="F97">
        <v>29792</v>
      </c>
      <c r="G97">
        <v>12</v>
      </c>
      <c r="H97">
        <v>12</v>
      </c>
      <c r="I97">
        <v>411081.93</v>
      </c>
      <c r="J97" t="s">
        <v>37</v>
      </c>
      <c r="K97" t="s">
        <v>33</v>
      </c>
      <c r="L97">
        <f t="shared" si="2"/>
        <v>786708</v>
      </c>
    </row>
    <row r="98" spans="1:12" x14ac:dyDescent="0.3">
      <c r="A98" t="s">
        <v>173</v>
      </c>
      <c r="B98" t="s">
        <v>12</v>
      </c>
      <c r="C98" t="s">
        <v>44</v>
      </c>
      <c r="D98" t="s">
        <v>45</v>
      </c>
      <c r="E98">
        <v>25</v>
      </c>
      <c r="F98">
        <v>50191</v>
      </c>
      <c r="G98">
        <v>0</v>
      </c>
      <c r="H98">
        <v>18</v>
      </c>
      <c r="I98">
        <v>1480634.5</v>
      </c>
      <c r="J98" t="s">
        <v>15</v>
      </c>
      <c r="K98" t="s">
        <v>16</v>
      </c>
      <c r="L98">
        <f t="shared" ref="L98:L113" si="3">SUMIF(C:C,C98,F:F)</f>
        <v>786708</v>
      </c>
    </row>
    <row r="99" spans="1:12" x14ac:dyDescent="0.3">
      <c r="A99" t="s">
        <v>161</v>
      </c>
      <c r="B99" t="s">
        <v>12</v>
      </c>
      <c r="C99" t="s">
        <v>44</v>
      </c>
      <c r="D99" t="s">
        <v>45</v>
      </c>
      <c r="E99">
        <v>32</v>
      </c>
      <c r="F99">
        <v>62644</v>
      </c>
      <c r="G99">
        <v>0</v>
      </c>
      <c r="H99">
        <v>18</v>
      </c>
      <c r="I99">
        <v>2365437.44</v>
      </c>
      <c r="J99" t="s">
        <v>15</v>
      </c>
      <c r="K99" t="s">
        <v>33</v>
      </c>
      <c r="L99">
        <f t="shared" si="3"/>
        <v>786708</v>
      </c>
    </row>
    <row r="100" spans="1:12" x14ac:dyDescent="0.3">
      <c r="A100" t="s">
        <v>39</v>
      </c>
      <c r="B100" t="s">
        <v>12</v>
      </c>
      <c r="C100" t="s">
        <v>62</v>
      </c>
      <c r="D100" t="s">
        <v>63</v>
      </c>
      <c r="E100">
        <v>38</v>
      </c>
      <c r="F100">
        <v>24852</v>
      </c>
      <c r="G100">
        <v>10</v>
      </c>
      <c r="H100">
        <v>12</v>
      </c>
      <c r="I100">
        <v>951931.01</v>
      </c>
      <c r="J100" t="s">
        <v>21</v>
      </c>
      <c r="K100" t="s">
        <v>26</v>
      </c>
      <c r="L100">
        <f t="shared" si="3"/>
        <v>252752</v>
      </c>
    </row>
    <row r="101" spans="1:12" x14ac:dyDescent="0.3">
      <c r="A101" t="s">
        <v>129</v>
      </c>
      <c r="B101" t="s">
        <v>12</v>
      </c>
      <c r="C101" t="s">
        <v>24</v>
      </c>
      <c r="D101" t="s">
        <v>76</v>
      </c>
      <c r="E101">
        <v>29</v>
      </c>
      <c r="F101">
        <v>80655</v>
      </c>
      <c r="G101">
        <v>5</v>
      </c>
      <c r="H101">
        <v>18</v>
      </c>
      <c r="I101">
        <v>2622013.4</v>
      </c>
      <c r="J101" t="s">
        <v>37</v>
      </c>
      <c r="K101" t="s">
        <v>33</v>
      </c>
      <c r="L101">
        <f t="shared" si="3"/>
        <v>993403</v>
      </c>
    </row>
    <row r="102" spans="1:12" x14ac:dyDescent="0.3">
      <c r="A102" t="s">
        <v>180</v>
      </c>
      <c r="B102" t="s">
        <v>12</v>
      </c>
      <c r="C102" t="s">
        <v>13</v>
      </c>
      <c r="D102" t="s">
        <v>14</v>
      </c>
      <c r="E102">
        <v>36</v>
      </c>
      <c r="F102">
        <v>46764</v>
      </c>
      <c r="G102">
        <v>0</v>
      </c>
      <c r="H102">
        <v>28</v>
      </c>
      <c r="I102">
        <v>2154885.1200000001</v>
      </c>
      <c r="J102" t="s">
        <v>15</v>
      </c>
      <c r="K102" t="s">
        <v>26</v>
      </c>
      <c r="L102">
        <f t="shared" si="3"/>
        <v>422592</v>
      </c>
    </row>
    <row r="103" spans="1:12" x14ac:dyDescent="0.3">
      <c r="A103" t="s">
        <v>68</v>
      </c>
      <c r="B103" t="s">
        <v>12</v>
      </c>
      <c r="C103" t="s">
        <v>48</v>
      </c>
      <c r="D103" t="s">
        <v>59</v>
      </c>
      <c r="E103">
        <v>33</v>
      </c>
      <c r="F103">
        <v>4910</v>
      </c>
      <c r="G103">
        <v>10</v>
      </c>
      <c r="H103">
        <v>28</v>
      </c>
      <c r="I103">
        <v>186658.56</v>
      </c>
      <c r="J103" t="s">
        <v>15</v>
      </c>
      <c r="K103" t="s">
        <v>26</v>
      </c>
      <c r="L103">
        <f t="shared" si="3"/>
        <v>548946</v>
      </c>
    </row>
    <row r="104" spans="1:12" x14ac:dyDescent="0.3">
      <c r="A104" t="s">
        <v>102</v>
      </c>
      <c r="B104" t="s">
        <v>12</v>
      </c>
      <c r="C104" t="s">
        <v>35</v>
      </c>
      <c r="D104" t="s">
        <v>36</v>
      </c>
      <c r="E104">
        <v>35</v>
      </c>
      <c r="F104">
        <v>38872</v>
      </c>
      <c r="G104">
        <v>10</v>
      </c>
      <c r="H104">
        <v>12</v>
      </c>
      <c r="I104">
        <v>1371404.16</v>
      </c>
      <c r="J104" t="s">
        <v>15</v>
      </c>
      <c r="K104" t="s">
        <v>38</v>
      </c>
      <c r="L104">
        <f t="shared" si="3"/>
        <v>686405</v>
      </c>
    </row>
    <row r="105" spans="1:12" x14ac:dyDescent="0.3">
      <c r="A105" t="s">
        <v>159</v>
      </c>
      <c r="B105" t="s">
        <v>12</v>
      </c>
      <c r="C105" t="s">
        <v>48</v>
      </c>
      <c r="D105" t="s">
        <v>59</v>
      </c>
      <c r="E105">
        <v>38</v>
      </c>
      <c r="F105">
        <v>56883</v>
      </c>
      <c r="G105">
        <v>5</v>
      </c>
      <c r="H105">
        <v>12</v>
      </c>
      <c r="I105">
        <v>2299893.46</v>
      </c>
      <c r="J105" t="s">
        <v>21</v>
      </c>
      <c r="K105" t="s">
        <v>16</v>
      </c>
      <c r="L105">
        <f t="shared" si="3"/>
        <v>548946</v>
      </c>
    </row>
    <row r="106" spans="1:12" x14ac:dyDescent="0.3">
      <c r="A106" t="s">
        <v>163</v>
      </c>
      <c r="B106" t="s">
        <v>12</v>
      </c>
      <c r="C106" t="s">
        <v>19</v>
      </c>
      <c r="D106" t="s">
        <v>20</v>
      </c>
      <c r="E106">
        <v>26</v>
      </c>
      <c r="F106">
        <v>74178</v>
      </c>
      <c r="G106">
        <v>10</v>
      </c>
      <c r="H106">
        <v>12</v>
      </c>
      <c r="I106">
        <v>1944057.02</v>
      </c>
      <c r="J106" t="s">
        <v>46</v>
      </c>
      <c r="K106" t="s">
        <v>38</v>
      </c>
      <c r="L106">
        <f t="shared" si="3"/>
        <v>581501</v>
      </c>
    </row>
    <row r="107" spans="1:12" x14ac:dyDescent="0.3">
      <c r="A107" t="s">
        <v>193</v>
      </c>
      <c r="B107" t="s">
        <v>12</v>
      </c>
      <c r="C107" t="s">
        <v>13</v>
      </c>
      <c r="D107" t="s">
        <v>32</v>
      </c>
      <c r="E107">
        <v>9</v>
      </c>
      <c r="F107">
        <v>27942</v>
      </c>
      <c r="G107">
        <v>0</v>
      </c>
      <c r="H107">
        <v>28</v>
      </c>
      <c r="I107">
        <v>321891.84000000003</v>
      </c>
      <c r="J107" t="s">
        <v>46</v>
      </c>
      <c r="K107" t="s">
        <v>16</v>
      </c>
      <c r="L107">
        <f t="shared" si="3"/>
        <v>422592</v>
      </c>
    </row>
    <row r="108" spans="1:12" x14ac:dyDescent="0.3">
      <c r="A108" t="s">
        <v>158</v>
      </c>
      <c r="B108" t="s">
        <v>12</v>
      </c>
      <c r="C108" t="s">
        <v>48</v>
      </c>
      <c r="D108" t="s">
        <v>49</v>
      </c>
      <c r="E108">
        <v>28</v>
      </c>
      <c r="F108">
        <v>80371</v>
      </c>
      <c r="G108">
        <v>10</v>
      </c>
      <c r="H108">
        <v>28</v>
      </c>
      <c r="I108">
        <v>2592446.98</v>
      </c>
      <c r="J108" t="s">
        <v>46</v>
      </c>
      <c r="K108" t="s">
        <v>33</v>
      </c>
      <c r="L108">
        <f t="shared" si="3"/>
        <v>548946</v>
      </c>
    </row>
    <row r="109" spans="1:12" x14ac:dyDescent="0.3">
      <c r="A109" t="s">
        <v>175</v>
      </c>
      <c r="B109" t="s">
        <v>12</v>
      </c>
      <c r="C109" t="s">
        <v>44</v>
      </c>
      <c r="D109" t="s">
        <v>51</v>
      </c>
      <c r="E109">
        <v>25</v>
      </c>
      <c r="F109">
        <v>8097</v>
      </c>
      <c r="G109">
        <v>10</v>
      </c>
      <c r="H109">
        <v>18</v>
      </c>
      <c r="I109">
        <v>214975.35</v>
      </c>
      <c r="J109" t="s">
        <v>46</v>
      </c>
      <c r="K109" t="s">
        <v>26</v>
      </c>
      <c r="L109">
        <f t="shared" si="3"/>
        <v>786708</v>
      </c>
    </row>
    <row r="110" spans="1:12" x14ac:dyDescent="0.3">
      <c r="A110" t="s">
        <v>165</v>
      </c>
      <c r="B110" t="s">
        <v>12</v>
      </c>
      <c r="C110" t="s">
        <v>35</v>
      </c>
      <c r="D110" t="s">
        <v>36</v>
      </c>
      <c r="E110">
        <v>4</v>
      </c>
      <c r="F110">
        <v>43359</v>
      </c>
      <c r="G110">
        <v>0</v>
      </c>
      <c r="H110">
        <v>18</v>
      </c>
      <c r="I110">
        <v>204654.48</v>
      </c>
      <c r="J110" t="s">
        <v>46</v>
      </c>
      <c r="K110" t="s">
        <v>16</v>
      </c>
      <c r="L110">
        <f t="shared" si="3"/>
        <v>686405</v>
      </c>
    </row>
    <row r="111" spans="1:12" x14ac:dyDescent="0.3">
      <c r="A111" t="s">
        <v>95</v>
      </c>
      <c r="B111" t="s">
        <v>12</v>
      </c>
      <c r="C111" t="s">
        <v>48</v>
      </c>
      <c r="D111" t="s">
        <v>59</v>
      </c>
      <c r="E111">
        <v>19</v>
      </c>
      <c r="F111">
        <v>56978</v>
      </c>
      <c r="G111">
        <v>0</v>
      </c>
      <c r="H111">
        <v>18</v>
      </c>
      <c r="I111">
        <v>1277446.76</v>
      </c>
      <c r="J111" t="s">
        <v>21</v>
      </c>
      <c r="K111" t="s">
        <v>38</v>
      </c>
      <c r="L111">
        <f t="shared" si="3"/>
        <v>548946</v>
      </c>
    </row>
    <row r="112" spans="1:12" x14ac:dyDescent="0.3">
      <c r="A112" t="s">
        <v>168</v>
      </c>
      <c r="B112" t="s">
        <v>12</v>
      </c>
      <c r="C112" t="s">
        <v>13</v>
      </c>
      <c r="D112" t="s">
        <v>32</v>
      </c>
      <c r="E112">
        <v>32</v>
      </c>
      <c r="F112">
        <v>80500</v>
      </c>
      <c r="G112">
        <v>5</v>
      </c>
      <c r="H112">
        <v>28</v>
      </c>
      <c r="I112">
        <v>3132416</v>
      </c>
      <c r="J112" t="s">
        <v>46</v>
      </c>
      <c r="K112" t="s">
        <v>16</v>
      </c>
      <c r="L112">
        <f t="shared" si="3"/>
        <v>422592</v>
      </c>
    </row>
    <row r="113" spans="1:12" x14ac:dyDescent="0.3">
      <c r="A113" t="s">
        <v>64</v>
      </c>
      <c r="B113" t="s">
        <v>12</v>
      </c>
      <c r="C113" t="s">
        <v>35</v>
      </c>
      <c r="D113" t="s">
        <v>56</v>
      </c>
      <c r="E113">
        <v>30</v>
      </c>
      <c r="F113">
        <v>82100</v>
      </c>
      <c r="G113">
        <v>0</v>
      </c>
      <c r="H113">
        <v>18</v>
      </c>
      <c r="I113">
        <v>2906340</v>
      </c>
      <c r="J113" t="s">
        <v>46</v>
      </c>
      <c r="K113" t="s">
        <v>26</v>
      </c>
      <c r="L113">
        <f t="shared" si="3"/>
        <v>686405</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L113"/>
  <sheetViews>
    <sheetView workbookViewId="0">
      <selection activeCell="J11" sqref="J11"/>
    </sheetView>
  </sheetViews>
  <sheetFormatPr defaultRowHeight="14.4" x14ac:dyDescent="0.3"/>
  <cols>
    <col min="1" max="1" width="15.88671875" bestFit="1" customWidth="1"/>
    <col min="2" max="2" width="19.44140625" bestFit="1" customWidth="1"/>
    <col min="3" max="3" width="16" bestFit="1" customWidth="1"/>
    <col min="4" max="4" width="14.109375" bestFit="1" customWidth="1"/>
    <col min="5" max="5" width="6.21875" bestFit="1" customWidth="1"/>
    <col min="6" max="6" width="11.88671875" bestFit="1" customWidth="1"/>
    <col min="7" max="7" width="13" bestFit="1" customWidth="1"/>
    <col min="9" max="9" width="15.44140625" bestFit="1" customWidth="1"/>
    <col min="10" max="10" width="12.77734375" bestFit="1" customWidth="1"/>
    <col min="11" max="11" width="16.88671875" bestFit="1" customWidth="1"/>
  </cols>
  <sheetData>
    <row r="1" spans="1:12" x14ac:dyDescent="0.3">
      <c r="A1" t="s">
        <v>0</v>
      </c>
      <c r="B1" t="s">
        <v>1</v>
      </c>
      <c r="C1" t="s">
        <v>2</v>
      </c>
      <c r="D1" t="s">
        <v>3</v>
      </c>
      <c r="E1" t="s">
        <v>4</v>
      </c>
      <c r="F1" t="s">
        <v>5</v>
      </c>
      <c r="G1" t="s">
        <v>6</v>
      </c>
      <c r="H1" t="s">
        <v>7</v>
      </c>
      <c r="I1" t="s">
        <v>8</v>
      </c>
      <c r="J1" t="s">
        <v>9</v>
      </c>
      <c r="K1" t="s">
        <v>10</v>
      </c>
      <c r="L1" t="s">
        <v>251</v>
      </c>
    </row>
    <row r="2" spans="1:12" x14ac:dyDescent="0.3">
      <c r="A2" t="s">
        <v>99</v>
      </c>
      <c r="B2" t="s">
        <v>28</v>
      </c>
      <c r="C2" t="s">
        <v>44</v>
      </c>
      <c r="D2" t="s">
        <v>51</v>
      </c>
      <c r="E2">
        <v>31</v>
      </c>
      <c r="F2">
        <v>62576</v>
      </c>
      <c r="G2">
        <v>12</v>
      </c>
      <c r="H2">
        <v>12</v>
      </c>
      <c r="I2">
        <v>1911922.07</v>
      </c>
      <c r="J2" t="s">
        <v>15</v>
      </c>
      <c r="K2" t="s">
        <v>26</v>
      </c>
      <c r="L2">
        <f t="shared" ref="L2:L33" si="0">SUMIF(C:C,C2,F:F)</f>
        <v>514948</v>
      </c>
    </row>
    <row r="3" spans="1:12" x14ac:dyDescent="0.3">
      <c r="A3" t="s">
        <v>118</v>
      </c>
      <c r="B3" t="s">
        <v>28</v>
      </c>
      <c r="C3" t="s">
        <v>24</v>
      </c>
      <c r="D3" t="s">
        <v>25</v>
      </c>
      <c r="E3">
        <v>4</v>
      </c>
      <c r="F3">
        <v>4269</v>
      </c>
      <c r="G3">
        <v>0</v>
      </c>
      <c r="H3">
        <v>18</v>
      </c>
      <c r="I3">
        <v>20149.68</v>
      </c>
      <c r="J3" t="s">
        <v>46</v>
      </c>
      <c r="K3" t="s">
        <v>26</v>
      </c>
      <c r="L3">
        <f t="shared" si="0"/>
        <v>854657</v>
      </c>
    </row>
    <row r="4" spans="1:12" x14ac:dyDescent="0.3">
      <c r="A4" t="s">
        <v>31</v>
      </c>
      <c r="B4" t="s">
        <v>28</v>
      </c>
      <c r="C4" t="s">
        <v>24</v>
      </c>
      <c r="D4" t="s">
        <v>25</v>
      </c>
      <c r="E4">
        <v>27</v>
      </c>
      <c r="F4">
        <v>28143</v>
      </c>
      <c r="G4">
        <v>10</v>
      </c>
      <c r="H4">
        <v>28</v>
      </c>
      <c r="I4">
        <v>875359.87</v>
      </c>
      <c r="J4" t="s">
        <v>46</v>
      </c>
      <c r="K4" t="s">
        <v>38</v>
      </c>
      <c r="L4">
        <f t="shared" si="0"/>
        <v>854657</v>
      </c>
    </row>
    <row r="5" spans="1:12" x14ac:dyDescent="0.3">
      <c r="A5" t="s">
        <v>206</v>
      </c>
      <c r="B5" t="s">
        <v>28</v>
      </c>
      <c r="C5" t="s">
        <v>35</v>
      </c>
      <c r="D5" t="s">
        <v>36</v>
      </c>
      <c r="E5">
        <v>21</v>
      </c>
      <c r="F5">
        <v>59513</v>
      </c>
      <c r="G5">
        <v>10</v>
      </c>
      <c r="H5">
        <v>18</v>
      </c>
      <c r="I5">
        <v>1327258.93</v>
      </c>
      <c r="J5" t="s">
        <v>37</v>
      </c>
      <c r="K5" t="s">
        <v>16</v>
      </c>
      <c r="L5">
        <f t="shared" si="0"/>
        <v>933186</v>
      </c>
    </row>
    <row r="6" spans="1:12" x14ac:dyDescent="0.3">
      <c r="A6" t="s">
        <v>119</v>
      </c>
      <c r="B6" t="s">
        <v>28</v>
      </c>
      <c r="C6" t="s">
        <v>62</v>
      </c>
      <c r="D6" t="s">
        <v>63</v>
      </c>
      <c r="E6">
        <v>3</v>
      </c>
      <c r="F6">
        <v>7874</v>
      </c>
      <c r="G6">
        <v>0</v>
      </c>
      <c r="H6">
        <v>28</v>
      </c>
      <c r="I6">
        <v>30236.16</v>
      </c>
      <c r="J6" t="s">
        <v>15</v>
      </c>
      <c r="K6" t="s">
        <v>26</v>
      </c>
      <c r="L6">
        <f t="shared" si="0"/>
        <v>511491</v>
      </c>
    </row>
    <row r="7" spans="1:12" x14ac:dyDescent="0.3">
      <c r="A7" t="s">
        <v>164</v>
      </c>
      <c r="B7" t="s">
        <v>28</v>
      </c>
      <c r="C7" t="s">
        <v>13</v>
      </c>
      <c r="D7" t="s">
        <v>32</v>
      </c>
      <c r="E7">
        <v>35</v>
      </c>
      <c r="F7">
        <v>54711</v>
      </c>
      <c r="G7">
        <v>12</v>
      </c>
      <c r="H7">
        <v>28</v>
      </c>
      <c r="I7">
        <v>2156926.46</v>
      </c>
      <c r="J7" t="s">
        <v>46</v>
      </c>
      <c r="K7" t="s">
        <v>33</v>
      </c>
      <c r="L7">
        <f t="shared" si="0"/>
        <v>562158</v>
      </c>
    </row>
    <row r="8" spans="1:12" x14ac:dyDescent="0.3">
      <c r="A8" t="s">
        <v>110</v>
      </c>
      <c r="B8" t="s">
        <v>28</v>
      </c>
      <c r="C8" t="s">
        <v>35</v>
      </c>
      <c r="D8" t="s">
        <v>56</v>
      </c>
      <c r="E8">
        <v>38</v>
      </c>
      <c r="F8">
        <v>40804</v>
      </c>
      <c r="G8">
        <v>10</v>
      </c>
      <c r="H8">
        <v>18</v>
      </c>
      <c r="I8">
        <v>1646686.22</v>
      </c>
      <c r="J8" t="s">
        <v>21</v>
      </c>
      <c r="K8" t="s">
        <v>26</v>
      </c>
      <c r="L8">
        <f t="shared" si="0"/>
        <v>933186</v>
      </c>
    </row>
    <row r="9" spans="1:12" x14ac:dyDescent="0.3">
      <c r="A9" t="s">
        <v>146</v>
      </c>
      <c r="B9" t="s">
        <v>28</v>
      </c>
      <c r="C9" t="s">
        <v>62</v>
      </c>
      <c r="D9" t="s">
        <v>63</v>
      </c>
      <c r="E9">
        <v>22</v>
      </c>
      <c r="F9">
        <v>57074</v>
      </c>
      <c r="G9">
        <v>5</v>
      </c>
      <c r="H9">
        <v>28</v>
      </c>
      <c r="I9">
        <v>1526843.65</v>
      </c>
      <c r="J9" t="s">
        <v>21</v>
      </c>
      <c r="K9" t="s">
        <v>38</v>
      </c>
      <c r="L9">
        <f t="shared" si="0"/>
        <v>511491</v>
      </c>
    </row>
    <row r="10" spans="1:12" x14ac:dyDescent="0.3">
      <c r="A10" t="s">
        <v>79</v>
      </c>
      <c r="B10" t="s">
        <v>28</v>
      </c>
      <c r="C10" t="s">
        <v>24</v>
      </c>
      <c r="D10" t="s">
        <v>40</v>
      </c>
      <c r="E10">
        <v>35</v>
      </c>
      <c r="F10">
        <v>24572</v>
      </c>
      <c r="G10">
        <v>5</v>
      </c>
      <c r="H10">
        <v>18</v>
      </c>
      <c r="I10">
        <v>964082.42</v>
      </c>
      <c r="J10" t="s">
        <v>21</v>
      </c>
      <c r="K10" t="s">
        <v>26</v>
      </c>
      <c r="L10">
        <f t="shared" si="0"/>
        <v>854657</v>
      </c>
    </row>
    <row r="11" spans="1:12" x14ac:dyDescent="0.3">
      <c r="A11" t="s">
        <v>170</v>
      </c>
      <c r="B11" t="s">
        <v>28</v>
      </c>
      <c r="C11" t="s">
        <v>13</v>
      </c>
      <c r="D11" t="s">
        <v>14</v>
      </c>
      <c r="E11">
        <v>27</v>
      </c>
      <c r="F11">
        <v>20535</v>
      </c>
      <c r="G11">
        <v>12</v>
      </c>
      <c r="H11">
        <v>18</v>
      </c>
      <c r="I11">
        <v>575735.68999999994</v>
      </c>
      <c r="J11" t="s">
        <v>46</v>
      </c>
      <c r="K11" t="s">
        <v>38</v>
      </c>
      <c r="L11">
        <f t="shared" si="0"/>
        <v>562158</v>
      </c>
    </row>
    <row r="12" spans="1:12" x14ac:dyDescent="0.3">
      <c r="A12" t="s">
        <v>193</v>
      </c>
      <c r="B12" t="s">
        <v>28</v>
      </c>
      <c r="C12" t="s">
        <v>24</v>
      </c>
      <c r="D12" t="s">
        <v>25</v>
      </c>
      <c r="E12">
        <v>39</v>
      </c>
      <c r="F12">
        <v>41733</v>
      </c>
      <c r="G12">
        <v>10</v>
      </c>
      <c r="H12">
        <v>12</v>
      </c>
      <c r="I12">
        <v>1640607.7</v>
      </c>
      <c r="J12" t="s">
        <v>15</v>
      </c>
      <c r="K12" t="s">
        <v>33</v>
      </c>
      <c r="L12">
        <f t="shared" si="0"/>
        <v>854657</v>
      </c>
    </row>
    <row r="13" spans="1:12" x14ac:dyDescent="0.3">
      <c r="A13" t="s">
        <v>67</v>
      </c>
      <c r="B13" t="s">
        <v>28</v>
      </c>
      <c r="C13" t="s">
        <v>62</v>
      </c>
      <c r="D13" t="s">
        <v>92</v>
      </c>
      <c r="E13">
        <v>5</v>
      </c>
      <c r="F13">
        <v>23344</v>
      </c>
      <c r="G13">
        <v>0</v>
      </c>
      <c r="H13">
        <v>28</v>
      </c>
      <c r="I13">
        <v>149401.60000000001</v>
      </c>
      <c r="J13" t="s">
        <v>21</v>
      </c>
      <c r="K13" t="s">
        <v>26</v>
      </c>
      <c r="L13">
        <f t="shared" si="0"/>
        <v>511491</v>
      </c>
    </row>
    <row r="14" spans="1:12" x14ac:dyDescent="0.3">
      <c r="A14" t="s">
        <v>64</v>
      </c>
      <c r="B14" t="s">
        <v>28</v>
      </c>
      <c r="C14" t="s">
        <v>48</v>
      </c>
      <c r="D14" t="s">
        <v>59</v>
      </c>
      <c r="E14">
        <v>8</v>
      </c>
      <c r="F14">
        <v>47528</v>
      </c>
      <c r="G14">
        <v>0</v>
      </c>
      <c r="H14">
        <v>18</v>
      </c>
      <c r="I14">
        <v>448664.32000000001</v>
      </c>
      <c r="J14" t="s">
        <v>21</v>
      </c>
      <c r="K14" t="s">
        <v>38</v>
      </c>
      <c r="L14">
        <f t="shared" si="0"/>
        <v>387150</v>
      </c>
    </row>
    <row r="15" spans="1:12" x14ac:dyDescent="0.3">
      <c r="A15" t="s">
        <v>227</v>
      </c>
      <c r="B15" t="s">
        <v>28</v>
      </c>
      <c r="C15" t="s">
        <v>29</v>
      </c>
      <c r="D15" t="s">
        <v>30</v>
      </c>
      <c r="E15">
        <v>29</v>
      </c>
      <c r="F15">
        <v>21220</v>
      </c>
      <c r="G15">
        <v>0</v>
      </c>
      <c r="H15">
        <v>28</v>
      </c>
      <c r="I15">
        <v>787686.40000000002</v>
      </c>
      <c r="J15" t="s">
        <v>37</v>
      </c>
      <c r="K15" t="s">
        <v>16</v>
      </c>
      <c r="L15">
        <f t="shared" si="0"/>
        <v>192838</v>
      </c>
    </row>
    <row r="16" spans="1:12" x14ac:dyDescent="0.3">
      <c r="A16" t="s">
        <v>61</v>
      </c>
      <c r="B16" t="s">
        <v>28</v>
      </c>
      <c r="C16" t="s">
        <v>62</v>
      </c>
      <c r="D16" t="s">
        <v>92</v>
      </c>
      <c r="E16">
        <v>6</v>
      </c>
      <c r="F16">
        <v>4625</v>
      </c>
      <c r="G16">
        <v>0</v>
      </c>
      <c r="H16">
        <v>12</v>
      </c>
      <c r="I16">
        <v>31080</v>
      </c>
      <c r="J16" t="s">
        <v>21</v>
      </c>
      <c r="K16" t="s">
        <v>38</v>
      </c>
      <c r="L16">
        <f t="shared" si="0"/>
        <v>511491</v>
      </c>
    </row>
    <row r="17" spans="1:12" x14ac:dyDescent="0.3">
      <c r="A17" t="s">
        <v>229</v>
      </c>
      <c r="B17" t="s">
        <v>28</v>
      </c>
      <c r="C17" t="s">
        <v>62</v>
      </c>
      <c r="D17" t="s">
        <v>63</v>
      </c>
      <c r="E17">
        <v>14</v>
      </c>
      <c r="F17">
        <v>46910</v>
      </c>
      <c r="G17">
        <v>5</v>
      </c>
      <c r="H17">
        <v>28</v>
      </c>
      <c r="I17">
        <v>798595.84</v>
      </c>
      <c r="J17" t="s">
        <v>46</v>
      </c>
      <c r="K17" t="s">
        <v>38</v>
      </c>
      <c r="L17">
        <f t="shared" si="0"/>
        <v>511491</v>
      </c>
    </row>
    <row r="18" spans="1:12" x14ac:dyDescent="0.3">
      <c r="A18" t="s">
        <v>216</v>
      </c>
      <c r="B18" t="s">
        <v>28</v>
      </c>
      <c r="C18" t="s">
        <v>29</v>
      </c>
      <c r="D18" t="s">
        <v>30</v>
      </c>
      <c r="E18">
        <v>10</v>
      </c>
      <c r="F18">
        <v>58984</v>
      </c>
      <c r="G18">
        <v>12</v>
      </c>
      <c r="H18">
        <v>18</v>
      </c>
      <c r="I18">
        <v>612489.86</v>
      </c>
      <c r="J18" t="s">
        <v>21</v>
      </c>
      <c r="K18" t="s">
        <v>38</v>
      </c>
      <c r="L18">
        <f t="shared" si="0"/>
        <v>192838</v>
      </c>
    </row>
    <row r="19" spans="1:12" x14ac:dyDescent="0.3">
      <c r="A19" t="s">
        <v>136</v>
      </c>
      <c r="B19" t="s">
        <v>28</v>
      </c>
      <c r="C19" t="s">
        <v>62</v>
      </c>
      <c r="D19" t="s">
        <v>92</v>
      </c>
      <c r="E19">
        <v>24</v>
      </c>
      <c r="F19">
        <v>13370</v>
      </c>
      <c r="G19">
        <v>0</v>
      </c>
      <c r="H19">
        <v>28</v>
      </c>
      <c r="I19">
        <v>410726.40000000002</v>
      </c>
      <c r="J19" t="s">
        <v>15</v>
      </c>
      <c r="K19" t="s">
        <v>38</v>
      </c>
      <c r="L19">
        <f t="shared" si="0"/>
        <v>511491</v>
      </c>
    </row>
    <row r="20" spans="1:12" x14ac:dyDescent="0.3">
      <c r="A20" t="s">
        <v>108</v>
      </c>
      <c r="B20" t="s">
        <v>28</v>
      </c>
      <c r="C20" t="s">
        <v>48</v>
      </c>
      <c r="D20" t="s">
        <v>59</v>
      </c>
      <c r="E20">
        <v>33</v>
      </c>
      <c r="F20">
        <v>31118</v>
      </c>
      <c r="G20">
        <v>12</v>
      </c>
      <c r="H20">
        <v>28</v>
      </c>
      <c r="I20">
        <v>1156693.3999999999</v>
      </c>
      <c r="J20" t="s">
        <v>21</v>
      </c>
      <c r="K20" t="s">
        <v>33</v>
      </c>
      <c r="L20">
        <f t="shared" si="0"/>
        <v>387150</v>
      </c>
    </row>
    <row r="21" spans="1:12" x14ac:dyDescent="0.3">
      <c r="A21" t="s">
        <v>100</v>
      </c>
      <c r="B21" t="s">
        <v>28</v>
      </c>
      <c r="C21" t="s">
        <v>44</v>
      </c>
      <c r="D21" t="s">
        <v>51</v>
      </c>
      <c r="E21">
        <v>39</v>
      </c>
      <c r="F21">
        <v>9321</v>
      </c>
      <c r="G21">
        <v>12</v>
      </c>
      <c r="H21">
        <v>28</v>
      </c>
      <c r="I21">
        <v>409467.8</v>
      </c>
      <c r="J21" t="s">
        <v>21</v>
      </c>
      <c r="K21" t="s">
        <v>38</v>
      </c>
      <c r="L21">
        <f t="shared" si="0"/>
        <v>514948</v>
      </c>
    </row>
    <row r="22" spans="1:12" x14ac:dyDescent="0.3">
      <c r="A22" t="s">
        <v>155</v>
      </c>
      <c r="B22" t="s">
        <v>28</v>
      </c>
      <c r="C22" t="s">
        <v>44</v>
      </c>
      <c r="D22" t="s">
        <v>45</v>
      </c>
      <c r="E22">
        <v>21</v>
      </c>
      <c r="F22">
        <v>36643</v>
      </c>
      <c r="G22">
        <v>5</v>
      </c>
      <c r="H22">
        <v>28</v>
      </c>
      <c r="I22">
        <v>935715.65</v>
      </c>
      <c r="J22" t="s">
        <v>37</v>
      </c>
      <c r="K22" t="s">
        <v>38</v>
      </c>
      <c r="L22">
        <f t="shared" si="0"/>
        <v>514948</v>
      </c>
    </row>
    <row r="23" spans="1:12" x14ac:dyDescent="0.3">
      <c r="A23" t="s">
        <v>74</v>
      </c>
      <c r="B23" t="s">
        <v>28</v>
      </c>
      <c r="C23" t="s">
        <v>13</v>
      </c>
      <c r="D23" t="s">
        <v>14</v>
      </c>
      <c r="E23">
        <v>23</v>
      </c>
      <c r="F23">
        <v>16623</v>
      </c>
      <c r="G23">
        <v>12</v>
      </c>
      <c r="H23">
        <v>12</v>
      </c>
      <c r="I23">
        <v>376823.46</v>
      </c>
      <c r="J23" t="s">
        <v>46</v>
      </c>
      <c r="K23" t="s">
        <v>33</v>
      </c>
      <c r="L23">
        <f t="shared" si="0"/>
        <v>562158</v>
      </c>
    </row>
    <row r="24" spans="1:12" x14ac:dyDescent="0.3">
      <c r="A24" t="s">
        <v>82</v>
      </c>
      <c r="B24" t="s">
        <v>28</v>
      </c>
      <c r="C24" t="s">
        <v>48</v>
      </c>
      <c r="D24" t="s">
        <v>59</v>
      </c>
      <c r="E24">
        <v>19</v>
      </c>
      <c r="F24">
        <v>31526</v>
      </c>
      <c r="G24">
        <v>10</v>
      </c>
      <c r="H24">
        <v>18</v>
      </c>
      <c r="I24">
        <v>636131.63</v>
      </c>
      <c r="J24" t="s">
        <v>21</v>
      </c>
      <c r="K24" t="s">
        <v>16</v>
      </c>
      <c r="L24">
        <f t="shared" si="0"/>
        <v>387150</v>
      </c>
    </row>
    <row r="25" spans="1:12" x14ac:dyDescent="0.3">
      <c r="A25" t="s">
        <v>231</v>
      </c>
      <c r="B25" t="s">
        <v>28</v>
      </c>
      <c r="C25" t="s">
        <v>13</v>
      </c>
      <c r="D25" t="s">
        <v>14</v>
      </c>
      <c r="E25">
        <v>10</v>
      </c>
      <c r="F25">
        <v>8242</v>
      </c>
      <c r="G25">
        <v>12</v>
      </c>
      <c r="H25">
        <v>12</v>
      </c>
      <c r="I25">
        <v>81233.149999999994</v>
      </c>
      <c r="J25" t="s">
        <v>21</v>
      </c>
      <c r="K25" t="s">
        <v>26</v>
      </c>
      <c r="L25">
        <f t="shared" si="0"/>
        <v>562158</v>
      </c>
    </row>
    <row r="26" spans="1:12" x14ac:dyDescent="0.3">
      <c r="A26" t="s">
        <v>100</v>
      </c>
      <c r="B26" t="s">
        <v>28</v>
      </c>
      <c r="C26" t="s">
        <v>24</v>
      </c>
      <c r="D26" t="s">
        <v>40</v>
      </c>
      <c r="E26">
        <v>24</v>
      </c>
      <c r="F26">
        <v>49279</v>
      </c>
      <c r="G26">
        <v>12</v>
      </c>
      <c r="H26">
        <v>28</v>
      </c>
      <c r="I26">
        <v>1332188.77</v>
      </c>
      <c r="J26" t="s">
        <v>15</v>
      </c>
      <c r="K26" t="s">
        <v>26</v>
      </c>
      <c r="L26">
        <f t="shared" si="0"/>
        <v>854657</v>
      </c>
    </row>
    <row r="27" spans="1:12" x14ac:dyDescent="0.3">
      <c r="A27" t="s">
        <v>103</v>
      </c>
      <c r="B27" t="s">
        <v>28</v>
      </c>
      <c r="C27" t="s">
        <v>48</v>
      </c>
      <c r="D27" t="s">
        <v>49</v>
      </c>
      <c r="E27">
        <v>9</v>
      </c>
      <c r="F27">
        <v>22560</v>
      </c>
      <c r="G27">
        <v>10</v>
      </c>
      <c r="H27">
        <v>28</v>
      </c>
      <c r="I27">
        <v>233902.07999999999</v>
      </c>
      <c r="J27" t="s">
        <v>21</v>
      </c>
      <c r="K27" t="s">
        <v>38</v>
      </c>
      <c r="L27">
        <f t="shared" si="0"/>
        <v>387150</v>
      </c>
    </row>
    <row r="28" spans="1:12" x14ac:dyDescent="0.3">
      <c r="A28" t="s">
        <v>188</v>
      </c>
      <c r="B28" t="s">
        <v>28</v>
      </c>
      <c r="C28" t="s">
        <v>44</v>
      </c>
      <c r="D28" t="s">
        <v>45</v>
      </c>
      <c r="E28">
        <v>18</v>
      </c>
      <c r="F28">
        <v>78706</v>
      </c>
      <c r="G28">
        <v>12</v>
      </c>
      <c r="H28">
        <v>18</v>
      </c>
      <c r="I28">
        <v>1471109.59</v>
      </c>
      <c r="J28" t="s">
        <v>46</v>
      </c>
      <c r="K28" t="s">
        <v>16</v>
      </c>
      <c r="L28">
        <f t="shared" si="0"/>
        <v>514948</v>
      </c>
    </row>
    <row r="29" spans="1:12" x14ac:dyDescent="0.3">
      <c r="A29" t="s">
        <v>109</v>
      </c>
      <c r="B29" t="s">
        <v>28</v>
      </c>
      <c r="C29" t="s">
        <v>44</v>
      </c>
      <c r="D29" t="s">
        <v>51</v>
      </c>
      <c r="E29">
        <v>24</v>
      </c>
      <c r="F29">
        <v>27256</v>
      </c>
      <c r="G29">
        <v>0</v>
      </c>
      <c r="H29">
        <v>18</v>
      </c>
      <c r="I29">
        <v>771889.92</v>
      </c>
      <c r="J29" t="s">
        <v>37</v>
      </c>
      <c r="K29" t="s">
        <v>16</v>
      </c>
      <c r="L29">
        <f t="shared" si="0"/>
        <v>514948</v>
      </c>
    </row>
    <row r="30" spans="1:12" x14ac:dyDescent="0.3">
      <c r="A30" t="s">
        <v>98</v>
      </c>
      <c r="B30" t="s">
        <v>28</v>
      </c>
      <c r="C30" t="s">
        <v>19</v>
      </c>
      <c r="D30" t="s">
        <v>20</v>
      </c>
      <c r="E30">
        <v>15</v>
      </c>
      <c r="F30">
        <v>78957</v>
      </c>
      <c r="G30">
        <v>10</v>
      </c>
      <c r="H30">
        <v>18</v>
      </c>
      <c r="I30">
        <v>1257785.01</v>
      </c>
      <c r="J30" t="s">
        <v>15</v>
      </c>
      <c r="K30" t="s">
        <v>26</v>
      </c>
      <c r="L30">
        <f t="shared" si="0"/>
        <v>123712</v>
      </c>
    </row>
    <row r="31" spans="1:12" x14ac:dyDescent="0.3">
      <c r="A31" t="s">
        <v>116</v>
      </c>
      <c r="B31" t="s">
        <v>28</v>
      </c>
      <c r="C31" t="s">
        <v>48</v>
      </c>
      <c r="D31" t="s">
        <v>49</v>
      </c>
      <c r="E31">
        <v>13</v>
      </c>
      <c r="F31">
        <v>49729</v>
      </c>
      <c r="G31">
        <v>0</v>
      </c>
      <c r="H31">
        <v>12</v>
      </c>
      <c r="I31">
        <v>724054.24</v>
      </c>
      <c r="J31" t="s">
        <v>37</v>
      </c>
      <c r="K31" t="s">
        <v>16</v>
      </c>
      <c r="L31">
        <f t="shared" si="0"/>
        <v>387150</v>
      </c>
    </row>
    <row r="32" spans="1:12" x14ac:dyDescent="0.3">
      <c r="A32" t="s">
        <v>31</v>
      </c>
      <c r="B32" t="s">
        <v>28</v>
      </c>
      <c r="C32" t="s">
        <v>62</v>
      </c>
      <c r="D32" t="s">
        <v>92</v>
      </c>
      <c r="E32">
        <v>26</v>
      </c>
      <c r="F32">
        <v>40763</v>
      </c>
      <c r="G32">
        <v>10</v>
      </c>
      <c r="H32">
        <v>12</v>
      </c>
      <c r="I32">
        <v>1068316.7</v>
      </c>
      <c r="J32" t="s">
        <v>37</v>
      </c>
      <c r="K32" t="s">
        <v>38</v>
      </c>
      <c r="L32">
        <f t="shared" si="0"/>
        <v>511491</v>
      </c>
    </row>
    <row r="33" spans="1:12" x14ac:dyDescent="0.3">
      <c r="A33" t="s">
        <v>178</v>
      </c>
      <c r="B33" t="s">
        <v>28</v>
      </c>
      <c r="C33" t="s">
        <v>24</v>
      </c>
      <c r="D33" t="s">
        <v>40</v>
      </c>
      <c r="E33">
        <v>24</v>
      </c>
      <c r="F33">
        <v>35251</v>
      </c>
      <c r="G33">
        <v>5</v>
      </c>
      <c r="H33">
        <v>28</v>
      </c>
      <c r="I33">
        <v>1028765.18</v>
      </c>
      <c r="J33" t="s">
        <v>15</v>
      </c>
      <c r="K33" t="s">
        <v>38</v>
      </c>
      <c r="L33">
        <f t="shared" si="0"/>
        <v>854657</v>
      </c>
    </row>
    <row r="34" spans="1:12" x14ac:dyDescent="0.3">
      <c r="A34" t="s">
        <v>228</v>
      </c>
      <c r="B34" t="s">
        <v>28</v>
      </c>
      <c r="C34" t="s">
        <v>62</v>
      </c>
      <c r="D34" t="s">
        <v>92</v>
      </c>
      <c r="E34">
        <v>17</v>
      </c>
      <c r="F34">
        <v>2212</v>
      </c>
      <c r="G34">
        <v>5</v>
      </c>
      <c r="H34">
        <v>18</v>
      </c>
      <c r="I34">
        <v>42154.080000000002</v>
      </c>
      <c r="J34" t="s">
        <v>21</v>
      </c>
      <c r="K34" t="s">
        <v>33</v>
      </c>
      <c r="L34">
        <f t="shared" ref="L34:L65" si="1">SUMIF(C:C,C34,F:F)</f>
        <v>511491</v>
      </c>
    </row>
    <row r="35" spans="1:12" x14ac:dyDescent="0.3">
      <c r="A35" t="s">
        <v>177</v>
      </c>
      <c r="B35" t="s">
        <v>28</v>
      </c>
      <c r="C35" t="s">
        <v>35</v>
      </c>
      <c r="D35" t="s">
        <v>77</v>
      </c>
      <c r="E35">
        <v>1</v>
      </c>
      <c r="F35">
        <v>25678</v>
      </c>
      <c r="G35">
        <v>12</v>
      </c>
      <c r="H35">
        <v>12</v>
      </c>
      <c r="I35">
        <v>25308.240000000002</v>
      </c>
      <c r="J35" t="s">
        <v>15</v>
      </c>
      <c r="K35" t="s">
        <v>16</v>
      </c>
      <c r="L35">
        <f t="shared" si="1"/>
        <v>933186</v>
      </c>
    </row>
    <row r="36" spans="1:12" x14ac:dyDescent="0.3">
      <c r="A36" t="s">
        <v>163</v>
      </c>
      <c r="B36" t="s">
        <v>28</v>
      </c>
      <c r="C36" t="s">
        <v>62</v>
      </c>
      <c r="D36" t="s">
        <v>92</v>
      </c>
      <c r="E36">
        <v>12</v>
      </c>
      <c r="F36">
        <v>43558</v>
      </c>
      <c r="G36">
        <v>10</v>
      </c>
      <c r="H36">
        <v>12</v>
      </c>
      <c r="I36">
        <v>526877.56999999995</v>
      </c>
      <c r="J36" t="s">
        <v>15</v>
      </c>
      <c r="K36" t="s">
        <v>16</v>
      </c>
      <c r="L36">
        <f t="shared" si="1"/>
        <v>511491</v>
      </c>
    </row>
    <row r="37" spans="1:12" x14ac:dyDescent="0.3">
      <c r="A37" t="s">
        <v>172</v>
      </c>
      <c r="B37" t="s">
        <v>28</v>
      </c>
      <c r="C37" t="s">
        <v>24</v>
      </c>
      <c r="D37" t="s">
        <v>76</v>
      </c>
      <c r="E37">
        <v>5</v>
      </c>
      <c r="F37">
        <v>32534</v>
      </c>
      <c r="G37">
        <v>12</v>
      </c>
      <c r="H37">
        <v>28</v>
      </c>
      <c r="I37">
        <v>183231.49</v>
      </c>
      <c r="J37" t="s">
        <v>21</v>
      </c>
      <c r="K37" t="s">
        <v>26</v>
      </c>
      <c r="L37">
        <f t="shared" si="1"/>
        <v>854657</v>
      </c>
    </row>
    <row r="38" spans="1:12" x14ac:dyDescent="0.3">
      <c r="A38" t="s">
        <v>228</v>
      </c>
      <c r="B38" t="s">
        <v>28</v>
      </c>
      <c r="C38" t="s">
        <v>62</v>
      </c>
      <c r="D38" t="s">
        <v>63</v>
      </c>
      <c r="E38">
        <v>3</v>
      </c>
      <c r="F38">
        <v>44508</v>
      </c>
      <c r="G38">
        <v>12</v>
      </c>
      <c r="H38">
        <v>12</v>
      </c>
      <c r="I38">
        <v>131601.25</v>
      </c>
      <c r="J38" t="s">
        <v>46</v>
      </c>
      <c r="K38" t="s">
        <v>38</v>
      </c>
      <c r="L38">
        <f t="shared" si="1"/>
        <v>511491</v>
      </c>
    </row>
    <row r="39" spans="1:12" x14ac:dyDescent="0.3">
      <c r="A39" t="s">
        <v>96</v>
      </c>
      <c r="B39" t="s">
        <v>28</v>
      </c>
      <c r="C39" t="s">
        <v>13</v>
      </c>
      <c r="D39" t="s">
        <v>32</v>
      </c>
      <c r="E39">
        <v>16</v>
      </c>
      <c r="F39">
        <v>48800</v>
      </c>
      <c r="G39">
        <v>5</v>
      </c>
      <c r="H39">
        <v>28</v>
      </c>
      <c r="I39">
        <v>949452.80000000005</v>
      </c>
      <c r="J39" t="s">
        <v>37</v>
      </c>
      <c r="K39" t="s">
        <v>16</v>
      </c>
      <c r="L39">
        <f t="shared" si="1"/>
        <v>562158</v>
      </c>
    </row>
    <row r="40" spans="1:12" x14ac:dyDescent="0.3">
      <c r="A40" t="s">
        <v>11</v>
      </c>
      <c r="B40" t="s">
        <v>28</v>
      </c>
      <c r="C40" t="s">
        <v>62</v>
      </c>
      <c r="D40" t="s">
        <v>63</v>
      </c>
      <c r="E40">
        <v>5</v>
      </c>
      <c r="F40">
        <v>5829</v>
      </c>
      <c r="G40">
        <v>5</v>
      </c>
      <c r="H40">
        <v>12</v>
      </c>
      <c r="I40">
        <v>31010.28</v>
      </c>
      <c r="J40" t="s">
        <v>21</v>
      </c>
      <c r="K40" t="s">
        <v>16</v>
      </c>
      <c r="L40">
        <f t="shared" si="1"/>
        <v>511491</v>
      </c>
    </row>
    <row r="41" spans="1:12" x14ac:dyDescent="0.3">
      <c r="A41" t="s">
        <v>171</v>
      </c>
      <c r="B41" t="s">
        <v>28</v>
      </c>
      <c r="C41" t="s">
        <v>35</v>
      </c>
      <c r="D41" t="s">
        <v>56</v>
      </c>
      <c r="E41">
        <v>37</v>
      </c>
      <c r="F41">
        <v>82699</v>
      </c>
      <c r="G41">
        <v>12</v>
      </c>
      <c r="H41">
        <v>12</v>
      </c>
      <c r="I41">
        <v>3015800.97</v>
      </c>
      <c r="J41" t="s">
        <v>15</v>
      </c>
      <c r="K41" t="s">
        <v>38</v>
      </c>
      <c r="L41">
        <f t="shared" si="1"/>
        <v>933186</v>
      </c>
    </row>
    <row r="42" spans="1:12" x14ac:dyDescent="0.3">
      <c r="A42" t="s">
        <v>106</v>
      </c>
      <c r="B42" t="s">
        <v>28</v>
      </c>
      <c r="C42" t="s">
        <v>24</v>
      </c>
      <c r="D42" t="s">
        <v>40</v>
      </c>
      <c r="E42">
        <v>18</v>
      </c>
      <c r="F42">
        <v>81770</v>
      </c>
      <c r="G42">
        <v>0</v>
      </c>
      <c r="H42">
        <v>18</v>
      </c>
      <c r="I42">
        <v>1736794.8</v>
      </c>
      <c r="J42" t="s">
        <v>15</v>
      </c>
      <c r="K42" t="s">
        <v>16</v>
      </c>
      <c r="L42">
        <f t="shared" si="1"/>
        <v>854657</v>
      </c>
    </row>
    <row r="43" spans="1:12" x14ac:dyDescent="0.3">
      <c r="A43" t="s">
        <v>220</v>
      </c>
      <c r="B43" t="s">
        <v>28</v>
      </c>
      <c r="C43" t="s">
        <v>35</v>
      </c>
      <c r="D43" t="s">
        <v>77</v>
      </c>
      <c r="E43">
        <v>30</v>
      </c>
      <c r="F43">
        <v>30844</v>
      </c>
      <c r="G43">
        <v>0</v>
      </c>
      <c r="H43">
        <v>12</v>
      </c>
      <c r="I43">
        <v>1036358.4</v>
      </c>
      <c r="J43" t="s">
        <v>46</v>
      </c>
      <c r="K43" t="s">
        <v>38</v>
      </c>
      <c r="L43">
        <f t="shared" si="1"/>
        <v>933186</v>
      </c>
    </row>
    <row r="44" spans="1:12" x14ac:dyDescent="0.3">
      <c r="A44" t="s">
        <v>157</v>
      </c>
      <c r="B44" t="s">
        <v>28</v>
      </c>
      <c r="C44" t="s">
        <v>44</v>
      </c>
      <c r="D44" t="s">
        <v>51</v>
      </c>
      <c r="E44">
        <v>32</v>
      </c>
      <c r="F44">
        <v>32756</v>
      </c>
      <c r="G44">
        <v>12</v>
      </c>
      <c r="H44">
        <v>28</v>
      </c>
      <c r="I44">
        <v>1180683.47</v>
      </c>
      <c r="J44" t="s">
        <v>46</v>
      </c>
      <c r="K44" t="s">
        <v>33</v>
      </c>
      <c r="L44">
        <f t="shared" si="1"/>
        <v>514948</v>
      </c>
    </row>
    <row r="45" spans="1:12" x14ac:dyDescent="0.3">
      <c r="A45" t="s">
        <v>100</v>
      </c>
      <c r="B45" t="s">
        <v>28</v>
      </c>
      <c r="C45" t="s">
        <v>44</v>
      </c>
      <c r="D45" t="s">
        <v>51</v>
      </c>
      <c r="E45">
        <v>11</v>
      </c>
      <c r="F45">
        <v>3703</v>
      </c>
      <c r="G45">
        <v>10</v>
      </c>
      <c r="H45">
        <v>12</v>
      </c>
      <c r="I45">
        <v>41058.86</v>
      </c>
      <c r="J45" t="s">
        <v>15</v>
      </c>
      <c r="K45" t="s">
        <v>16</v>
      </c>
      <c r="L45">
        <f t="shared" si="1"/>
        <v>514948</v>
      </c>
    </row>
    <row r="46" spans="1:12" x14ac:dyDescent="0.3">
      <c r="A46" t="s">
        <v>210</v>
      </c>
      <c r="B46" t="s">
        <v>28</v>
      </c>
      <c r="C46" t="s">
        <v>35</v>
      </c>
      <c r="D46" t="s">
        <v>56</v>
      </c>
      <c r="E46">
        <v>25</v>
      </c>
      <c r="F46">
        <v>63835</v>
      </c>
      <c r="G46">
        <v>0</v>
      </c>
      <c r="H46">
        <v>12</v>
      </c>
      <c r="I46">
        <v>1787380</v>
      </c>
      <c r="J46" t="s">
        <v>15</v>
      </c>
      <c r="K46" t="s">
        <v>38</v>
      </c>
      <c r="L46">
        <f t="shared" si="1"/>
        <v>933186</v>
      </c>
    </row>
    <row r="47" spans="1:12" x14ac:dyDescent="0.3">
      <c r="A47" t="s">
        <v>119</v>
      </c>
      <c r="B47" t="s">
        <v>28</v>
      </c>
      <c r="C47" t="s">
        <v>48</v>
      </c>
      <c r="D47" t="s">
        <v>49</v>
      </c>
      <c r="E47">
        <v>21</v>
      </c>
      <c r="F47">
        <v>65651</v>
      </c>
      <c r="G47">
        <v>10</v>
      </c>
      <c r="H47">
        <v>12</v>
      </c>
      <c r="I47">
        <v>1389700.37</v>
      </c>
      <c r="J47" t="s">
        <v>37</v>
      </c>
      <c r="K47" t="s">
        <v>16</v>
      </c>
      <c r="L47">
        <f t="shared" si="1"/>
        <v>387150</v>
      </c>
    </row>
    <row r="48" spans="1:12" x14ac:dyDescent="0.3">
      <c r="A48" t="s">
        <v>43</v>
      </c>
      <c r="B48" t="s">
        <v>28</v>
      </c>
      <c r="C48" t="s">
        <v>29</v>
      </c>
      <c r="D48" t="s">
        <v>30</v>
      </c>
      <c r="E48">
        <v>35</v>
      </c>
      <c r="F48">
        <v>23147</v>
      </c>
      <c r="G48">
        <v>12</v>
      </c>
      <c r="H48">
        <v>28</v>
      </c>
      <c r="I48">
        <v>912547.33</v>
      </c>
      <c r="J48" t="s">
        <v>46</v>
      </c>
      <c r="K48" t="s">
        <v>26</v>
      </c>
      <c r="L48">
        <f t="shared" si="1"/>
        <v>192838</v>
      </c>
    </row>
    <row r="49" spans="1:12" x14ac:dyDescent="0.3">
      <c r="A49" t="s">
        <v>60</v>
      </c>
      <c r="B49" t="s">
        <v>28</v>
      </c>
      <c r="C49" t="s">
        <v>29</v>
      </c>
      <c r="D49" t="s">
        <v>30</v>
      </c>
      <c r="E49">
        <v>20</v>
      </c>
      <c r="F49">
        <v>44904</v>
      </c>
      <c r="G49">
        <v>12</v>
      </c>
      <c r="H49">
        <v>28</v>
      </c>
      <c r="I49">
        <v>1011597.31</v>
      </c>
      <c r="J49" t="s">
        <v>21</v>
      </c>
      <c r="K49" t="s">
        <v>38</v>
      </c>
      <c r="L49">
        <f t="shared" si="1"/>
        <v>192838</v>
      </c>
    </row>
    <row r="50" spans="1:12" x14ac:dyDescent="0.3">
      <c r="A50" t="s">
        <v>87</v>
      </c>
      <c r="B50" t="s">
        <v>28</v>
      </c>
      <c r="C50" t="s">
        <v>48</v>
      </c>
      <c r="D50" t="s">
        <v>59</v>
      </c>
      <c r="E50">
        <v>21</v>
      </c>
      <c r="F50">
        <v>51536</v>
      </c>
      <c r="G50">
        <v>10</v>
      </c>
      <c r="H50">
        <v>18</v>
      </c>
      <c r="I50">
        <v>1149355.8700000001</v>
      </c>
      <c r="J50" t="s">
        <v>37</v>
      </c>
      <c r="K50" t="s">
        <v>38</v>
      </c>
      <c r="L50">
        <f t="shared" si="1"/>
        <v>387150</v>
      </c>
    </row>
    <row r="51" spans="1:12" x14ac:dyDescent="0.3">
      <c r="A51" t="s">
        <v>101</v>
      </c>
      <c r="B51" t="s">
        <v>28</v>
      </c>
      <c r="C51" t="s">
        <v>13</v>
      </c>
      <c r="D51" t="s">
        <v>32</v>
      </c>
      <c r="E51">
        <v>3</v>
      </c>
      <c r="F51">
        <v>80779</v>
      </c>
      <c r="G51">
        <v>0</v>
      </c>
      <c r="H51">
        <v>18</v>
      </c>
      <c r="I51">
        <v>285957.65999999997</v>
      </c>
      <c r="J51" t="s">
        <v>15</v>
      </c>
      <c r="K51" t="s">
        <v>26</v>
      </c>
      <c r="L51">
        <f t="shared" si="1"/>
        <v>562158</v>
      </c>
    </row>
    <row r="52" spans="1:12" x14ac:dyDescent="0.3">
      <c r="A52" t="s">
        <v>73</v>
      </c>
      <c r="B52" t="s">
        <v>28</v>
      </c>
      <c r="C52" t="s">
        <v>62</v>
      </c>
      <c r="D52" t="s">
        <v>63</v>
      </c>
      <c r="E52">
        <v>27</v>
      </c>
      <c r="F52">
        <v>34341</v>
      </c>
      <c r="G52">
        <v>12</v>
      </c>
      <c r="H52">
        <v>12</v>
      </c>
      <c r="I52">
        <v>913855.22</v>
      </c>
      <c r="J52" t="s">
        <v>15</v>
      </c>
      <c r="K52" t="s">
        <v>38</v>
      </c>
      <c r="L52">
        <f t="shared" si="1"/>
        <v>511491</v>
      </c>
    </row>
    <row r="53" spans="1:12" x14ac:dyDescent="0.3">
      <c r="A53" t="s">
        <v>231</v>
      </c>
      <c r="B53" t="s">
        <v>28</v>
      </c>
      <c r="C53" t="s">
        <v>24</v>
      </c>
      <c r="D53" t="s">
        <v>25</v>
      </c>
      <c r="E53">
        <v>11</v>
      </c>
      <c r="F53">
        <v>30711</v>
      </c>
      <c r="G53">
        <v>5</v>
      </c>
      <c r="H53">
        <v>18</v>
      </c>
      <c r="I53">
        <v>378697.34</v>
      </c>
      <c r="J53" t="s">
        <v>37</v>
      </c>
      <c r="K53" t="s">
        <v>33</v>
      </c>
      <c r="L53">
        <f t="shared" si="1"/>
        <v>854657</v>
      </c>
    </row>
    <row r="54" spans="1:12" x14ac:dyDescent="0.3">
      <c r="A54" t="s">
        <v>91</v>
      </c>
      <c r="B54" t="s">
        <v>28</v>
      </c>
      <c r="C54" t="s">
        <v>44</v>
      </c>
      <c r="D54" t="s">
        <v>45</v>
      </c>
      <c r="E54">
        <v>2</v>
      </c>
      <c r="F54">
        <v>54806</v>
      </c>
      <c r="G54">
        <v>10</v>
      </c>
      <c r="H54">
        <v>12</v>
      </c>
      <c r="I54">
        <v>110488.9</v>
      </c>
      <c r="J54" t="s">
        <v>46</v>
      </c>
      <c r="K54" t="s">
        <v>38</v>
      </c>
      <c r="L54">
        <f t="shared" si="1"/>
        <v>514948</v>
      </c>
    </row>
    <row r="55" spans="1:12" x14ac:dyDescent="0.3">
      <c r="A55" t="s">
        <v>100</v>
      </c>
      <c r="B55" t="s">
        <v>28</v>
      </c>
      <c r="C55" t="s">
        <v>35</v>
      </c>
      <c r="D55" t="s">
        <v>36</v>
      </c>
      <c r="E55">
        <v>19</v>
      </c>
      <c r="F55">
        <v>82191</v>
      </c>
      <c r="G55">
        <v>12</v>
      </c>
      <c r="H55">
        <v>18</v>
      </c>
      <c r="I55">
        <v>1621595.55</v>
      </c>
      <c r="J55" t="s">
        <v>15</v>
      </c>
      <c r="K55" t="s">
        <v>26</v>
      </c>
      <c r="L55">
        <f t="shared" si="1"/>
        <v>933186</v>
      </c>
    </row>
    <row r="56" spans="1:12" x14ac:dyDescent="0.3">
      <c r="A56" t="s">
        <v>34</v>
      </c>
      <c r="B56" t="s">
        <v>28</v>
      </c>
      <c r="C56" t="s">
        <v>35</v>
      </c>
      <c r="D56" t="s">
        <v>36</v>
      </c>
      <c r="E56">
        <v>28</v>
      </c>
      <c r="F56">
        <v>52234</v>
      </c>
      <c r="G56">
        <v>5</v>
      </c>
      <c r="H56">
        <v>12</v>
      </c>
      <c r="I56">
        <v>1556155.33</v>
      </c>
      <c r="J56" t="s">
        <v>46</v>
      </c>
      <c r="K56" t="s">
        <v>38</v>
      </c>
      <c r="L56">
        <f t="shared" si="1"/>
        <v>933186</v>
      </c>
    </row>
    <row r="57" spans="1:12" x14ac:dyDescent="0.3">
      <c r="A57" t="s">
        <v>82</v>
      </c>
      <c r="B57" t="s">
        <v>28</v>
      </c>
      <c r="C57" t="s">
        <v>24</v>
      </c>
      <c r="D57" t="s">
        <v>40</v>
      </c>
      <c r="E57">
        <v>15</v>
      </c>
      <c r="F57">
        <v>36828</v>
      </c>
      <c r="G57">
        <v>12</v>
      </c>
      <c r="H57">
        <v>12</v>
      </c>
      <c r="I57">
        <v>544465.15</v>
      </c>
      <c r="J57" t="s">
        <v>15</v>
      </c>
      <c r="K57" t="s">
        <v>33</v>
      </c>
      <c r="L57">
        <f t="shared" si="1"/>
        <v>854657</v>
      </c>
    </row>
    <row r="58" spans="1:12" x14ac:dyDescent="0.3">
      <c r="A58" t="s">
        <v>82</v>
      </c>
      <c r="B58" t="s">
        <v>28</v>
      </c>
      <c r="C58" t="s">
        <v>35</v>
      </c>
      <c r="D58" t="s">
        <v>56</v>
      </c>
      <c r="E58">
        <v>36</v>
      </c>
      <c r="F58">
        <v>53790</v>
      </c>
      <c r="G58">
        <v>5</v>
      </c>
      <c r="H58">
        <v>18</v>
      </c>
      <c r="I58">
        <v>2170749.2400000002</v>
      </c>
      <c r="J58" t="s">
        <v>21</v>
      </c>
      <c r="K58" t="s">
        <v>38</v>
      </c>
      <c r="L58">
        <f t="shared" si="1"/>
        <v>933186</v>
      </c>
    </row>
    <row r="59" spans="1:12" x14ac:dyDescent="0.3">
      <c r="A59" t="s">
        <v>151</v>
      </c>
      <c r="B59" t="s">
        <v>28</v>
      </c>
      <c r="C59" t="s">
        <v>44</v>
      </c>
      <c r="D59" t="s">
        <v>51</v>
      </c>
      <c r="E59">
        <v>3</v>
      </c>
      <c r="F59">
        <v>6649</v>
      </c>
      <c r="G59">
        <v>5</v>
      </c>
      <c r="H59">
        <v>12</v>
      </c>
      <c r="I59">
        <v>21223.61</v>
      </c>
      <c r="J59" t="s">
        <v>15</v>
      </c>
      <c r="K59" t="s">
        <v>26</v>
      </c>
      <c r="L59">
        <f t="shared" si="1"/>
        <v>514948</v>
      </c>
    </row>
    <row r="60" spans="1:12" x14ac:dyDescent="0.3">
      <c r="A60" t="s">
        <v>192</v>
      </c>
      <c r="B60" t="s">
        <v>28</v>
      </c>
      <c r="C60" t="s">
        <v>62</v>
      </c>
      <c r="D60" t="s">
        <v>92</v>
      </c>
      <c r="E60">
        <v>6</v>
      </c>
      <c r="F60">
        <v>61082</v>
      </c>
      <c r="G60">
        <v>5</v>
      </c>
      <c r="H60">
        <v>18</v>
      </c>
      <c r="I60">
        <v>410837.53</v>
      </c>
      <c r="J60" t="s">
        <v>37</v>
      </c>
      <c r="K60" t="s">
        <v>33</v>
      </c>
      <c r="L60">
        <f t="shared" si="1"/>
        <v>511491</v>
      </c>
    </row>
    <row r="61" spans="1:12" x14ac:dyDescent="0.3">
      <c r="A61" t="s">
        <v>212</v>
      </c>
      <c r="B61" t="s">
        <v>28</v>
      </c>
      <c r="C61" t="s">
        <v>35</v>
      </c>
      <c r="D61" t="s">
        <v>56</v>
      </c>
      <c r="E61">
        <v>15</v>
      </c>
      <c r="F61">
        <v>58098</v>
      </c>
      <c r="G61">
        <v>10</v>
      </c>
      <c r="H61">
        <v>12</v>
      </c>
      <c r="I61">
        <v>878441.76</v>
      </c>
      <c r="J61" t="s">
        <v>46</v>
      </c>
      <c r="K61" t="s">
        <v>16</v>
      </c>
      <c r="L61">
        <f t="shared" si="1"/>
        <v>933186</v>
      </c>
    </row>
    <row r="62" spans="1:12" x14ac:dyDescent="0.3">
      <c r="A62" t="s">
        <v>175</v>
      </c>
      <c r="B62" t="s">
        <v>28</v>
      </c>
      <c r="C62" t="s">
        <v>35</v>
      </c>
      <c r="D62" t="s">
        <v>77</v>
      </c>
      <c r="E62">
        <v>28</v>
      </c>
      <c r="F62">
        <v>75441</v>
      </c>
      <c r="G62">
        <v>12</v>
      </c>
      <c r="H62">
        <v>12</v>
      </c>
      <c r="I62">
        <v>2081930.19</v>
      </c>
      <c r="J62" t="s">
        <v>46</v>
      </c>
      <c r="K62" t="s">
        <v>26</v>
      </c>
      <c r="L62">
        <f t="shared" si="1"/>
        <v>933186</v>
      </c>
    </row>
    <row r="63" spans="1:12" x14ac:dyDescent="0.3">
      <c r="A63" t="s">
        <v>132</v>
      </c>
      <c r="B63" t="s">
        <v>28</v>
      </c>
      <c r="C63" t="s">
        <v>48</v>
      </c>
      <c r="D63" t="s">
        <v>49</v>
      </c>
      <c r="E63">
        <v>10</v>
      </c>
      <c r="F63">
        <v>56295</v>
      </c>
      <c r="G63">
        <v>12</v>
      </c>
      <c r="H63">
        <v>12</v>
      </c>
      <c r="I63">
        <v>554843.52</v>
      </c>
      <c r="J63" t="s">
        <v>46</v>
      </c>
      <c r="K63" t="s">
        <v>38</v>
      </c>
      <c r="L63">
        <f t="shared" si="1"/>
        <v>387150</v>
      </c>
    </row>
    <row r="64" spans="1:12" x14ac:dyDescent="0.3">
      <c r="A64" t="s">
        <v>158</v>
      </c>
      <c r="B64" t="s">
        <v>28</v>
      </c>
      <c r="C64" t="s">
        <v>35</v>
      </c>
      <c r="D64" t="s">
        <v>36</v>
      </c>
      <c r="E64">
        <v>13</v>
      </c>
      <c r="F64">
        <v>42787</v>
      </c>
      <c r="G64">
        <v>10</v>
      </c>
      <c r="H64">
        <v>28</v>
      </c>
      <c r="I64">
        <v>640778.11</v>
      </c>
      <c r="J64" t="s">
        <v>37</v>
      </c>
      <c r="K64" t="s">
        <v>38</v>
      </c>
      <c r="L64">
        <f t="shared" si="1"/>
        <v>933186</v>
      </c>
    </row>
    <row r="65" spans="1:12" x14ac:dyDescent="0.3">
      <c r="A65" t="s">
        <v>201</v>
      </c>
      <c r="B65" t="s">
        <v>28</v>
      </c>
      <c r="C65" t="s">
        <v>35</v>
      </c>
      <c r="D65" t="s">
        <v>77</v>
      </c>
      <c r="E65">
        <v>36</v>
      </c>
      <c r="F65">
        <v>7229</v>
      </c>
      <c r="G65">
        <v>5</v>
      </c>
      <c r="H65">
        <v>28</v>
      </c>
      <c r="I65">
        <v>316456.7</v>
      </c>
      <c r="J65" t="s">
        <v>46</v>
      </c>
      <c r="K65" t="s">
        <v>26</v>
      </c>
      <c r="L65">
        <f t="shared" si="1"/>
        <v>933186</v>
      </c>
    </row>
    <row r="66" spans="1:12" x14ac:dyDescent="0.3">
      <c r="A66" t="s">
        <v>105</v>
      </c>
      <c r="B66" t="s">
        <v>28</v>
      </c>
      <c r="C66" t="s">
        <v>44</v>
      </c>
      <c r="D66" t="s">
        <v>45</v>
      </c>
      <c r="E66">
        <v>38</v>
      </c>
      <c r="F66">
        <v>18684</v>
      </c>
      <c r="G66">
        <v>12</v>
      </c>
      <c r="H66">
        <v>28</v>
      </c>
      <c r="I66">
        <v>799734.99</v>
      </c>
      <c r="J66" t="s">
        <v>37</v>
      </c>
      <c r="K66" t="s">
        <v>26</v>
      </c>
      <c r="L66">
        <f t="shared" ref="L66:L97" si="2">SUMIF(C:C,C66,F:F)</f>
        <v>514948</v>
      </c>
    </row>
    <row r="67" spans="1:12" x14ac:dyDescent="0.3">
      <c r="A67" t="s">
        <v>84</v>
      </c>
      <c r="B67" t="s">
        <v>28</v>
      </c>
      <c r="C67" t="s">
        <v>24</v>
      </c>
      <c r="D67" t="s">
        <v>40</v>
      </c>
      <c r="E67">
        <v>20</v>
      </c>
      <c r="F67">
        <v>39867</v>
      </c>
      <c r="G67">
        <v>10</v>
      </c>
      <c r="H67">
        <v>28</v>
      </c>
      <c r="I67">
        <v>918535.68000000005</v>
      </c>
      <c r="J67" t="s">
        <v>46</v>
      </c>
      <c r="K67" t="s">
        <v>38</v>
      </c>
      <c r="L67">
        <f t="shared" si="2"/>
        <v>854657</v>
      </c>
    </row>
    <row r="68" spans="1:12" x14ac:dyDescent="0.3">
      <c r="A68" t="s">
        <v>72</v>
      </c>
      <c r="B68" t="s">
        <v>28</v>
      </c>
      <c r="C68" t="s">
        <v>35</v>
      </c>
      <c r="D68" t="s">
        <v>77</v>
      </c>
      <c r="E68">
        <v>26</v>
      </c>
      <c r="F68">
        <v>82799</v>
      </c>
      <c r="G68">
        <v>0</v>
      </c>
      <c r="H68">
        <v>28</v>
      </c>
      <c r="I68">
        <v>2755550.72</v>
      </c>
      <c r="J68" t="s">
        <v>46</v>
      </c>
      <c r="K68" t="s">
        <v>33</v>
      </c>
      <c r="L68">
        <f t="shared" si="2"/>
        <v>933186</v>
      </c>
    </row>
    <row r="69" spans="1:12" x14ac:dyDescent="0.3">
      <c r="A69" t="s">
        <v>95</v>
      </c>
      <c r="B69" t="s">
        <v>28</v>
      </c>
      <c r="C69" t="s">
        <v>24</v>
      </c>
      <c r="D69" t="s">
        <v>76</v>
      </c>
      <c r="E69">
        <v>39</v>
      </c>
      <c r="F69">
        <v>49399</v>
      </c>
      <c r="G69">
        <v>5</v>
      </c>
      <c r="H69">
        <v>28</v>
      </c>
      <c r="I69">
        <v>2342698.1800000002</v>
      </c>
      <c r="J69" t="s">
        <v>46</v>
      </c>
      <c r="K69" t="s">
        <v>16</v>
      </c>
      <c r="L69">
        <f t="shared" si="2"/>
        <v>854657</v>
      </c>
    </row>
    <row r="70" spans="1:12" x14ac:dyDescent="0.3">
      <c r="A70" t="s">
        <v>136</v>
      </c>
      <c r="B70" t="s">
        <v>28</v>
      </c>
      <c r="C70" t="s">
        <v>24</v>
      </c>
      <c r="D70" t="s">
        <v>25</v>
      </c>
      <c r="E70">
        <v>15</v>
      </c>
      <c r="F70">
        <v>21993</v>
      </c>
      <c r="G70">
        <v>5</v>
      </c>
      <c r="H70">
        <v>12</v>
      </c>
      <c r="I70">
        <v>351008.28</v>
      </c>
      <c r="J70" t="s">
        <v>46</v>
      </c>
      <c r="K70" t="s">
        <v>33</v>
      </c>
      <c r="L70">
        <f t="shared" si="2"/>
        <v>854657</v>
      </c>
    </row>
    <row r="71" spans="1:12" x14ac:dyDescent="0.3">
      <c r="A71" t="s">
        <v>160</v>
      </c>
      <c r="B71" t="s">
        <v>28</v>
      </c>
      <c r="C71" t="s">
        <v>35</v>
      </c>
      <c r="D71" t="s">
        <v>36</v>
      </c>
      <c r="E71">
        <v>24</v>
      </c>
      <c r="F71">
        <v>60700</v>
      </c>
      <c r="G71">
        <v>0</v>
      </c>
      <c r="H71">
        <v>28</v>
      </c>
      <c r="I71">
        <v>1864704</v>
      </c>
      <c r="J71" t="s">
        <v>46</v>
      </c>
      <c r="K71" t="s">
        <v>16</v>
      </c>
      <c r="L71">
        <f t="shared" si="2"/>
        <v>933186</v>
      </c>
    </row>
    <row r="72" spans="1:12" x14ac:dyDescent="0.3">
      <c r="A72" t="s">
        <v>146</v>
      </c>
      <c r="B72" t="s">
        <v>28</v>
      </c>
      <c r="C72" t="s">
        <v>35</v>
      </c>
      <c r="D72" t="s">
        <v>56</v>
      </c>
      <c r="E72">
        <v>12</v>
      </c>
      <c r="F72">
        <v>26491</v>
      </c>
      <c r="G72">
        <v>12</v>
      </c>
      <c r="H72">
        <v>12</v>
      </c>
      <c r="I72">
        <v>313314.36</v>
      </c>
      <c r="J72" t="s">
        <v>15</v>
      </c>
      <c r="K72" t="s">
        <v>26</v>
      </c>
      <c r="L72">
        <f t="shared" si="2"/>
        <v>933186</v>
      </c>
    </row>
    <row r="73" spans="1:12" x14ac:dyDescent="0.3">
      <c r="A73" t="s">
        <v>137</v>
      </c>
      <c r="B73" t="s">
        <v>28</v>
      </c>
      <c r="C73" t="s">
        <v>44</v>
      </c>
      <c r="D73" t="s">
        <v>51</v>
      </c>
      <c r="E73">
        <v>14</v>
      </c>
      <c r="F73">
        <v>53438</v>
      </c>
      <c r="G73">
        <v>5</v>
      </c>
      <c r="H73">
        <v>18</v>
      </c>
      <c r="I73">
        <v>838655.97</v>
      </c>
      <c r="J73" t="s">
        <v>37</v>
      </c>
      <c r="K73" t="s">
        <v>38</v>
      </c>
      <c r="L73">
        <f t="shared" si="2"/>
        <v>514948</v>
      </c>
    </row>
    <row r="74" spans="1:12" x14ac:dyDescent="0.3">
      <c r="A74" t="s">
        <v>98</v>
      </c>
      <c r="B74" t="s">
        <v>28</v>
      </c>
      <c r="C74" t="s">
        <v>48</v>
      </c>
      <c r="D74" t="s">
        <v>49</v>
      </c>
      <c r="E74">
        <v>1</v>
      </c>
      <c r="F74">
        <v>5534</v>
      </c>
      <c r="G74">
        <v>5</v>
      </c>
      <c r="H74">
        <v>28</v>
      </c>
      <c r="I74">
        <v>6729.34</v>
      </c>
      <c r="J74" t="s">
        <v>46</v>
      </c>
      <c r="K74" t="s">
        <v>33</v>
      </c>
      <c r="L74">
        <f t="shared" si="2"/>
        <v>387150</v>
      </c>
    </row>
    <row r="75" spans="1:12" x14ac:dyDescent="0.3">
      <c r="A75" t="s">
        <v>226</v>
      </c>
      <c r="B75" t="s">
        <v>28</v>
      </c>
      <c r="C75" t="s">
        <v>13</v>
      </c>
      <c r="D75" t="s">
        <v>32</v>
      </c>
      <c r="E75">
        <v>37</v>
      </c>
      <c r="F75">
        <v>25956</v>
      </c>
      <c r="G75">
        <v>0</v>
      </c>
      <c r="H75">
        <v>12</v>
      </c>
      <c r="I75">
        <v>1075616.6399999999</v>
      </c>
      <c r="J75" t="s">
        <v>21</v>
      </c>
      <c r="K75" t="s">
        <v>38</v>
      </c>
      <c r="L75">
        <f t="shared" si="2"/>
        <v>562158</v>
      </c>
    </row>
    <row r="76" spans="1:12" x14ac:dyDescent="0.3">
      <c r="A76" t="s">
        <v>140</v>
      </c>
      <c r="B76" t="s">
        <v>28</v>
      </c>
      <c r="C76" t="s">
        <v>13</v>
      </c>
      <c r="D76" t="s">
        <v>14</v>
      </c>
      <c r="E76">
        <v>17</v>
      </c>
      <c r="F76">
        <v>26763</v>
      </c>
      <c r="G76">
        <v>5</v>
      </c>
      <c r="H76">
        <v>18</v>
      </c>
      <c r="I76">
        <v>510022.49</v>
      </c>
      <c r="J76" t="s">
        <v>46</v>
      </c>
      <c r="K76" t="s">
        <v>38</v>
      </c>
      <c r="L76">
        <f t="shared" si="2"/>
        <v>562158</v>
      </c>
    </row>
    <row r="77" spans="1:12" x14ac:dyDescent="0.3">
      <c r="A77" t="s">
        <v>223</v>
      </c>
      <c r="B77" t="s">
        <v>28</v>
      </c>
      <c r="C77" t="s">
        <v>44</v>
      </c>
      <c r="D77" t="s">
        <v>45</v>
      </c>
      <c r="E77">
        <v>14</v>
      </c>
      <c r="F77">
        <v>41821</v>
      </c>
      <c r="G77">
        <v>12</v>
      </c>
      <c r="H77">
        <v>28</v>
      </c>
      <c r="I77">
        <v>659500.43999999994</v>
      </c>
      <c r="J77" t="s">
        <v>46</v>
      </c>
      <c r="K77" t="s">
        <v>26</v>
      </c>
      <c r="L77">
        <f t="shared" si="2"/>
        <v>514948</v>
      </c>
    </row>
    <row r="78" spans="1:12" x14ac:dyDescent="0.3">
      <c r="A78" t="s">
        <v>55</v>
      </c>
      <c r="B78" t="s">
        <v>28</v>
      </c>
      <c r="C78" t="s">
        <v>13</v>
      </c>
      <c r="D78" t="s">
        <v>32</v>
      </c>
      <c r="E78">
        <v>2</v>
      </c>
      <c r="F78">
        <v>77776</v>
      </c>
      <c r="G78">
        <v>12</v>
      </c>
      <c r="H78">
        <v>18</v>
      </c>
      <c r="I78">
        <v>161525.20000000001</v>
      </c>
      <c r="J78" t="s">
        <v>37</v>
      </c>
      <c r="K78" t="s">
        <v>33</v>
      </c>
      <c r="L78">
        <f t="shared" si="2"/>
        <v>562158</v>
      </c>
    </row>
    <row r="79" spans="1:12" x14ac:dyDescent="0.3">
      <c r="A79" t="s">
        <v>93</v>
      </c>
      <c r="B79" t="s">
        <v>28</v>
      </c>
      <c r="C79" t="s">
        <v>62</v>
      </c>
      <c r="D79" t="s">
        <v>63</v>
      </c>
      <c r="E79">
        <v>16</v>
      </c>
      <c r="F79">
        <v>42510</v>
      </c>
      <c r="G79">
        <v>12</v>
      </c>
      <c r="H79">
        <v>28</v>
      </c>
      <c r="I79">
        <v>766132.22</v>
      </c>
      <c r="J79" t="s">
        <v>37</v>
      </c>
      <c r="K79" t="s">
        <v>26</v>
      </c>
      <c r="L79">
        <f t="shared" si="2"/>
        <v>511491</v>
      </c>
    </row>
    <row r="80" spans="1:12" x14ac:dyDescent="0.3">
      <c r="A80" t="s">
        <v>66</v>
      </c>
      <c r="B80" t="s">
        <v>28</v>
      </c>
      <c r="C80" t="s">
        <v>13</v>
      </c>
      <c r="D80" t="s">
        <v>14</v>
      </c>
      <c r="E80">
        <v>6</v>
      </c>
      <c r="F80">
        <v>43347</v>
      </c>
      <c r="G80">
        <v>5</v>
      </c>
      <c r="H80">
        <v>12</v>
      </c>
      <c r="I80">
        <v>276727.25</v>
      </c>
      <c r="J80" t="s">
        <v>37</v>
      </c>
      <c r="K80" t="s">
        <v>33</v>
      </c>
      <c r="L80">
        <f t="shared" si="2"/>
        <v>562158</v>
      </c>
    </row>
    <row r="81" spans="1:12" x14ac:dyDescent="0.3">
      <c r="A81" t="s">
        <v>105</v>
      </c>
      <c r="B81" t="s">
        <v>28</v>
      </c>
      <c r="C81" t="s">
        <v>29</v>
      </c>
      <c r="D81" t="s">
        <v>30</v>
      </c>
      <c r="E81">
        <v>24</v>
      </c>
      <c r="F81">
        <v>44583</v>
      </c>
      <c r="G81">
        <v>0</v>
      </c>
      <c r="H81">
        <v>28</v>
      </c>
      <c r="I81">
        <v>1369589.76</v>
      </c>
      <c r="J81" t="s">
        <v>21</v>
      </c>
      <c r="K81" t="s">
        <v>33</v>
      </c>
      <c r="L81">
        <f t="shared" si="2"/>
        <v>192838</v>
      </c>
    </row>
    <row r="82" spans="1:12" x14ac:dyDescent="0.3">
      <c r="A82" t="s">
        <v>145</v>
      </c>
      <c r="B82" t="s">
        <v>28</v>
      </c>
      <c r="C82" t="s">
        <v>35</v>
      </c>
      <c r="D82" t="s">
        <v>36</v>
      </c>
      <c r="E82">
        <v>13</v>
      </c>
      <c r="F82">
        <v>7465</v>
      </c>
      <c r="G82">
        <v>5</v>
      </c>
      <c r="H82">
        <v>12</v>
      </c>
      <c r="I82">
        <v>103255.88</v>
      </c>
      <c r="J82" t="s">
        <v>37</v>
      </c>
      <c r="K82" t="s">
        <v>38</v>
      </c>
      <c r="L82">
        <f t="shared" si="2"/>
        <v>933186</v>
      </c>
    </row>
    <row r="83" spans="1:12" x14ac:dyDescent="0.3">
      <c r="A83" t="s">
        <v>99</v>
      </c>
      <c r="B83" t="s">
        <v>28</v>
      </c>
      <c r="C83" t="s">
        <v>24</v>
      </c>
      <c r="D83" t="s">
        <v>25</v>
      </c>
      <c r="E83">
        <v>38</v>
      </c>
      <c r="F83">
        <v>61161</v>
      </c>
      <c r="G83">
        <v>5</v>
      </c>
      <c r="H83">
        <v>28</v>
      </c>
      <c r="I83">
        <v>2826127.49</v>
      </c>
      <c r="J83" t="s">
        <v>37</v>
      </c>
      <c r="K83" t="s">
        <v>16</v>
      </c>
      <c r="L83">
        <f t="shared" si="2"/>
        <v>854657</v>
      </c>
    </row>
    <row r="84" spans="1:12" x14ac:dyDescent="0.3">
      <c r="A84" t="s">
        <v>230</v>
      </c>
      <c r="B84" t="s">
        <v>28</v>
      </c>
      <c r="C84" t="s">
        <v>19</v>
      </c>
      <c r="D84" t="s">
        <v>20</v>
      </c>
      <c r="E84">
        <v>25</v>
      </c>
      <c r="F84">
        <v>44755</v>
      </c>
      <c r="G84">
        <v>5</v>
      </c>
      <c r="H84">
        <v>28</v>
      </c>
      <c r="I84">
        <v>1360552</v>
      </c>
      <c r="J84" t="s">
        <v>21</v>
      </c>
      <c r="K84" t="s">
        <v>26</v>
      </c>
      <c r="L84">
        <f t="shared" si="2"/>
        <v>123712</v>
      </c>
    </row>
    <row r="85" spans="1:12" x14ac:dyDescent="0.3">
      <c r="A85" t="s">
        <v>64</v>
      </c>
      <c r="B85" t="s">
        <v>28</v>
      </c>
      <c r="C85" t="s">
        <v>35</v>
      </c>
      <c r="D85" t="s">
        <v>56</v>
      </c>
      <c r="E85">
        <v>31</v>
      </c>
      <c r="F85">
        <v>7991</v>
      </c>
      <c r="G85">
        <v>5</v>
      </c>
      <c r="H85">
        <v>18</v>
      </c>
      <c r="I85">
        <v>277695.24</v>
      </c>
      <c r="J85" t="s">
        <v>15</v>
      </c>
      <c r="K85" t="s">
        <v>26</v>
      </c>
      <c r="L85">
        <f t="shared" si="2"/>
        <v>933186</v>
      </c>
    </row>
    <row r="86" spans="1:12" x14ac:dyDescent="0.3">
      <c r="A86" t="s">
        <v>206</v>
      </c>
      <c r="B86" t="s">
        <v>28</v>
      </c>
      <c r="C86" t="s">
        <v>35</v>
      </c>
      <c r="D86" t="s">
        <v>56</v>
      </c>
      <c r="E86">
        <v>10</v>
      </c>
      <c r="F86">
        <v>1385</v>
      </c>
      <c r="G86">
        <v>10</v>
      </c>
      <c r="H86">
        <v>12</v>
      </c>
      <c r="I86">
        <v>13960.8</v>
      </c>
      <c r="J86" t="s">
        <v>21</v>
      </c>
      <c r="K86" t="s">
        <v>26</v>
      </c>
      <c r="L86">
        <f t="shared" si="2"/>
        <v>933186</v>
      </c>
    </row>
    <row r="87" spans="1:12" x14ac:dyDescent="0.3">
      <c r="A87" t="s">
        <v>108</v>
      </c>
      <c r="B87" t="s">
        <v>28</v>
      </c>
      <c r="C87" t="s">
        <v>62</v>
      </c>
      <c r="D87" t="s">
        <v>63</v>
      </c>
      <c r="E87">
        <v>8</v>
      </c>
      <c r="F87">
        <v>67550</v>
      </c>
      <c r="G87">
        <v>0</v>
      </c>
      <c r="H87">
        <v>12</v>
      </c>
      <c r="I87">
        <v>605248</v>
      </c>
      <c r="J87" t="s">
        <v>15</v>
      </c>
      <c r="K87" t="s">
        <v>26</v>
      </c>
      <c r="L87">
        <f t="shared" si="2"/>
        <v>511491</v>
      </c>
    </row>
    <row r="88" spans="1:12" x14ac:dyDescent="0.3">
      <c r="A88" t="s">
        <v>132</v>
      </c>
      <c r="B88" t="s">
        <v>28</v>
      </c>
      <c r="C88" t="s">
        <v>13</v>
      </c>
      <c r="D88" t="s">
        <v>14</v>
      </c>
      <c r="E88">
        <v>15</v>
      </c>
      <c r="F88">
        <v>36355</v>
      </c>
      <c r="G88">
        <v>12</v>
      </c>
      <c r="H88">
        <v>28</v>
      </c>
      <c r="I88">
        <v>614254.07999999996</v>
      </c>
      <c r="J88" t="s">
        <v>15</v>
      </c>
      <c r="K88" t="s">
        <v>38</v>
      </c>
      <c r="L88">
        <f t="shared" si="2"/>
        <v>562158</v>
      </c>
    </row>
    <row r="89" spans="1:12" x14ac:dyDescent="0.3">
      <c r="A89" t="s">
        <v>71</v>
      </c>
      <c r="B89" t="s">
        <v>28</v>
      </c>
      <c r="C89" t="s">
        <v>62</v>
      </c>
      <c r="D89" t="s">
        <v>63</v>
      </c>
      <c r="E89">
        <v>31</v>
      </c>
      <c r="F89">
        <v>15941</v>
      </c>
      <c r="G89">
        <v>10</v>
      </c>
      <c r="H89">
        <v>28</v>
      </c>
      <c r="I89">
        <v>569284.99</v>
      </c>
      <c r="J89" t="s">
        <v>21</v>
      </c>
      <c r="K89" t="s">
        <v>26</v>
      </c>
      <c r="L89">
        <f t="shared" si="2"/>
        <v>511491</v>
      </c>
    </row>
    <row r="90" spans="1:12" x14ac:dyDescent="0.3">
      <c r="A90" t="s">
        <v>85</v>
      </c>
      <c r="B90" t="s">
        <v>28</v>
      </c>
      <c r="C90" t="s">
        <v>44</v>
      </c>
      <c r="D90" t="s">
        <v>45</v>
      </c>
      <c r="E90">
        <v>16</v>
      </c>
      <c r="F90">
        <v>8644</v>
      </c>
      <c r="G90">
        <v>0</v>
      </c>
      <c r="H90">
        <v>12</v>
      </c>
      <c r="I90">
        <v>154900.48000000001</v>
      </c>
      <c r="J90" t="s">
        <v>15</v>
      </c>
      <c r="K90" t="s">
        <v>33</v>
      </c>
      <c r="L90">
        <f t="shared" si="2"/>
        <v>514948</v>
      </c>
    </row>
    <row r="91" spans="1:12" x14ac:dyDescent="0.3">
      <c r="A91" t="s">
        <v>190</v>
      </c>
      <c r="B91" t="s">
        <v>28</v>
      </c>
      <c r="C91" t="s">
        <v>24</v>
      </c>
      <c r="D91" t="s">
        <v>25</v>
      </c>
      <c r="E91">
        <v>23</v>
      </c>
      <c r="F91">
        <v>60890</v>
      </c>
      <c r="G91">
        <v>12</v>
      </c>
      <c r="H91">
        <v>18</v>
      </c>
      <c r="I91">
        <v>1454248.05</v>
      </c>
      <c r="J91" t="s">
        <v>37</v>
      </c>
      <c r="K91" t="s">
        <v>16</v>
      </c>
      <c r="L91">
        <f t="shared" si="2"/>
        <v>854657</v>
      </c>
    </row>
    <row r="92" spans="1:12" x14ac:dyDescent="0.3">
      <c r="A92" t="s">
        <v>105</v>
      </c>
      <c r="B92" t="s">
        <v>28</v>
      </c>
      <c r="C92" t="s">
        <v>24</v>
      </c>
      <c r="D92" t="s">
        <v>76</v>
      </c>
      <c r="E92">
        <v>23</v>
      </c>
      <c r="F92">
        <v>74261</v>
      </c>
      <c r="G92">
        <v>0</v>
      </c>
      <c r="H92">
        <v>28</v>
      </c>
      <c r="I92">
        <v>2186243.84</v>
      </c>
      <c r="J92" t="s">
        <v>21</v>
      </c>
      <c r="K92" t="s">
        <v>38</v>
      </c>
      <c r="L92">
        <f t="shared" si="2"/>
        <v>854657</v>
      </c>
    </row>
    <row r="93" spans="1:12" x14ac:dyDescent="0.3">
      <c r="A93" t="s">
        <v>83</v>
      </c>
      <c r="B93" t="s">
        <v>28</v>
      </c>
      <c r="C93" t="s">
        <v>24</v>
      </c>
      <c r="D93" t="s">
        <v>40</v>
      </c>
      <c r="E93">
        <v>35</v>
      </c>
      <c r="F93">
        <v>18786</v>
      </c>
      <c r="G93">
        <v>12</v>
      </c>
      <c r="H93">
        <v>18</v>
      </c>
      <c r="I93">
        <v>682758.38</v>
      </c>
      <c r="J93" t="s">
        <v>15</v>
      </c>
      <c r="K93" t="s">
        <v>38</v>
      </c>
      <c r="L93">
        <f t="shared" si="2"/>
        <v>854657</v>
      </c>
    </row>
    <row r="94" spans="1:12" x14ac:dyDescent="0.3">
      <c r="A94" t="s">
        <v>64</v>
      </c>
      <c r="B94" t="s">
        <v>28</v>
      </c>
      <c r="C94" t="s">
        <v>35</v>
      </c>
      <c r="D94" t="s">
        <v>56</v>
      </c>
      <c r="E94">
        <v>37</v>
      </c>
      <c r="F94">
        <v>19769</v>
      </c>
      <c r="G94">
        <v>0</v>
      </c>
      <c r="H94">
        <v>18</v>
      </c>
      <c r="I94">
        <v>863114.54</v>
      </c>
      <c r="J94" t="s">
        <v>46</v>
      </c>
      <c r="K94" t="s">
        <v>16</v>
      </c>
      <c r="L94">
        <f t="shared" si="2"/>
        <v>933186</v>
      </c>
    </row>
    <row r="95" spans="1:12" x14ac:dyDescent="0.3">
      <c r="A95" t="s">
        <v>81</v>
      </c>
      <c r="B95" t="s">
        <v>28</v>
      </c>
      <c r="C95" t="s">
        <v>44</v>
      </c>
      <c r="D95" t="s">
        <v>45</v>
      </c>
      <c r="E95">
        <v>8</v>
      </c>
      <c r="F95">
        <v>40407</v>
      </c>
      <c r="G95">
        <v>5</v>
      </c>
      <c r="H95">
        <v>28</v>
      </c>
      <c r="I95">
        <v>393079.3</v>
      </c>
      <c r="J95" t="s">
        <v>15</v>
      </c>
      <c r="K95" t="s">
        <v>38</v>
      </c>
      <c r="L95">
        <f t="shared" si="2"/>
        <v>514948</v>
      </c>
    </row>
    <row r="96" spans="1:12" x14ac:dyDescent="0.3">
      <c r="A96" t="s">
        <v>112</v>
      </c>
      <c r="B96" t="s">
        <v>28</v>
      </c>
      <c r="C96" t="s">
        <v>24</v>
      </c>
      <c r="D96" t="s">
        <v>40</v>
      </c>
      <c r="E96">
        <v>8</v>
      </c>
      <c r="F96">
        <v>15806</v>
      </c>
      <c r="G96">
        <v>10</v>
      </c>
      <c r="H96">
        <v>28</v>
      </c>
      <c r="I96">
        <v>145668.1</v>
      </c>
      <c r="J96" t="s">
        <v>21</v>
      </c>
      <c r="K96" t="s">
        <v>16</v>
      </c>
      <c r="L96">
        <f t="shared" si="2"/>
        <v>854657</v>
      </c>
    </row>
    <row r="97" spans="1:12" x14ac:dyDescent="0.3">
      <c r="A97" t="s">
        <v>106</v>
      </c>
      <c r="B97" t="s">
        <v>28</v>
      </c>
      <c r="C97" t="s">
        <v>24</v>
      </c>
      <c r="D97" t="s">
        <v>76</v>
      </c>
      <c r="E97">
        <v>28</v>
      </c>
      <c r="F97">
        <v>44368</v>
      </c>
      <c r="G97">
        <v>12</v>
      </c>
      <c r="H97">
        <v>12</v>
      </c>
      <c r="I97">
        <v>1224414.82</v>
      </c>
      <c r="J97" t="s">
        <v>46</v>
      </c>
      <c r="K97" t="s">
        <v>33</v>
      </c>
      <c r="L97">
        <f t="shared" si="2"/>
        <v>854657</v>
      </c>
    </row>
    <row r="98" spans="1:12" x14ac:dyDescent="0.3">
      <c r="A98" t="s">
        <v>221</v>
      </c>
      <c r="B98" t="s">
        <v>28</v>
      </c>
      <c r="C98" t="s">
        <v>13</v>
      </c>
      <c r="D98" t="s">
        <v>14</v>
      </c>
      <c r="E98">
        <v>35</v>
      </c>
      <c r="F98">
        <v>56764</v>
      </c>
      <c r="G98">
        <v>0</v>
      </c>
      <c r="H98">
        <v>18</v>
      </c>
      <c r="I98">
        <v>2344353.2000000002</v>
      </c>
      <c r="J98" t="s">
        <v>46</v>
      </c>
      <c r="K98" t="s">
        <v>38</v>
      </c>
      <c r="L98">
        <f t="shared" ref="L98:L113" si="3">SUMIF(C:C,C98,F:F)</f>
        <v>562158</v>
      </c>
    </row>
    <row r="99" spans="1:12" x14ac:dyDescent="0.3">
      <c r="A99" t="s">
        <v>166</v>
      </c>
      <c r="B99" t="s">
        <v>28</v>
      </c>
      <c r="C99" t="s">
        <v>24</v>
      </c>
      <c r="D99" t="s">
        <v>40</v>
      </c>
      <c r="E99">
        <v>24</v>
      </c>
      <c r="F99">
        <v>23362</v>
      </c>
      <c r="G99">
        <v>10</v>
      </c>
      <c r="H99">
        <v>12</v>
      </c>
      <c r="I99">
        <v>565173.5</v>
      </c>
      <c r="J99" t="s">
        <v>46</v>
      </c>
      <c r="K99" t="s">
        <v>33</v>
      </c>
      <c r="L99">
        <f t="shared" si="3"/>
        <v>854657</v>
      </c>
    </row>
    <row r="100" spans="1:12" x14ac:dyDescent="0.3">
      <c r="A100" t="s">
        <v>205</v>
      </c>
      <c r="B100" t="s">
        <v>28</v>
      </c>
      <c r="C100" t="s">
        <v>24</v>
      </c>
      <c r="D100" t="s">
        <v>76</v>
      </c>
      <c r="E100">
        <v>30</v>
      </c>
      <c r="F100">
        <v>55981</v>
      </c>
      <c r="G100">
        <v>5</v>
      </c>
      <c r="H100">
        <v>12</v>
      </c>
      <c r="I100">
        <v>1786913.52</v>
      </c>
      <c r="J100" t="s">
        <v>21</v>
      </c>
      <c r="K100" t="s">
        <v>16</v>
      </c>
      <c r="L100">
        <f t="shared" si="3"/>
        <v>854657</v>
      </c>
    </row>
    <row r="101" spans="1:12" x14ac:dyDescent="0.3">
      <c r="A101" t="s">
        <v>229</v>
      </c>
      <c r="B101" t="s">
        <v>28</v>
      </c>
      <c r="C101" t="s">
        <v>35</v>
      </c>
      <c r="D101" t="s">
        <v>56</v>
      </c>
      <c r="E101">
        <v>1</v>
      </c>
      <c r="F101">
        <v>51443</v>
      </c>
      <c r="G101">
        <v>0</v>
      </c>
      <c r="H101">
        <v>28</v>
      </c>
      <c r="I101">
        <v>65847.039999999994</v>
      </c>
      <c r="J101" t="s">
        <v>21</v>
      </c>
      <c r="K101" t="s">
        <v>33</v>
      </c>
      <c r="L101">
        <f t="shared" si="3"/>
        <v>933186</v>
      </c>
    </row>
    <row r="102" spans="1:12" x14ac:dyDescent="0.3">
      <c r="A102" t="s">
        <v>161</v>
      </c>
      <c r="B102" t="s">
        <v>28</v>
      </c>
      <c r="C102" t="s">
        <v>44</v>
      </c>
      <c r="D102" t="s">
        <v>45</v>
      </c>
      <c r="E102">
        <v>25</v>
      </c>
      <c r="F102">
        <v>39538</v>
      </c>
      <c r="G102">
        <v>0</v>
      </c>
      <c r="H102">
        <v>12</v>
      </c>
      <c r="I102">
        <v>1107064</v>
      </c>
      <c r="J102" t="s">
        <v>21</v>
      </c>
      <c r="K102" t="s">
        <v>26</v>
      </c>
      <c r="L102">
        <f t="shared" si="3"/>
        <v>514948</v>
      </c>
    </row>
    <row r="103" spans="1:12" x14ac:dyDescent="0.3">
      <c r="A103" t="s">
        <v>114</v>
      </c>
      <c r="B103" t="s">
        <v>28</v>
      </c>
      <c r="C103" t="s">
        <v>13</v>
      </c>
      <c r="D103" t="s">
        <v>32</v>
      </c>
      <c r="E103">
        <v>19</v>
      </c>
      <c r="F103">
        <v>65507</v>
      </c>
      <c r="G103">
        <v>5</v>
      </c>
      <c r="H103">
        <v>12</v>
      </c>
      <c r="I103">
        <v>1324289.51</v>
      </c>
      <c r="J103" t="s">
        <v>37</v>
      </c>
      <c r="K103" t="s">
        <v>16</v>
      </c>
      <c r="L103">
        <f t="shared" si="3"/>
        <v>562158</v>
      </c>
    </row>
    <row r="104" spans="1:12" x14ac:dyDescent="0.3">
      <c r="A104" t="s">
        <v>103</v>
      </c>
      <c r="B104" t="s">
        <v>28</v>
      </c>
      <c r="C104" t="s">
        <v>24</v>
      </c>
      <c r="D104" t="s">
        <v>25</v>
      </c>
      <c r="E104">
        <v>18</v>
      </c>
      <c r="F104">
        <v>23693</v>
      </c>
      <c r="G104">
        <v>12</v>
      </c>
      <c r="H104">
        <v>28</v>
      </c>
      <c r="I104">
        <v>480380.31</v>
      </c>
      <c r="J104" t="s">
        <v>46</v>
      </c>
      <c r="K104" t="s">
        <v>16</v>
      </c>
      <c r="L104">
        <f t="shared" si="3"/>
        <v>854657</v>
      </c>
    </row>
    <row r="105" spans="1:12" x14ac:dyDescent="0.3">
      <c r="A105" t="s">
        <v>94</v>
      </c>
      <c r="B105" t="s">
        <v>28</v>
      </c>
      <c r="C105" t="s">
        <v>48</v>
      </c>
      <c r="D105" t="s">
        <v>49</v>
      </c>
      <c r="E105">
        <v>27</v>
      </c>
      <c r="F105">
        <v>25673</v>
      </c>
      <c r="G105">
        <v>12</v>
      </c>
      <c r="H105">
        <v>12</v>
      </c>
      <c r="I105">
        <v>683189.34</v>
      </c>
      <c r="J105" t="s">
        <v>21</v>
      </c>
      <c r="K105" t="s">
        <v>16</v>
      </c>
      <c r="L105">
        <f t="shared" si="3"/>
        <v>387150</v>
      </c>
    </row>
    <row r="106" spans="1:12" x14ac:dyDescent="0.3">
      <c r="L106">
        <f t="shared" si="3"/>
        <v>0</v>
      </c>
    </row>
    <row r="107" spans="1:12" x14ac:dyDescent="0.3">
      <c r="L107">
        <f t="shared" si="3"/>
        <v>0</v>
      </c>
    </row>
    <row r="108" spans="1:12" x14ac:dyDescent="0.3">
      <c r="L108">
        <f t="shared" si="3"/>
        <v>0</v>
      </c>
    </row>
    <row r="109" spans="1:12" x14ac:dyDescent="0.3">
      <c r="L109">
        <f t="shared" si="3"/>
        <v>0</v>
      </c>
    </row>
    <row r="110" spans="1:12" x14ac:dyDescent="0.3">
      <c r="L110">
        <f t="shared" si="3"/>
        <v>0</v>
      </c>
    </row>
    <row r="111" spans="1:12" x14ac:dyDescent="0.3">
      <c r="L111">
        <f t="shared" si="3"/>
        <v>0</v>
      </c>
    </row>
    <row r="112" spans="1:12" x14ac:dyDescent="0.3">
      <c r="L112">
        <f t="shared" si="3"/>
        <v>0</v>
      </c>
    </row>
    <row r="113" spans="12:12" x14ac:dyDescent="0.3">
      <c r="L113">
        <f t="shared" si="3"/>
        <v>0</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5"/>
  <sheetViews>
    <sheetView workbookViewId="0">
      <selection activeCell="J7" sqref="J7"/>
    </sheetView>
  </sheetViews>
  <sheetFormatPr defaultRowHeight="14.4" x14ac:dyDescent="0.3"/>
  <cols>
    <col min="1" max="1" width="13.33203125" bestFit="1" customWidth="1"/>
    <col min="2" max="2" width="19.44140625" bestFit="1" customWidth="1"/>
    <col min="3" max="3" width="15.44140625" bestFit="1" customWidth="1"/>
    <col min="4" max="4" width="14.109375" bestFit="1" customWidth="1"/>
    <col min="5" max="5" width="3.88671875" bestFit="1" customWidth="1"/>
    <col min="6" max="6" width="9.44140625" bestFit="1" customWidth="1"/>
    <col min="7" max="7" width="10.5546875" bestFit="1" customWidth="1"/>
    <col min="8" max="8" width="6.5546875" bestFit="1" customWidth="1"/>
    <col min="9" max="9" width="12.6640625" bestFit="1" customWidth="1"/>
    <col min="10" max="10" width="10.6640625" bestFit="1" customWidth="1"/>
    <col min="11" max="11" width="14" bestFit="1" customWidth="1"/>
    <col min="12" max="12" width="13.33203125" bestFit="1" customWidth="1"/>
  </cols>
  <sheetData>
    <row r="1" spans="1:12" x14ac:dyDescent="0.3">
      <c r="A1" s="10" t="s">
        <v>99</v>
      </c>
      <c r="B1" s="11" t="s">
        <v>28</v>
      </c>
      <c r="C1" s="11" t="s">
        <v>44</v>
      </c>
      <c r="D1" s="11" t="s">
        <v>51</v>
      </c>
      <c r="E1" s="11">
        <v>31</v>
      </c>
      <c r="F1" s="11">
        <v>62576</v>
      </c>
      <c r="G1" s="11">
        <v>12</v>
      </c>
      <c r="H1" s="11">
        <v>12</v>
      </c>
      <c r="I1" s="11">
        <v>1911922.07</v>
      </c>
      <c r="J1" s="11" t="s">
        <v>15</v>
      </c>
      <c r="K1" s="11" t="s">
        <v>26</v>
      </c>
      <c r="L1" s="14">
        <f t="shared" ref="L1:L64" si="0">SUMIF(C:C,C1,F:F)</f>
        <v>514948</v>
      </c>
    </row>
    <row r="2" spans="1:12" x14ac:dyDescent="0.3">
      <c r="A2" s="12" t="s">
        <v>118</v>
      </c>
      <c r="B2" s="13" t="s">
        <v>28</v>
      </c>
      <c r="C2" s="13" t="s">
        <v>24</v>
      </c>
      <c r="D2" s="13" t="s">
        <v>25</v>
      </c>
      <c r="E2" s="13">
        <v>4</v>
      </c>
      <c r="F2" s="13">
        <v>4269</v>
      </c>
      <c r="G2" s="13">
        <v>0</v>
      </c>
      <c r="H2" s="13">
        <v>18</v>
      </c>
      <c r="I2" s="13">
        <v>20149.68</v>
      </c>
      <c r="J2" s="13" t="s">
        <v>46</v>
      </c>
      <c r="K2" s="13" t="s">
        <v>26</v>
      </c>
      <c r="L2" s="15">
        <f t="shared" si="0"/>
        <v>854657</v>
      </c>
    </row>
    <row r="3" spans="1:12" x14ac:dyDescent="0.3">
      <c r="A3" s="10" t="s">
        <v>31</v>
      </c>
      <c r="B3" s="11" t="s">
        <v>28</v>
      </c>
      <c r="C3" s="11" t="s">
        <v>24</v>
      </c>
      <c r="D3" s="11" t="s">
        <v>25</v>
      </c>
      <c r="E3" s="11">
        <v>27</v>
      </c>
      <c r="F3" s="11">
        <v>28143</v>
      </c>
      <c r="G3" s="11">
        <v>10</v>
      </c>
      <c r="H3" s="11">
        <v>28</v>
      </c>
      <c r="I3" s="11">
        <v>875359.87</v>
      </c>
      <c r="J3" s="11" t="s">
        <v>46</v>
      </c>
      <c r="K3" s="11" t="s">
        <v>38</v>
      </c>
      <c r="L3" s="14">
        <f t="shared" si="0"/>
        <v>854657</v>
      </c>
    </row>
    <row r="4" spans="1:12" x14ac:dyDescent="0.3">
      <c r="A4" s="12" t="s">
        <v>206</v>
      </c>
      <c r="B4" s="13" t="s">
        <v>28</v>
      </c>
      <c r="C4" s="13" t="s">
        <v>35</v>
      </c>
      <c r="D4" s="13" t="s">
        <v>36</v>
      </c>
      <c r="E4" s="13">
        <v>21</v>
      </c>
      <c r="F4" s="13">
        <v>59513</v>
      </c>
      <c r="G4" s="13">
        <v>10</v>
      </c>
      <c r="H4" s="13">
        <v>18</v>
      </c>
      <c r="I4" s="13">
        <v>1327258.93</v>
      </c>
      <c r="J4" s="13" t="s">
        <v>37</v>
      </c>
      <c r="K4" s="13" t="s">
        <v>16</v>
      </c>
      <c r="L4" s="15">
        <f t="shared" si="0"/>
        <v>933186</v>
      </c>
    </row>
    <row r="5" spans="1:12" x14ac:dyDescent="0.3">
      <c r="A5" s="10" t="s">
        <v>119</v>
      </c>
      <c r="B5" s="11" t="s">
        <v>28</v>
      </c>
      <c r="C5" s="11" t="s">
        <v>62</v>
      </c>
      <c r="D5" s="11" t="s">
        <v>63</v>
      </c>
      <c r="E5" s="11">
        <v>3</v>
      </c>
      <c r="F5" s="11">
        <v>7874</v>
      </c>
      <c r="G5" s="11">
        <v>0</v>
      </c>
      <c r="H5" s="11">
        <v>28</v>
      </c>
      <c r="I5" s="11">
        <v>30236.16</v>
      </c>
      <c r="J5" s="11" t="s">
        <v>15</v>
      </c>
      <c r="K5" s="11" t="s">
        <v>26</v>
      </c>
      <c r="L5" s="14">
        <f t="shared" si="0"/>
        <v>511491</v>
      </c>
    </row>
    <row r="6" spans="1:12" x14ac:dyDescent="0.3">
      <c r="A6" s="12" t="s">
        <v>164</v>
      </c>
      <c r="B6" s="13" t="s">
        <v>28</v>
      </c>
      <c r="C6" s="13" t="s">
        <v>13</v>
      </c>
      <c r="D6" s="13" t="s">
        <v>32</v>
      </c>
      <c r="E6" s="13">
        <v>35</v>
      </c>
      <c r="F6" s="13">
        <v>54711</v>
      </c>
      <c r="G6" s="13">
        <v>12</v>
      </c>
      <c r="H6" s="13">
        <v>28</v>
      </c>
      <c r="I6" s="13">
        <v>2156926.46</v>
      </c>
      <c r="J6" s="13" t="s">
        <v>46</v>
      </c>
      <c r="K6" s="13" t="s">
        <v>33</v>
      </c>
      <c r="L6" s="15">
        <f t="shared" si="0"/>
        <v>562158</v>
      </c>
    </row>
    <row r="7" spans="1:12" x14ac:dyDescent="0.3">
      <c r="A7" s="10" t="s">
        <v>110</v>
      </c>
      <c r="B7" s="11" t="s">
        <v>28</v>
      </c>
      <c r="C7" s="11" t="s">
        <v>35</v>
      </c>
      <c r="D7" s="11" t="s">
        <v>56</v>
      </c>
      <c r="E7" s="11">
        <v>38</v>
      </c>
      <c r="F7" s="11">
        <v>40804</v>
      </c>
      <c r="G7" s="11">
        <v>10</v>
      </c>
      <c r="H7" s="11">
        <v>18</v>
      </c>
      <c r="I7" s="11">
        <v>1646686.22</v>
      </c>
      <c r="J7" s="11" t="s">
        <v>21</v>
      </c>
      <c r="K7" s="11" t="s">
        <v>26</v>
      </c>
      <c r="L7" s="14">
        <f t="shared" si="0"/>
        <v>933186</v>
      </c>
    </row>
    <row r="8" spans="1:12" x14ac:dyDescent="0.3">
      <c r="A8" s="12" t="s">
        <v>146</v>
      </c>
      <c r="B8" s="13" t="s">
        <v>28</v>
      </c>
      <c r="C8" s="13" t="s">
        <v>62</v>
      </c>
      <c r="D8" s="13" t="s">
        <v>63</v>
      </c>
      <c r="E8" s="13">
        <v>22</v>
      </c>
      <c r="F8" s="13">
        <v>57074</v>
      </c>
      <c r="G8" s="13">
        <v>5</v>
      </c>
      <c r="H8" s="13">
        <v>28</v>
      </c>
      <c r="I8" s="13">
        <v>1526843.65</v>
      </c>
      <c r="J8" s="13" t="s">
        <v>21</v>
      </c>
      <c r="K8" s="13" t="s">
        <v>38</v>
      </c>
      <c r="L8" s="15">
        <f t="shared" si="0"/>
        <v>511491</v>
      </c>
    </row>
    <row r="9" spans="1:12" x14ac:dyDescent="0.3">
      <c r="A9" s="10" t="s">
        <v>79</v>
      </c>
      <c r="B9" s="11" t="s">
        <v>28</v>
      </c>
      <c r="C9" s="11" t="s">
        <v>24</v>
      </c>
      <c r="D9" s="11" t="s">
        <v>40</v>
      </c>
      <c r="E9" s="11">
        <v>35</v>
      </c>
      <c r="F9" s="11">
        <v>24572</v>
      </c>
      <c r="G9" s="11">
        <v>5</v>
      </c>
      <c r="H9" s="11">
        <v>18</v>
      </c>
      <c r="I9" s="11">
        <v>964082.42</v>
      </c>
      <c r="J9" s="11" t="s">
        <v>21</v>
      </c>
      <c r="K9" s="11" t="s">
        <v>26</v>
      </c>
      <c r="L9" s="14">
        <f t="shared" si="0"/>
        <v>854657</v>
      </c>
    </row>
    <row r="10" spans="1:12" x14ac:dyDescent="0.3">
      <c r="A10" s="12" t="s">
        <v>170</v>
      </c>
      <c r="B10" s="13" t="s">
        <v>28</v>
      </c>
      <c r="C10" s="13" t="s">
        <v>13</v>
      </c>
      <c r="D10" s="13" t="s">
        <v>14</v>
      </c>
      <c r="E10" s="13">
        <v>27</v>
      </c>
      <c r="F10" s="13">
        <v>20535</v>
      </c>
      <c r="G10" s="13">
        <v>12</v>
      </c>
      <c r="H10" s="13">
        <v>18</v>
      </c>
      <c r="I10" s="13">
        <v>575735.68999999994</v>
      </c>
      <c r="J10" s="13" t="s">
        <v>46</v>
      </c>
      <c r="K10" s="13" t="s">
        <v>38</v>
      </c>
      <c r="L10" s="15">
        <f t="shared" si="0"/>
        <v>562158</v>
      </c>
    </row>
    <row r="11" spans="1:12" x14ac:dyDescent="0.3">
      <c r="A11" s="10" t="s">
        <v>193</v>
      </c>
      <c r="B11" s="11" t="s">
        <v>28</v>
      </c>
      <c r="C11" s="11" t="s">
        <v>24</v>
      </c>
      <c r="D11" s="11" t="s">
        <v>25</v>
      </c>
      <c r="E11" s="11">
        <v>39</v>
      </c>
      <c r="F11" s="11">
        <v>41733</v>
      </c>
      <c r="G11" s="11">
        <v>10</v>
      </c>
      <c r="H11" s="11">
        <v>12</v>
      </c>
      <c r="I11" s="11">
        <v>1640607.7</v>
      </c>
      <c r="J11" s="11" t="s">
        <v>15</v>
      </c>
      <c r="K11" s="11" t="s">
        <v>33</v>
      </c>
      <c r="L11" s="14">
        <f t="shared" si="0"/>
        <v>854657</v>
      </c>
    </row>
    <row r="12" spans="1:12" x14ac:dyDescent="0.3">
      <c r="A12" s="12" t="s">
        <v>67</v>
      </c>
      <c r="B12" s="13" t="s">
        <v>28</v>
      </c>
      <c r="C12" s="13" t="s">
        <v>62</v>
      </c>
      <c r="D12" s="13" t="s">
        <v>92</v>
      </c>
      <c r="E12" s="13">
        <v>5</v>
      </c>
      <c r="F12" s="13">
        <v>23344</v>
      </c>
      <c r="G12" s="13">
        <v>0</v>
      </c>
      <c r="H12" s="13">
        <v>28</v>
      </c>
      <c r="I12" s="13">
        <v>149401.60000000001</v>
      </c>
      <c r="J12" s="13" t="s">
        <v>21</v>
      </c>
      <c r="K12" s="13" t="s">
        <v>26</v>
      </c>
      <c r="L12" s="15">
        <f t="shared" si="0"/>
        <v>511491</v>
      </c>
    </row>
    <row r="13" spans="1:12" x14ac:dyDescent="0.3">
      <c r="A13" s="10" t="s">
        <v>64</v>
      </c>
      <c r="B13" s="11" t="s">
        <v>28</v>
      </c>
      <c r="C13" s="11" t="s">
        <v>48</v>
      </c>
      <c r="D13" s="11" t="s">
        <v>59</v>
      </c>
      <c r="E13" s="11">
        <v>8</v>
      </c>
      <c r="F13" s="11">
        <v>47528</v>
      </c>
      <c r="G13" s="11">
        <v>0</v>
      </c>
      <c r="H13" s="11">
        <v>18</v>
      </c>
      <c r="I13" s="11">
        <v>448664.32000000001</v>
      </c>
      <c r="J13" s="11" t="s">
        <v>21</v>
      </c>
      <c r="K13" s="11" t="s">
        <v>38</v>
      </c>
      <c r="L13" s="14">
        <f t="shared" si="0"/>
        <v>412823</v>
      </c>
    </row>
    <row r="14" spans="1:12" x14ac:dyDescent="0.3">
      <c r="A14" s="12" t="s">
        <v>227</v>
      </c>
      <c r="B14" s="13" t="s">
        <v>28</v>
      </c>
      <c r="C14" s="13" t="s">
        <v>29</v>
      </c>
      <c r="D14" s="13" t="s">
        <v>30</v>
      </c>
      <c r="E14" s="13">
        <v>29</v>
      </c>
      <c r="F14" s="13">
        <v>21220</v>
      </c>
      <c r="G14" s="13">
        <v>0</v>
      </c>
      <c r="H14" s="13">
        <v>28</v>
      </c>
      <c r="I14" s="13">
        <v>787686.40000000002</v>
      </c>
      <c r="J14" s="13" t="s">
        <v>37</v>
      </c>
      <c r="K14" s="13" t="s">
        <v>16</v>
      </c>
      <c r="L14" s="15">
        <f t="shared" si="0"/>
        <v>192838</v>
      </c>
    </row>
    <row r="15" spans="1:12" x14ac:dyDescent="0.3">
      <c r="A15" s="10" t="s">
        <v>61</v>
      </c>
      <c r="B15" s="11" t="s">
        <v>28</v>
      </c>
      <c r="C15" s="11" t="s">
        <v>62</v>
      </c>
      <c r="D15" s="11" t="s">
        <v>92</v>
      </c>
      <c r="E15" s="11">
        <v>6</v>
      </c>
      <c r="F15" s="11">
        <v>4625</v>
      </c>
      <c r="G15" s="11">
        <v>0</v>
      </c>
      <c r="H15" s="11">
        <v>12</v>
      </c>
      <c r="I15" s="11">
        <v>31080</v>
      </c>
      <c r="J15" s="11" t="s">
        <v>21</v>
      </c>
      <c r="K15" s="11" t="s">
        <v>38</v>
      </c>
      <c r="L15" s="14">
        <f t="shared" si="0"/>
        <v>511491</v>
      </c>
    </row>
    <row r="16" spans="1:12" x14ac:dyDescent="0.3">
      <c r="A16" s="12" t="s">
        <v>229</v>
      </c>
      <c r="B16" s="13" t="s">
        <v>28</v>
      </c>
      <c r="C16" s="13" t="s">
        <v>62</v>
      </c>
      <c r="D16" s="13" t="s">
        <v>63</v>
      </c>
      <c r="E16" s="13">
        <v>14</v>
      </c>
      <c r="F16" s="13">
        <v>46910</v>
      </c>
      <c r="G16" s="13">
        <v>5</v>
      </c>
      <c r="H16" s="13">
        <v>28</v>
      </c>
      <c r="I16" s="13">
        <v>798595.84</v>
      </c>
      <c r="J16" s="13" t="s">
        <v>46</v>
      </c>
      <c r="K16" s="13" t="s">
        <v>38</v>
      </c>
      <c r="L16" s="15">
        <f t="shared" si="0"/>
        <v>511491</v>
      </c>
    </row>
    <row r="17" spans="1:12" x14ac:dyDescent="0.3">
      <c r="A17" s="10" t="s">
        <v>216</v>
      </c>
      <c r="B17" s="11" t="s">
        <v>28</v>
      </c>
      <c r="C17" s="11" t="s">
        <v>29</v>
      </c>
      <c r="D17" s="11" t="s">
        <v>30</v>
      </c>
      <c r="E17" s="11">
        <v>10</v>
      </c>
      <c r="F17" s="11">
        <v>58984</v>
      </c>
      <c r="G17" s="11">
        <v>12</v>
      </c>
      <c r="H17" s="11">
        <v>18</v>
      </c>
      <c r="I17" s="11">
        <v>612489.86</v>
      </c>
      <c r="J17" s="11" t="s">
        <v>21</v>
      </c>
      <c r="K17" s="11" t="s">
        <v>38</v>
      </c>
      <c r="L17" s="14">
        <f t="shared" si="0"/>
        <v>192838</v>
      </c>
    </row>
    <row r="18" spans="1:12" x14ac:dyDescent="0.3">
      <c r="A18" s="12" t="s">
        <v>136</v>
      </c>
      <c r="B18" s="13" t="s">
        <v>28</v>
      </c>
      <c r="C18" s="13" t="s">
        <v>62</v>
      </c>
      <c r="D18" s="13" t="s">
        <v>92</v>
      </c>
      <c r="E18" s="13">
        <v>24</v>
      </c>
      <c r="F18" s="13">
        <v>13370</v>
      </c>
      <c r="G18" s="13">
        <v>0</v>
      </c>
      <c r="H18" s="13">
        <v>28</v>
      </c>
      <c r="I18" s="13">
        <v>410726.40000000002</v>
      </c>
      <c r="J18" s="13" t="s">
        <v>15</v>
      </c>
      <c r="K18" s="13" t="s">
        <v>38</v>
      </c>
      <c r="L18" s="15">
        <f t="shared" si="0"/>
        <v>511491</v>
      </c>
    </row>
    <row r="19" spans="1:12" x14ac:dyDescent="0.3">
      <c r="A19" s="10" t="s">
        <v>108</v>
      </c>
      <c r="B19" s="11" t="s">
        <v>28</v>
      </c>
      <c r="C19" s="11" t="s">
        <v>48</v>
      </c>
      <c r="D19" s="11" t="s">
        <v>59</v>
      </c>
      <c r="E19" s="11">
        <v>33</v>
      </c>
      <c r="F19" s="11">
        <v>31118</v>
      </c>
      <c r="G19" s="11">
        <v>12</v>
      </c>
      <c r="H19" s="11">
        <v>28</v>
      </c>
      <c r="I19" s="11">
        <v>1156693.3999999999</v>
      </c>
      <c r="J19" s="11" t="s">
        <v>21</v>
      </c>
      <c r="K19" s="11" t="s">
        <v>33</v>
      </c>
      <c r="L19" s="14">
        <f t="shared" si="0"/>
        <v>412823</v>
      </c>
    </row>
    <row r="20" spans="1:12" x14ac:dyDescent="0.3">
      <c r="A20" s="12" t="s">
        <v>100</v>
      </c>
      <c r="B20" s="13" t="s">
        <v>28</v>
      </c>
      <c r="C20" s="13" t="s">
        <v>44</v>
      </c>
      <c r="D20" s="13" t="s">
        <v>51</v>
      </c>
      <c r="E20" s="13">
        <v>39</v>
      </c>
      <c r="F20" s="13">
        <v>9321</v>
      </c>
      <c r="G20" s="13">
        <v>12</v>
      </c>
      <c r="H20" s="13">
        <v>28</v>
      </c>
      <c r="I20" s="13">
        <v>409467.8</v>
      </c>
      <c r="J20" s="13" t="s">
        <v>21</v>
      </c>
      <c r="K20" s="13" t="s">
        <v>38</v>
      </c>
      <c r="L20" s="15">
        <f t="shared" si="0"/>
        <v>514948</v>
      </c>
    </row>
    <row r="21" spans="1:12" x14ac:dyDescent="0.3">
      <c r="A21" s="10" t="s">
        <v>155</v>
      </c>
      <c r="B21" s="11" t="s">
        <v>28</v>
      </c>
      <c r="C21" s="11" t="s">
        <v>44</v>
      </c>
      <c r="D21" s="11" t="s">
        <v>45</v>
      </c>
      <c r="E21" s="11">
        <v>21</v>
      </c>
      <c r="F21" s="11">
        <v>36643</v>
      </c>
      <c r="G21" s="11">
        <v>5</v>
      </c>
      <c r="H21" s="11">
        <v>28</v>
      </c>
      <c r="I21" s="11">
        <v>935715.65</v>
      </c>
      <c r="J21" s="11" t="s">
        <v>37</v>
      </c>
      <c r="K21" s="11" t="s">
        <v>38</v>
      </c>
      <c r="L21" s="14">
        <f t="shared" si="0"/>
        <v>514948</v>
      </c>
    </row>
    <row r="22" spans="1:12" x14ac:dyDescent="0.3">
      <c r="A22" s="12" t="s">
        <v>74</v>
      </c>
      <c r="B22" s="13" t="s">
        <v>28</v>
      </c>
      <c r="C22" s="13" t="s">
        <v>13</v>
      </c>
      <c r="D22" s="13" t="s">
        <v>14</v>
      </c>
      <c r="E22" s="13">
        <v>23</v>
      </c>
      <c r="F22" s="13">
        <v>16623</v>
      </c>
      <c r="G22" s="13">
        <v>12</v>
      </c>
      <c r="H22" s="13">
        <v>12</v>
      </c>
      <c r="I22" s="13">
        <v>376823.46</v>
      </c>
      <c r="J22" s="13" t="s">
        <v>46</v>
      </c>
      <c r="K22" s="13" t="s">
        <v>33</v>
      </c>
      <c r="L22" s="15">
        <f t="shared" si="0"/>
        <v>562158</v>
      </c>
    </row>
    <row r="23" spans="1:12" x14ac:dyDescent="0.3">
      <c r="A23" s="10" t="s">
        <v>82</v>
      </c>
      <c r="B23" s="11" t="s">
        <v>28</v>
      </c>
      <c r="C23" s="11" t="s">
        <v>48</v>
      </c>
      <c r="D23" s="11" t="s">
        <v>59</v>
      </c>
      <c r="E23" s="11">
        <v>19</v>
      </c>
      <c r="F23" s="11">
        <v>31526</v>
      </c>
      <c r="G23" s="11">
        <v>10</v>
      </c>
      <c r="H23" s="11">
        <v>18</v>
      </c>
      <c r="I23" s="11">
        <v>636131.63</v>
      </c>
      <c r="J23" s="11" t="s">
        <v>21</v>
      </c>
      <c r="K23" s="11" t="s">
        <v>16</v>
      </c>
      <c r="L23" s="14">
        <f t="shared" si="0"/>
        <v>412823</v>
      </c>
    </row>
    <row r="24" spans="1:12" x14ac:dyDescent="0.3">
      <c r="A24" s="12" t="s">
        <v>231</v>
      </c>
      <c r="B24" s="13" t="s">
        <v>28</v>
      </c>
      <c r="C24" s="13" t="s">
        <v>13</v>
      </c>
      <c r="D24" s="13" t="s">
        <v>14</v>
      </c>
      <c r="E24" s="13">
        <v>10</v>
      </c>
      <c r="F24" s="13">
        <v>8242</v>
      </c>
      <c r="G24" s="13">
        <v>12</v>
      </c>
      <c r="H24" s="13">
        <v>12</v>
      </c>
      <c r="I24" s="13">
        <v>81233.149999999994</v>
      </c>
      <c r="J24" s="13" t="s">
        <v>21</v>
      </c>
      <c r="K24" s="13" t="s">
        <v>26</v>
      </c>
      <c r="L24" s="15">
        <f t="shared" si="0"/>
        <v>562158</v>
      </c>
    </row>
    <row r="25" spans="1:12" x14ac:dyDescent="0.3">
      <c r="A25" s="10" t="s">
        <v>100</v>
      </c>
      <c r="B25" s="11" t="s">
        <v>28</v>
      </c>
      <c r="C25" s="11" t="s">
        <v>24</v>
      </c>
      <c r="D25" s="11" t="s">
        <v>40</v>
      </c>
      <c r="E25" s="11">
        <v>24</v>
      </c>
      <c r="F25" s="11">
        <v>49279</v>
      </c>
      <c r="G25" s="11">
        <v>12</v>
      </c>
      <c r="H25" s="11">
        <v>28</v>
      </c>
      <c r="I25" s="11">
        <v>1332188.77</v>
      </c>
      <c r="J25" s="11" t="s">
        <v>15</v>
      </c>
      <c r="K25" s="11" t="s">
        <v>26</v>
      </c>
      <c r="L25" s="14">
        <f t="shared" si="0"/>
        <v>854657</v>
      </c>
    </row>
    <row r="26" spans="1:12" x14ac:dyDescent="0.3">
      <c r="A26" s="12" t="s">
        <v>103</v>
      </c>
      <c r="B26" s="13" t="s">
        <v>28</v>
      </c>
      <c r="C26" s="13" t="s">
        <v>48</v>
      </c>
      <c r="D26" s="13" t="s">
        <v>49</v>
      </c>
      <c r="E26" s="13">
        <v>9</v>
      </c>
      <c r="F26" s="13">
        <v>22560</v>
      </c>
      <c r="G26" s="13">
        <v>10</v>
      </c>
      <c r="H26" s="13">
        <v>28</v>
      </c>
      <c r="I26" s="13">
        <v>233902.07999999999</v>
      </c>
      <c r="J26" s="13" t="s">
        <v>21</v>
      </c>
      <c r="K26" s="13" t="s">
        <v>38</v>
      </c>
      <c r="L26" s="15">
        <f t="shared" si="0"/>
        <v>412823</v>
      </c>
    </row>
    <row r="27" spans="1:12" x14ac:dyDescent="0.3">
      <c r="A27" s="10" t="s">
        <v>188</v>
      </c>
      <c r="B27" s="11" t="s">
        <v>28</v>
      </c>
      <c r="C27" s="11" t="s">
        <v>44</v>
      </c>
      <c r="D27" s="11" t="s">
        <v>45</v>
      </c>
      <c r="E27" s="11">
        <v>18</v>
      </c>
      <c r="F27" s="11">
        <v>78706</v>
      </c>
      <c r="G27" s="11">
        <v>12</v>
      </c>
      <c r="H27" s="11">
        <v>18</v>
      </c>
      <c r="I27" s="11">
        <v>1471109.59</v>
      </c>
      <c r="J27" s="11" t="s">
        <v>46</v>
      </c>
      <c r="K27" s="11" t="s">
        <v>16</v>
      </c>
      <c r="L27" s="14">
        <f t="shared" si="0"/>
        <v>514948</v>
      </c>
    </row>
    <row r="28" spans="1:12" x14ac:dyDescent="0.3">
      <c r="A28" s="12" t="s">
        <v>109</v>
      </c>
      <c r="B28" s="13" t="s">
        <v>28</v>
      </c>
      <c r="C28" s="13" t="s">
        <v>44</v>
      </c>
      <c r="D28" s="13" t="s">
        <v>51</v>
      </c>
      <c r="E28" s="13">
        <v>24</v>
      </c>
      <c r="F28" s="13">
        <v>27256</v>
      </c>
      <c r="G28" s="13">
        <v>0</v>
      </c>
      <c r="H28" s="13">
        <v>18</v>
      </c>
      <c r="I28" s="13">
        <v>771889.92</v>
      </c>
      <c r="J28" s="13" t="s">
        <v>37</v>
      </c>
      <c r="K28" s="13" t="s">
        <v>16</v>
      </c>
      <c r="L28" s="15">
        <f t="shared" si="0"/>
        <v>514948</v>
      </c>
    </row>
    <row r="29" spans="1:12" x14ac:dyDescent="0.3">
      <c r="A29" s="10" t="s">
        <v>98</v>
      </c>
      <c r="B29" s="11" t="s">
        <v>28</v>
      </c>
      <c r="C29" s="11" t="s">
        <v>19</v>
      </c>
      <c r="D29" s="11" t="s">
        <v>20</v>
      </c>
      <c r="E29" s="11">
        <v>15</v>
      </c>
      <c r="F29" s="11">
        <v>78957</v>
      </c>
      <c r="G29" s="11">
        <v>10</v>
      </c>
      <c r="H29" s="11">
        <v>18</v>
      </c>
      <c r="I29" s="11">
        <v>1257785.01</v>
      </c>
      <c r="J29" s="11" t="s">
        <v>15</v>
      </c>
      <c r="K29" s="11" t="s">
        <v>26</v>
      </c>
      <c r="L29" s="14">
        <f t="shared" si="0"/>
        <v>123712</v>
      </c>
    </row>
    <row r="30" spans="1:12" x14ac:dyDescent="0.3">
      <c r="A30" s="12" t="s">
        <v>116</v>
      </c>
      <c r="B30" s="13" t="s">
        <v>28</v>
      </c>
      <c r="C30" s="13" t="s">
        <v>48</v>
      </c>
      <c r="D30" s="13" t="s">
        <v>49</v>
      </c>
      <c r="E30" s="13">
        <v>13</v>
      </c>
      <c r="F30" s="13">
        <v>49729</v>
      </c>
      <c r="G30" s="13">
        <v>0</v>
      </c>
      <c r="H30" s="13">
        <v>12</v>
      </c>
      <c r="I30" s="13">
        <v>724054.24</v>
      </c>
      <c r="J30" s="13" t="s">
        <v>37</v>
      </c>
      <c r="K30" s="13" t="s">
        <v>16</v>
      </c>
      <c r="L30" s="15">
        <f t="shared" si="0"/>
        <v>412823</v>
      </c>
    </row>
    <row r="31" spans="1:12" x14ac:dyDescent="0.3">
      <c r="A31" s="10" t="s">
        <v>31</v>
      </c>
      <c r="B31" s="11" t="s">
        <v>28</v>
      </c>
      <c r="C31" s="11" t="s">
        <v>62</v>
      </c>
      <c r="D31" s="11" t="s">
        <v>92</v>
      </c>
      <c r="E31" s="11">
        <v>26</v>
      </c>
      <c r="F31" s="11">
        <v>40763</v>
      </c>
      <c r="G31" s="11">
        <v>10</v>
      </c>
      <c r="H31" s="11">
        <v>12</v>
      </c>
      <c r="I31" s="11">
        <v>1068316.7</v>
      </c>
      <c r="J31" s="11" t="s">
        <v>37</v>
      </c>
      <c r="K31" s="11" t="s">
        <v>38</v>
      </c>
      <c r="L31" s="14">
        <f t="shared" si="0"/>
        <v>511491</v>
      </c>
    </row>
    <row r="32" spans="1:12" x14ac:dyDescent="0.3">
      <c r="A32" s="12" t="s">
        <v>178</v>
      </c>
      <c r="B32" s="13" t="s">
        <v>28</v>
      </c>
      <c r="C32" s="13" t="s">
        <v>24</v>
      </c>
      <c r="D32" s="13" t="s">
        <v>40</v>
      </c>
      <c r="E32" s="13">
        <v>24</v>
      </c>
      <c r="F32" s="13">
        <v>35251</v>
      </c>
      <c r="G32" s="13">
        <v>5</v>
      </c>
      <c r="H32" s="13">
        <v>28</v>
      </c>
      <c r="I32" s="13">
        <v>1028765.18</v>
      </c>
      <c r="J32" s="13" t="s">
        <v>15</v>
      </c>
      <c r="K32" s="13" t="s">
        <v>38</v>
      </c>
      <c r="L32" s="15">
        <f t="shared" si="0"/>
        <v>854657</v>
      </c>
    </row>
    <row r="33" spans="1:12" x14ac:dyDescent="0.3">
      <c r="A33" s="10" t="s">
        <v>228</v>
      </c>
      <c r="B33" s="11" t="s">
        <v>28</v>
      </c>
      <c r="C33" s="11" t="s">
        <v>62</v>
      </c>
      <c r="D33" s="11" t="s">
        <v>92</v>
      </c>
      <c r="E33" s="11">
        <v>17</v>
      </c>
      <c r="F33" s="11">
        <v>2212</v>
      </c>
      <c r="G33" s="11">
        <v>5</v>
      </c>
      <c r="H33" s="11">
        <v>18</v>
      </c>
      <c r="I33" s="11">
        <v>42154.080000000002</v>
      </c>
      <c r="J33" s="11" t="s">
        <v>21</v>
      </c>
      <c r="K33" s="11" t="s">
        <v>33</v>
      </c>
      <c r="L33" s="14">
        <f t="shared" si="0"/>
        <v>511491</v>
      </c>
    </row>
    <row r="34" spans="1:12" x14ac:dyDescent="0.3">
      <c r="A34" s="12" t="s">
        <v>177</v>
      </c>
      <c r="B34" s="13" t="s">
        <v>28</v>
      </c>
      <c r="C34" s="13" t="s">
        <v>35</v>
      </c>
      <c r="D34" s="13" t="s">
        <v>77</v>
      </c>
      <c r="E34" s="13">
        <v>1</v>
      </c>
      <c r="F34" s="13">
        <v>25678</v>
      </c>
      <c r="G34" s="13">
        <v>12</v>
      </c>
      <c r="H34" s="13">
        <v>12</v>
      </c>
      <c r="I34" s="13">
        <v>25308.240000000002</v>
      </c>
      <c r="J34" s="13" t="s">
        <v>15</v>
      </c>
      <c r="K34" s="13" t="s">
        <v>16</v>
      </c>
      <c r="L34" s="15">
        <f t="shared" si="0"/>
        <v>933186</v>
      </c>
    </row>
    <row r="35" spans="1:12" x14ac:dyDescent="0.3">
      <c r="A35" s="10" t="s">
        <v>163</v>
      </c>
      <c r="B35" s="11" t="s">
        <v>28</v>
      </c>
      <c r="C35" s="11" t="s">
        <v>62</v>
      </c>
      <c r="D35" s="11" t="s">
        <v>92</v>
      </c>
      <c r="E35" s="11">
        <v>12</v>
      </c>
      <c r="F35" s="11">
        <v>43558</v>
      </c>
      <c r="G35" s="11">
        <v>10</v>
      </c>
      <c r="H35" s="11">
        <v>12</v>
      </c>
      <c r="I35" s="11">
        <v>526877.56999999995</v>
      </c>
      <c r="J35" s="11" t="s">
        <v>15</v>
      </c>
      <c r="K35" s="11" t="s">
        <v>16</v>
      </c>
      <c r="L35" s="14">
        <f t="shared" si="0"/>
        <v>511491</v>
      </c>
    </row>
    <row r="36" spans="1:12" x14ac:dyDescent="0.3">
      <c r="A36" s="12" t="s">
        <v>172</v>
      </c>
      <c r="B36" s="13" t="s">
        <v>28</v>
      </c>
      <c r="C36" s="13" t="s">
        <v>24</v>
      </c>
      <c r="D36" s="13" t="s">
        <v>76</v>
      </c>
      <c r="E36" s="13">
        <v>5</v>
      </c>
      <c r="F36" s="13">
        <v>32534</v>
      </c>
      <c r="G36" s="13">
        <v>12</v>
      </c>
      <c r="H36" s="13">
        <v>28</v>
      </c>
      <c r="I36" s="13">
        <v>183231.49</v>
      </c>
      <c r="J36" s="13" t="s">
        <v>21</v>
      </c>
      <c r="K36" s="13" t="s">
        <v>26</v>
      </c>
      <c r="L36" s="15">
        <f t="shared" si="0"/>
        <v>854657</v>
      </c>
    </row>
    <row r="37" spans="1:12" x14ac:dyDescent="0.3">
      <c r="A37" s="10" t="s">
        <v>228</v>
      </c>
      <c r="B37" s="11" t="s">
        <v>28</v>
      </c>
      <c r="C37" s="11" t="s">
        <v>62</v>
      </c>
      <c r="D37" s="11" t="s">
        <v>63</v>
      </c>
      <c r="E37" s="11">
        <v>3</v>
      </c>
      <c r="F37" s="11">
        <v>44508</v>
      </c>
      <c r="G37" s="11">
        <v>12</v>
      </c>
      <c r="H37" s="11">
        <v>12</v>
      </c>
      <c r="I37" s="11">
        <v>131601.25</v>
      </c>
      <c r="J37" s="11" t="s">
        <v>46</v>
      </c>
      <c r="K37" s="11" t="s">
        <v>38</v>
      </c>
      <c r="L37" s="14">
        <f t="shared" si="0"/>
        <v>511491</v>
      </c>
    </row>
    <row r="38" spans="1:12" x14ac:dyDescent="0.3">
      <c r="A38" s="12" t="s">
        <v>96</v>
      </c>
      <c r="B38" s="13" t="s">
        <v>28</v>
      </c>
      <c r="C38" s="13" t="s">
        <v>13</v>
      </c>
      <c r="D38" s="13" t="s">
        <v>32</v>
      </c>
      <c r="E38" s="13">
        <v>16</v>
      </c>
      <c r="F38" s="13">
        <v>48800</v>
      </c>
      <c r="G38" s="13">
        <v>5</v>
      </c>
      <c r="H38" s="13">
        <v>28</v>
      </c>
      <c r="I38" s="13">
        <v>949452.80000000005</v>
      </c>
      <c r="J38" s="13" t="s">
        <v>37</v>
      </c>
      <c r="K38" s="13" t="s">
        <v>16</v>
      </c>
      <c r="L38" s="15">
        <f t="shared" si="0"/>
        <v>562158</v>
      </c>
    </row>
    <row r="39" spans="1:12" x14ac:dyDescent="0.3">
      <c r="A39" s="10" t="s">
        <v>11</v>
      </c>
      <c r="B39" s="11" t="s">
        <v>28</v>
      </c>
      <c r="C39" s="11" t="s">
        <v>62</v>
      </c>
      <c r="D39" s="11" t="s">
        <v>63</v>
      </c>
      <c r="E39" s="11">
        <v>5</v>
      </c>
      <c r="F39" s="11">
        <v>5829</v>
      </c>
      <c r="G39" s="11">
        <v>5</v>
      </c>
      <c r="H39" s="11">
        <v>12</v>
      </c>
      <c r="I39" s="11">
        <v>31010.28</v>
      </c>
      <c r="J39" s="11" t="s">
        <v>21</v>
      </c>
      <c r="K39" s="11" t="s">
        <v>16</v>
      </c>
      <c r="L39" s="14">
        <f t="shared" si="0"/>
        <v>511491</v>
      </c>
    </row>
    <row r="40" spans="1:12" x14ac:dyDescent="0.3">
      <c r="A40" s="12" t="s">
        <v>171</v>
      </c>
      <c r="B40" s="13" t="s">
        <v>28</v>
      </c>
      <c r="C40" s="13" t="s">
        <v>35</v>
      </c>
      <c r="D40" s="13" t="s">
        <v>56</v>
      </c>
      <c r="E40" s="13">
        <v>37</v>
      </c>
      <c r="F40" s="13">
        <v>82699</v>
      </c>
      <c r="G40" s="13">
        <v>12</v>
      </c>
      <c r="H40" s="13">
        <v>12</v>
      </c>
      <c r="I40" s="13">
        <v>3015800.97</v>
      </c>
      <c r="J40" s="13" t="s">
        <v>15</v>
      </c>
      <c r="K40" s="13" t="s">
        <v>38</v>
      </c>
      <c r="L40" s="15">
        <f t="shared" si="0"/>
        <v>933186</v>
      </c>
    </row>
    <row r="41" spans="1:12" x14ac:dyDescent="0.3">
      <c r="A41" s="10" t="s">
        <v>106</v>
      </c>
      <c r="B41" s="11" t="s">
        <v>28</v>
      </c>
      <c r="C41" s="11" t="s">
        <v>24</v>
      </c>
      <c r="D41" s="11" t="s">
        <v>40</v>
      </c>
      <c r="E41" s="11">
        <v>18</v>
      </c>
      <c r="F41" s="11">
        <v>81770</v>
      </c>
      <c r="G41" s="11">
        <v>0</v>
      </c>
      <c r="H41" s="11">
        <v>18</v>
      </c>
      <c r="I41" s="11">
        <v>1736794.8</v>
      </c>
      <c r="J41" s="11" t="s">
        <v>15</v>
      </c>
      <c r="K41" s="11" t="s">
        <v>16</v>
      </c>
      <c r="L41" s="14">
        <f t="shared" si="0"/>
        <v>854657</v>
      </c>
    </row>
    <row r="42" spans="1:12" x14ac:dyDescent="0.3">
      <c r="A42" s="12" t="s">
        <v>220</v>
      </c>
      <c r="B42" s="13" t="s">
        <v>28</v>
      </c>
      <c r="C42" s="13" t="s">
        <v>35</v>
      </c>
      <c r="D42" s="13" t="s">
        <v>77</v>
      </c>
      <c r="E42" s="13">
        <v>30</v>
      </c>
      <c r="F42" s="13">
        <v>30844</v>
      </c>
      <c r="G42" s="13">
        <v>0</v>
      </c>
      <c r="H42" s="13">
        <v>12</v>
      </c>
      <c r="I42" s="13">
        <v>1036358.4</v>
      </c>
      <c r="J42" s="13" t="s">
        <v>46</v>
      </c>
      <c r="K42" s="13" t="s">
        <v>38</v>
      </c>
      <c r="L42" s="15">
        <f t="shared" si="0"/>
        <v>933186</v>
      </c>
    </row>
    <row r="43" spans="1:12" x14ac:dyDescent="0.3">
      <c r="A43" s="10" t="s">
        <v>157</v>
      </c>
      <c r="B43" s="11" t="s">
        <v>28</v>
      </c>
      <c r="C43" s="11" t="s">
        <v>44</v>
      </c>
      <c r="D43" s="11" t="s">
        <v>51</v>
      </c>
      <c r="E43" s="11">
        <v>32</v>
      </c>
      <c r="F43" s="11">
        <v>32756</v>
      </c>
      <c r="G43" s="11">
        <v>12</v>
      </c>
      <c r="H43" s="11">
        <v>28</v>
      </c>
      <c r="I43" s="11">
        <v>1180683.47</v>
      </c>
      <c r="J43" s="11" t="s">
        <v>46</v>
      </c>
      <c r="K43" s="11" t="s">
        <v>33</v>
      </c>
      <c r="L43" s="14">
        <f t="shared" si="0"/>
        <v>514948</v>
      </c>
    </row>
    <row r="44" spans="1:12" x14ac:dyDescent="0.3">
      <c r="A44" s="12" t="s">
        <v>100</v>
      </c>
      <c r="B44" s="13" t="s">
        <v>28</v>
      </c>
      <c r="C44" s="13" t="s">
        <v>44</v>
      </c>
      <c r="D44" s="13" t="s">
        <v>51</v>
      </c>
      <c r="E44" s="13">
        <v>11</v>
      </c>
      <c r="F44" s="13">
        <v>3703</v>
      </c>
      <c r="G44" s="13">
        <v>10</v>
      </c>
      <c r="H44" s="13">
        <v>12</v>
      </c>
      <c r="I44" s="13">
        <v>41058.86</v>
      </c>
      <c r="J44" s="13" t="s">
        <v>15</v>
      </c>
      <c r="K44" s="13" t="s">
        <v>16</v>
      </c>
      <c r="L44" s="15">
        <f t="shared" si="0"/>
        <v>514948</v>
      </c>
    </row>
    <row r="45" spans="1:12" x14ac:dyDescent="0.3">
      <c r="A45" s="10" t="s">
        <v>210</v>
      </c>
      <c r="B45" s="11" t="s">
        <v>28</v>
      </c>
      <c r="C45" s="11" t="s">
        <v>35</v>
      </c>
      <c r="D45" s="11" t="s">
        <v>56</v>
      </c>
      <c r="E45" s="11">
        <v>25</v>
      </c>
      <c r="F45" s="11">
        <v>63835</v>
      </c>
      <c r="G45" s="11">
        <v>0</v>
      </c>
      <c r="H45" s="11">
        <v>12</v>
      </c>
      <c r="I45" s="11">
        <v>1787380</v>
      </c>
      <c r="J45" s="11" t="s">
        <v>15</v>
      </c>
      <c r="K45" s="11" t="s">
        <v>38</v>
      </c>
      <c r="L45" s="14">
        <f t="shared" si="0"/>
        <v>933186</v>
      </c>
    </row>
    <row r="46" spans="1:12" x14ac:dyDescent="0.3">
      <c r="A46" s="12" t="s">
        <v>119</v>
      </c>
      <c r="B46" s="13" t="s">
        <v>28</v>
      </c>
      <c r="C46" s="13" t="s">
        <v>48</v>
      </c>
      <c r="D46" s="13" t="s">
        <v>49</v>
      </c>
      <c r="E46" s="13">
        <v>21</v>
      </c>
      <c r="F46" s="13">
        <v>65651</v>
      </c>
      <c r="G46" s="13">
        <v>10</v>
      </c>
      <c r="H46" s="13">
        <v>12</v>
      </c>
      <c r="I46" s="13">
        <v>1389700.37</v>
      </c>
      <c r="J46" s="13" t="s">
        <v>37</v>
      </c>
      <c r="K46" s="13" t="s">
        <v>16</v>
      </c>
      <c r="L46" s="15">
        <f t="shared" si="0"/>
        <v>412823</v>
      </c>
    </row>
    <row r="47" spans="1:12" x14ac:dyDescent="0.3">
      <c r="A47" s="10" t="s">
        <v>43</v>
      </c>
      <c r="B47" s="11" t="s">
        <v>28</v>
      </c>
      <c r="C47" s="11" t="s">
        <v>29</v>
      </c>
      <c r="D47" s="11" t="s">
        <v>30</v>
      </c>
      <c r="E47" s="11">
        <v>35</v>
      </c>
      <c r="F47" s="11">
        <v>23147</v>
      </c>
      <c r="G47" s="11">
        <v>12</v>
      </c>
      <c r="H47" s="11">
        <v>28</v>
      </c>
      <c r="I47" s="11">
        <v>912547.33</v>
      </c>
      <c r="J47" s="11" t="s">
        <v>46</v>
      </c>
      <c r="K47" s="11" t="s">
        <v>26</v>
      </c>
      <c r="L47" s="14">
        <f t="shared" si="0"/>
        <v>192838</v>
      </c>
    </row>
    <row r="48" spans="1:12" x14ac:dyDescent="0.3">
      <c r="A48" s="12" t="s">
        <v>60</v>
      </c>
      <c r="B48" s="13" t="s">
        <v>28</v>
      </c>
      <c r="C48" s="13" t="s">
        <v>29</v>
      </c>
      <c r="D48" s="13" t="s">
        <v>30</v>
      </c>
      <c r="E48" s="13">
        <v>20</v>
      </c>
      <c r="F48" s="13">
        <v>44904</v>
      </c>
      <c r="G48" s="13">
        <v>12</v>
      </c>
      <c r="H48" s="13">
        <v>28</v>
      </c>
      <c r="I48" s="13">
        <v>1011597.31</v>
      </c>
      <c r="J48" s="13" t="s">
        <v>21</v>
      </c>
      <c r="K48" s="13" t="s">
        <v>38</v>
      </c>
      <c r="L48" s="15">
        <f t="shared" si="0"/>
        <v>192838</v>
      </c>
    </row>
    <row r="49" spans="1:12" x14ac:dyDescent="0.3">
      <c r="A49" s="10" t="s">
        <v>87</v>
      </c>
      <c r="B49" s="11" t="s">
        <v>28</v>
      </c>
      <c r="C49" s="11" t="s">
        <v>48</v>
      </c>
      <c r="D49" s="11" t="s">
        <v>59</v>
      </c>
      <c r="E49" s="11">
        <v>21</v>
      </c>
      <c r="F49" s="11">
        <v>51536</v>
      </c>
      <c r="G49" s="11">
        <v>10</v>
      </c>
      <c r="H49" s="11">
        <v>18</v>
      </c>
      <c r="I49" s="11">
        <v>1149355.8700000001</v>
      </c>
      <c r="J49" s="11" t="s">
        <v>37</v>
      </c>
      <c r="K49" s="11" t="s">
        <v>38</v>
      </c>
      <c r="L49" s="14">
        <f t="shared" si="0"/>
        <v>412823</v>
      </c>
    </row>
    <row r="50" spans="1:12" x14ac:dyDescent="0.3">
      <c r="A50" s="12" t="s">
        <v>101</v>
      </c>
      <c r="B50" s="13" t="s">
        <v>28</v>
      </c>
      <c r="C50" s="13" t="s">
        <v>13</v>
      </c>
      <c r="D50" s="13" t="s">
        <v>32</v>
      </c>
      <c r="E50" s="13">
        <v>3</v>
      </c>
      <c r="F50" s="13">
        <v>80779</v>
      </c>
      <c r="G50" s="13">
        <v>0</v>
      </c>
      <c r="H50" s="13">
        <v>18</v>
      </c>
      <c r="I50" s="13">
        <v>285957.65999999997</v>
      </c>
      <c r="J50" s="13" t="s">
        <v>15</v>
      </c>
      <c r="K50" s="13" t="s">
        <v>26</v>
      </c>
      <c r="L50" s="15">
        <f t="shared" si="0"/>
        <v>562158</v>
      </c>
    </row>
    <row r="51" spans="1:12" x14ac:dyDescent="0.3">
      <c r="A51" s="10" t="s">
        <v>73</v>
      </c>
      <c r="B51" s="11" t="s">
        <v>28</v>
      </c>
      <c r="C51" s="11" t="s">
        <v>62</v>
      </c>
      <c r="D51" s="11" t="s">
        <v>63</v>
      </c>
      <c r="E51" s="11">
        <v>27</v>
      </c>
      <c r="F51" s="11">
        <v>34341</v>
      </c>
      <c r="G51" s="11">
        <v>12</v>
      </c>
      <c r="H51" s="11">
        <v>12</v>
      </c>
      <c r="I51" s="11">
        <v>913855.22</v>
      </c>
      <c r="J51" s="11" t="s">
        <v>15</v>
      </c>
      <c r="K51" s="11" t="s">
        <v>38</v>
      </c>
      <c r="L51" s="14">
        <f t="shared" si="0"/>
        <v>511491</v>
      </c>
    </row>
    <row r="52" spans="1:12" x14ac:dyDescent="0.3">
      <c r="A52" s="12" t="s">
        <v>231</v>
      </c>
      <c r="B52" s="13" t="s">
        <v>28</v>
      </c>
      <c r="C52" s="13" t="s">
        <v>24</v>
      </c>
      <c r="D52" s="13" t="s">
        <v>25</v>
      </c>
      <c r="E52" s="13">
        <v>11</v>
      </c>
      <c r="F52" s="13">
        <v>30711</v>
      </c>
      <c r="G52" s="13">
        <v>5</v>
      </c>
      <c r="H52" s="13">
        <v>18</v>
      </c>
      <c r="I52" s="13">
        <v>378697.34</v>
      </c>
      <c r="J52" s="13" t="s">
        <v>37</v>
      </c>
      <c r="K52" s="13" t="s">
        <v>33</v>
      </c>
      <c r="L52" s="15">
        <f t="shared" si="0"/>
        <v>854657</v>
      </c>
    </row>
    <row r="53" spans="1:12" x14ac:dyDescent="0.3">
      <c r="A53" s="10" t="s">
        <v>91</v>
      </c>
      <c r="B53" s="11" t="s">
        <v>28</v>
      </c>
      <c r="C53" s="11" t="s">
        <v>44</v>
      </c>
      <c r="D53" s="11" t="s">
        <v>45</v>
      </c>
      <c r="E53" s="11">
        <v>2</v>
      </c>
      <c r="F53" s="11">
        <v>54806</v>
      </c>
      <c r="G53" s="11">
        <v>10</v>
      </c>
      <c r="H53" s="11">
        <v>12</v>
      </c>
      <c r="I53" s="11">
        <v>110488.9</v>
      </c>
      <c r="J53" s="11" t="s">
        <v>46</v>
      </c>
      <c r="K53" s="11" t="s">
        <v>38</v>
      </c>
      <c r="L53" s="14">
        <f t="shared" si="0"/>
        <v>514948</v>
      </c>
    </row>
    <row r="54" spans="1:12" x14ac:dyDescent="0.3">
      <c r="A54" s="12" t="s">
        <v>100</v>
      </c>
      <c r="B54" s="13" t="s">
        <v>28</v>
      </c>
      <c r="C54" s="13" t="s">
        <v>35</v>
      </c>
      <c r="D54" s="13" t="s">
        <v>36</v>
      </c>
      <c r="E54" s="13">
        <v>19</v>
      </c>
      <c r="F54" s="13">
        <v>82191</v>
      </c>
      <c r="G54" s="13">
        <v>12</v>
      </c>
      <c r="H54" s="13">
        <v>18</v>
      </c>
      <c r="I54" s="13">
        <v>1621595.55</v>
      </c>
      <c r="J54" s="13" t="s">
        <v>15</v>
      </c>
      <c r="K54" s="13" t="s">
        <v>26</v>
      </c>
      <c r="L54" s="15">
        <f t="shared" si="0"/>
        <v>933186</v>
      </c>
    </row>
    <row r="55" spans="1:12" x14ac:dyDescent="0.3">
      <c r="A55" s="10" t="s">
        <v>34</v>
      </c>
      <c r="B55" s="11" t="s">
        <v>28</v>
      </c>
      <c r="C55" s="11" t="s">
        <v>35</v>
      </c>
      <c r="D55" s="11" t="s">
        <v>36</v>
      </c>
      <c r="E55" s="11">
        <v>28</v>
      </c>
      <c r="F55" s="11">
        <v>52234</v>
      </c>
      <c r="G55" s="11">
        <v>5</v>
      </c>
      <c r="H55" s="11">
        <v>12</v>
      </c>
      <c r="I55" s="11">
        <v>1556155.33</v>
      </c>
      <c r="J55" s="11" t="s">
        <v>46</v>
      </c>
      <c r="K55" s="11" t="s">
        <v>38</v>
      </c>
      <c r="L55" s="14">
        <f t="shared" si="0"/>
        <v>933186</v>
      </c>
    </row>
    <row r="56" spans="1:12" x14ac:dyDescent="0.3">
      <c r="A56" s="12" t="s">
        <v>82</v>
      </c>
      <c r="B56" s="13" t="s">
        <v>28</v>
      </c>
      <c r="C56" s="13" t="s">
        <v>24</v>
      </c>
      <c r="D56" s="13" t="s">
        <v>40</v>
      </c>
      <c r="E56" s="13">
        <v>15</v>
      </c>
      <c r="F56" s="13">
        <v>36828</v>
      </c>
      <c r="G56" s="13">
        <v>12</v>
      </c>
      <c r="H56" s="13">
        <v>12</v>
      </c>
      <c r="I56" s="13">
        <v>544465.15</v>
      </c>
      <c r="J56" s="13" t="s">
        <v>15</v>
      </c>
      <c r="K56" s="13" t="s">
        <v>33</v>
      </c>
      <c r="L56" s="15">
        <f t="shared" si="0"/>
        <v>854657</v>
      </c>
    </row>
    <row r="57" spans="1:12" x14ac:dyDescent="0.3">
      <c r="A57" s="10" t="s">
        <v>82</v>
      </c>
      <c r="B57" s="11" t="s">
        <v>28</v>
      </c>
      <c r="C57" s="11" t="s">
        <v>35</v>
      </c>
      <c r="D57" s="11" t="s">
        <v>56</v>
      </c>
      <c r="E57" s="11">
        <v>36</v>
      </c>
      <c r="F57" s="11">
        <v>53790</v>
      </c>
      <c r="G57" s="11">
        <v>5</v>
      </c>
      <c r="H57" s="11">
        <v>18</v>
      </c>
      <c r="I57" s="11">
        <v>2170749.2400000002</v>
      </c>
      <c r="J57" s="11" t="s">
        <v>21</v>
      </c>
      <c r="K57" s="11" t="s">
        <v>38</v>
      </c>
      <c r="L57" s="14">
        <f t="shared" si="0"/>
        <v>933186</v>
      </c>
    </row>
    <row r="58" spans="1:12" x14ac:dyDescent="0.3">
      <c r="A58" s="12" t="s">
        <v>151</v>
      </c>
      <c r="B58" s="13" t="s">
        <v>28</v>
      </c>
      <c r="C58" s="13" t="s">
        <v>44</v>
      </c>
      <c r="D58" s="13" t="s">
        <v>51</v>
      </c>
      <c r="E58" s="13">
        <v>3</v>
      </c>
      <c r="F58" s="13">
        <v>6649</v>
      </c>
      <c r="G58" s="13">
        <v>5</v>
      </c>
      <c r="H58" s="13">
        <v>12</v>
      </c>
      <c r="I58" s="13">
        <v>21223.61</v>
      </c>
      <c r="J58" s="13" t="s">
        <v>15</v>
      </c>
      <c r="K58" s="13" t="s">
        <v>26</v>
      </c>
      <c r="L58" s="15">
        <f t="shared" si="0"/>
        <v>514948</v>
      </c>
    </row>
    <row r="59" spans="1:12" x14ac:dyDescent="0.3">
      <c r="A59" s="10" t="s">
        <v>192</v>
      </c>
      <c r="B59" s="11" t="s">
        <v>28</v>
      </c>
      <c r="C59" s="11" t="s">
        <v>62</v>
      </c>
      <c r="D59" s="11" t="s">
        <v>92</v>
      </c>
      <c r="E59" s="11">
        <v>6</v>
      </c>
      <c r="F59" s="11">
        <v>61082</v>
      </c>
      <c r="G59" s="11">
        <v>5</v>
      </c>
      <c r="H59" s="11">
        <v>18</v>
      </c>
      <c r="I59" s="11">
        <v>410837.53</v>
      </c>
      <c r="J59" s="11" t="s">
        <v>37</v>
      </c>
      <c r="K59" s="11" t="s">
        <v>33</v>
      </c>
      <c r="L59" s="14">
        <f t="shared" si="0"/>
        <v>511491</v>
      </c>
    </row>
    <row r="60" spans="1:12" x14ac:dyDescent="0.3">
      <c r="A60" s="12" t="s">
        <v>212</v>
      </c>
      <c r="B60" s="13" t="s">
        <v>28</v>
      </c>
      <c r="C60" s="13" t="s">
        <v>35</v>
      </c>
      <c r="D60" s="13" t="s">
        <v>56</v>
      </c>
      <c r="E60" s="13">
        <v>15</v>
      </c>
      <c r="F60" s="13">
        <v>58098</v>
      </c>
      <c r="G60" s="13">
        <v>10</v>
      </c>
      <c r="H60" s="13">
        <v>12</v>
      </c>
      <c r="I60" s="13">
        <v>878441.76</v>
      </c>
      <c r="J60" s="13" t="s">
        <v>46</v>
      </c>
      <c r="K60" s="13" t="s">
        <v>16</v>
      </c>
      <c r="L60" s="15">
        <f t="shared" si="0"/>
        <v>933186</v>
      </c>
    </row>
    <row r="61" spans="1:12" x14ac:dyDescent="0.3">
      <c r="A61" s="10" t="s">
        <v>175</v>
      </c>
      <c r="B61" s="11" t="s">
        <v>28</v>
      </c>
      <c r="C61" s="11" t="s">
        <v>35</v>
      </c>
      <c r="D61" s="11" t="s">
        <v>77</v>
      </c>
      <c r="E61" s="11">
        <v>28</v>
      </c>
      <c r="F61" s="11">
        <v>75441</v>
      </c>
      <c r="G61" s="11">
        <v>12</v>
      </c>
      <c r="H61" s="11">
        <v>12</v>
      </c>
      <c r="I61" s="11">
        <v>2081930.19</v>
      </c>
      <c r="J61" s="11" t="s">
        <v>46</v>
      </c>
      <c r="K61" s="11" t="s">
        <v>26</v>
      </c>
      <c r="L61" s="14">
        <f t="shared" si="0"/>
        <v>933186</v>
      </c>
    </row>
    <row r="62" spans="1:12" x14ac:dyDescent="0.3">
      <c r="A62" s="12" t="s">
        <v>132</v>
      </c>
      <c r="B62" s="13" t="s">
        <v>28</v>
      </c>
      <c r="C62" s="13" t="s">
        <v>48</v>
      </c>
      <c r="D62" s="13" t="s">
        <v>49</v>
      </c>
      <c r="E62" s="13">
        <v>10</v>
      </c>
      <c r="F62" s="13">
        <v>56295</v>
      </c>
      <c r="G62" s="13">
        <v>12</v>
      </c>
      <c r="H62" s="13">
        <v>12</v>
      </c>
      <c r="I62" s="13">
        <v>554843.52</v>
      </c>
      <c r="J62" s="13" t="s">
        <v>46</v>
      </c>
      <c r="K62" s="13" t="s">
        <v>38</v>
      </c>
      <c r="L62" s="15">
        <f t="shared" si="0"/>
        <v>412823</v>
      </c>
    </row>
    <row r="63" spans="1:12" x14ac:dyDescent="0.3">
      <c r="A63" s="10" t="s">
        <v>158</v>
      </c>
      <c r="B63" s="11" t="s">
        <v>28</v>
      </c>
      <c r="C63" s="11" t="s">
        <v>35</v>
      </c>
      <c r="D63" s="11" t="s">
        <v>36</v>
      </c>
      <c r="E63" s="11">
        <v>13</v>
      </c>
      <c r="F63" s="11">
        <v>42787</v>
      </c>
      <c r="G63" s="11">
        <v>10</v>
      </c>
      <c r="H63" s="11">
        <v>28</v>
      </c>
      <c r="I63" s="11">
        <v>640778.11</v>
      </c>
      <c r="J63" s="11" t="s">
        <v>37</v>
      </c>
      <c r="K63" s="11" t="s">
        <v>38</v>
      </c>
      <c r="L63" s="14">
        <f t="shared" si="0"/>
        <v>933186</v>
      </c>
    </row>
    <row r="64" spans="1:12" x14ac:dyDescent="0.3">
      <c r="A64" s="12" t="s">
        <v>201</v>
      </c>
      <c r="B64" s="13" t="s">
        <v>28</v>
      </c>
      <c r="C64" s="13" t="s">
        <v>35</v>
      </c>
      <c r="D64" s="13" t="s">
        <v>77</v>
      </c>
      <c r="E64" s="13">
        <v>36</v>
      </c>
      <c r="F64" s="13">
        <v>7229</v>
      </c>
      <c r="G64" s="13">
        <v>5</v>
      </c>
      <c r="H64" s="13">
        <v>28</v>
      </c>
      <c r="I64" s="13">
        <v>316456.7</v>
      </c>
      <c r="J64" s="13" t="s">
        <v>46</v>
      </c>
      <c r="K64" s="13" t="s">
        <v>26</v>
      </c>
      <c r="L64" s="15">
        <f t="shared" si="0"/>
        <v>933186</v>
      </c>
    </row>
    <row r="65" spans="1:12" x14ac:dyDescent="0.3">
      <c r="A65" s="10" t="s">
        <v>105</v>
      </c>
      <c r="B65" s="11" t="s">
        <v>28</v>
      </c>
      <c r="C65" s="11" t="s">
        <v>44</v>
      </c>
      <c r="D65" s="11" t="s">
        <v>45</v>
      </c>
      <c r="E65" s="11">
        <v>38</v>
      </c>
      <c r="F65" s="11">
        <v>18684</v>
      </c>
      <c r="G65" s="11">
        <v>12</v>
      </c>
      <c r="H65" s="11">
        <v>28</v>
      </c>
      <c r="I65" s="11">
        <v>799734.99</v>
      </c>
      <c r="J65" s="11" t="s">
        <v>37</v>
      </c>
      <c r="K65" s="11" t="s">
        <v>26</v>
      </c>
      <c r="L65" s="14">
        <f t="shared" ref="L65:L104" si="1">SUMIF(C:C,C65,F:F)</f>
        <v>514948</v>
      </c>
    </row>
    <row r="66" spans="1:12" x14ac:dyDescent="0.3">
      <c r="A66" s="12" t="s">
        <v>84</v>
      </c>
      <c r="B66" s="13" t="s">
        <v>28</v>
      </c>
      <c r="C66" s="13" t="s">
        <v>24</v>
      </c>
      <c r="D66" s="13" t="s">
        <v>40</v>
      </c>
      <c r="E66" s="13">
        <v>20</v>
      </c>
      <c r="F66" s="13">
        <v>39867</v>
      </c>
      <c r="G66" s="13">
        <v>10</v>
      </c>
      <c r="H66" s="13">
        <v>28</v>
      </c>
      <c r="I66" s="13">
        <v>918535.68000000005</v>
      </c>
      <c r="J66" s="13" t="s">
        <v>46</v>
      </c>
      <c r="K66" s="13" t="s">
        <v>38</v>
      </c>
      <c r="L66" s="15">
        <f t="shared" si="1"/>
        <v>854657</v>
      </c>
    </row>
    <row r="67" spans="1:12" x14ac:dyDescent="0.3">
      <c r="A67" s="10" t="s">
        <v>72</v>
      </c>
      <c r="B67" s="11" t="s">
        <v>28</v>
      </c>
      <c r="C67" s="11" t="s">
        <v>35</v>
      </c>
      <c r="D67" s="11" t="s">
        <v>77</v>
      </c>
      <c r="E67" s="11">
        <v>26</v>
      </c>
      <c r="F67" s="11">
        <v>82799</v>
      </c>
      <c r="G67" s="11">
        <v>0</v>
      </c>
      <c r="H67" s="11">
        <v>28</v>
      </c>
      <c r="I67" s="11">
        <v>2755550.72</v>
      </c>
      <c r="J67" s="11" t="s">
        <v>46</v>
      </c>
      <c r="K67" s="11" t="s">
        <v>33</v>
      </c>
      <c r="L67" s="14">
        <f t="shared" si="1"/>
        <v>933186</v>
      </c>
    </row>
    <row r="68" spans="1:12" x14ac:dyDescent="0.3">
      <c r="A68" s="12" t="s">
        <v>95</v>
      </c>
      <c r="B68" s="13" t="s">
        <v>28</v>
      </c>
      <c r="C68" s="13" t="s">
        <v>24</v>
      </c>
      <c r="D68" s="13" t="s">
        <v>76</v>
      </c>
      <c r="E68" s="13">
        <v>39</v>
      </c>
      <c r="F68" s="13">
        <v>49399</v>
      </c>
      <c r="G68" s="13">
        <v>5</v>
      </c>
      <c r="H68" s="13">
        <v>28</v>
      </c>
      <c r="I68" s="13">
        <v>2342698.1800000002</v>
      </c>
      <c r="J68" s="13" t="s">
        <v>46</v>
      </c>
      <c r="K68" s="13" t="s">
        <v>16</v>
      </c>
      <c r="L68" s="15">
        <f t="shared" si="1"/>
        <v>854657</v>
      </c>
    </row>
    <row r="69" spans="1:12" x14ac:dyDescent="0.3">
      <c r="A69" s="10" t="s">
        <v>136</v>
      </c>
      <c r="B69" s="11" t="s">
        <v>28</v>
      </c>
      <c r="C69" s="11" t="s">
        <v>24</v>
      </c>
      <c r="D69" s="11" t="s">
        <v>25</v>
      </c>
      <c r="E69" s="11">
        <v>15</v>
      </c>
      <c r="F69" s="11">
        <v>21993</v>
      </c>
      <c r="G69" s="11">
        <v>5</v>
      </c>
      <c r="H69" s="11">
        <v>12</v>
      </c>
      <c r="I69" s="11">
        <v>351008.28</v>
      </c>
      <c r="J69" s="11" t="s">
        <v>46</v>
      </c>
      <c r="K69" s="11" t="s">
        <v>33</v>
      </c>
      <c r="L69" s="14">
        <f t="shared" si="1"/>
        <v>854657</v>
      </c>
    </row>
    <row r="70" spans="1:12" x14ac:dyDescent="0.3">
      <c r="A70" s="12" t="s">
        <v>160</v>
      </c>
      <c r="B70" s="13" t="s">
        <v>28</v>
      </c>
      <c r="C70" s="13" t="s">
        <v>35</v>
      </c>
      <c r="D70" s="13" t="s">
        <v>36</v>
      </c>
      <c r="E70" s="13">
        <v>24</v>
      </c>
      <c r="F70" s="13">
        <v>60700</v>
      </c>
      <c r="G70" s="13">
        <v>0</v>
      </c>
      <c r="H70" s="13">
        <v>28</v>
      </c>
      <c r="I70" s="13">
        <v>1864704</v>
      </c>
      <c r="J70" s="13" t="s">
        <v>46</v>
      </c>
      <c r="K70" s="13" t="s">
        <v>16</v>
      </c>
      <c r="L70" s="15">
        <f t="shared" si="1"/>
        <v>933186</v>
      </c>
    </row>
    <row r="71" spans="1:12" x14ac:dyDescent="0.3">
      <c r="A71" s="10" t="s">
        <v>146</v>
      </c>
      <c r="B71" s="11" t="s">
        <v>28</v>
      </c>
      <c r="C71" s="11" t="s">
        <v>35</v>
      </c>
      <c r="D71" s="11" t="s">
        <v>56</v>
      </c>
      <c r="E71" s="11">
        <v>12</v>
      </c>
      <c r="F71" s="11">
        <v>26491</v>
      </c>
      <c r="G71" s="11">
        <v>12</v>
      </c>
      <c r="H71" s="11">
        <v>12</v>
      </c>
      <c r="I71" s="11">
        <v>313314.36</v>
      </c>
      <c r="J71" s="11" t="s">
        <v>15</v>
      </c>
      <c r="K71" s="11" t="s">
        <v>26</v>
      </c>
      <c r="L71" s="14">
        <f t="shared" si="1"/>
        <v>933186</v>
      </c>
    </row>
    <row r="72" spans="1:12" x14ac:dyDescent="0.3">
      <c r="A72" s="12" t="s">
        <v>137</v>
      </c>
      <c r="B72" s="13" t="s">
        <v>28</v>
      </c>
      <c r="C72" s="13" t="s">
        <v>44</v>
      </c>
      <c r="D72" s="13" t="s">
        <v>51</v>
      </c>
      <c r="E72" s="13">
        <v>14</v>
      </c>
      <c r="F72" s="13">
        <v>53438</v>
      </c>
      <c r="G72" s="13">
        <v>5</v>
      </c>
      <c r="H72" s="13">
        <v>18</v>
      </c>
      <c r="I72" s="13">
        <v>838655.97</v>
      </c>
      <c r="J72" s="13" t="s">
        <v>37</v>
      </c>
      <c r="K72" s="13" t="s">
        <v>38</v>
      </c>
      <c r="L72" s="15">
        <f t="shared" si="1"/>
        <v>514948</v>
      </c>
    </row>
    <row r="73" spans="1:12" x14ac:dyDescent="0.3">
      <c r="A73" s="10" t="s">
        <v>98</v>
      </c>
      <c r="B73" s="11" t="s">
        <v>28</v>
      </c>
      <c r="C73" s="11" t="s">
        <v>48</v>
      </c>
      <c r="D73" s="11" t="s">
        <v>49</v>
      </c>
      <c r="E73" s="11">
        <v>1</v>
      </c>
      <c r="F73" s="11">
        <v>5534</v>
      </c>
      <c r="G73" s="11">
        <v>5</v>
      </c>
      <c r="H73" s="11">
        <v>28</v>
      </c>
      <c r="I73" s="11">
        <v>6729.34</v>
      </c>
      <c r="J73" s="11" t="s">
        <v>46</v>
      </c>
      <c r="K73" s="11" t="s">
        <v>33</v>
      </c>
      <c r="L73" s="14">
        <f t="shared" si="1"/>
        <v>412823</v>
      </c>
    </row>
    <row r="74" spans="1:12" x14ac:dyDescent="0.3">
      <c r="A74" s="12" t="s">
        <v>226</v>
      </c>
      <c r="B74" s="13" t="s">
        <v>28</v>
      </c>
      <c r="C74" s="13" t="s">
        <v>13</v>
      </c>
      <c r="D74" s="13" t="s">
        <v>32</v>
      </c>
      <c r="E74" s="13">
        <v>37</v>
      </c>
      <c r="F74" s="13">
        <v>25956</v>
      </c>
      <c r="G74" s="13">
        <v>0</v>
      </c>
      <c r="H74" s="13">
        <v>12</v>
      </c>
      <c r="I74" s="13">
        <v>1075616.6399999999</v>
      </c>
      <c r="J74" s="13" t="s">
        <v>21</v>
      </c>
      <c r="K74" s="13" t="s">
        <v>38</v>
      </c>
      <c r="L74" s="15">
        <f t="shared" si="1"/>
        <v>562158</v>
      </c>
    </row>
    <row r="75" spans="1:12" x14ac:dyDescent="0.3">
      <c r="A75" s="10" t="s">
        <v>140</v>
      </c>
      <c r="B75" s="11" t="s">
        <v>28</v>
      </c>
      <c r="C75" s="11" t="s">
        <v>13</v>
      </c>
      <c r="D75" s="11" t="s">
        <v>14</v>
      </c>
      <c r="E75" s="11">
        <v>17</v>
      </c>
      <c r="F75" s="11">
        <v>26763</v>
      </c>
      <c r="G75" s="11">
        <v>5</v>
      </c>
      <c r="H75" s="11">
        <v>18</v>
      </c>
      <c r="I75" s="11">
        <v>510022.49</v>
      </c>
      <c r="J75" s="11" t="s">
        <v>46</v>
      </c>
      <c r="K75" s="11" t="s">
        <v>38</v>
      </c>
      <c r="L75" s="14">
        <f t="shared" si="1"/>
        <v>562158</v>
      </c>
    </row>
    <row r="76" spans="1:12" x14ac:dyDescent="0.3">
      <c r="A76" s="12" t="s">
        <v>223</v>
      </c>
      <c r="B76" s="13" t="s">
        <v>28</v>
      </c>
      <c r="C76" s="13" t="s">
        <v>44</v>
      </c>
      <c r="D76" s="13" t="s">
        <v>45</v>
      </c>
      <c r="E76" s="13">
        <v>14</v>
      </c>
      <c r="F76" s="13">
        <v>41821</v>
      </c>
      <c r="G76" s="13">
        <v>12</v>
      </c>
      <c r="H76" s="13">
        <v>28</v>
      </c>
      <c r="I76" s="13">
        <v>659500.43999999994</v>
      </c>
      <c r="J76" s="13" t="s">
        <v>46</v>
      </c>
      <c r="K76" s="13" t="s">
        <v>26</v>
      </c>
      <c r="L76" s="15">
        <f t="shared" si="1"/>
        <v>514948</v>
      </c>
    </row>
    <row r="77" spans="1:12" x14ac:dyDescent="0.3">
      <c r="A77" s="10" t="s">
        <v>55</v>
      </c>
      <c r="B77" s="11" t="s">
        <v>28</v>
      </c>
      <c r="C77" s="11" t="s">
        <v>13</v>
      </c>
      <c r="D77" s="11" t="s">
        <v>32</v>
      </c>
      <c r="E77" s="11">
        <v>2</v>
      </c>
      <c r="F77" s="11">
        <v>77776</v>
      </c>
      <c r="G77" s="11">
        <v>12</v>
      </c>
      <c r="H77" s="11">
        <v>18</v>
      </c>
      <c r="I77" s="11">
        <v>161525.20000000001</v>
      </c>
      <c r="J77" s="11" t="s">
        <v>37</v>
      </c>
      <c r="K77" s="11" t="s">
        <v>33</v>
      </c>
      <c r="L77" s="14">
        <f t="shared" si="1"/>
        <v>562158</v>
      </c>
    </row>
    <row r="78" spans="1:12" x14ac:dyDescent="0.3">
      <c r="A78" s="12" t="s">
        <v>93</v>
      </c>
      <c r="B78" s="13" t="s">
        <v>28</v>
      </c>
      <c r="C78" s="13" t="s">
        <v>62</v>
      </c>
      <c r="D78" s="13" t="s">
        <v>63</v>
      </c>
      <c r="E78" s="13">
        <v>16</v>
      </c>
      <c r="F78" s="13">
        <v>42510</v>
      </c>
      <c r="G78" s="13">
        <v>12</v>
      </c>
      <c r="H78" s="13">
        <v>28</v>
      </c>
      <c r="I78" s="13">
        <v>766132.22</v>
      </c>
      <c r="J78" s="13" t="s">
        <v>37</v>
      </c>
      <c r="K78" s="13" t="s">
        <v>26</v>
      </c>
      <c r="L78" s="15">
        <f t="shared" si="1"/>
        <v>511491</v>
      </c>
    </row>
    <row r="79" spans="1:12" x14ac:dyDescent="0.3">
      <c r="A79" s="10" t="s">
        <v>66</v>
      </c>
      <c r="B79" s="11" t="s">
        <v>28</v>
      </c>
      <c r="C79" s="11" t="s">
        <v>13</v>
      </c>
      <c r="D79" s="11" t="s">
        <v>14</v>
      </c>
      <c r="E79" s="11">
        <v>6</v>
      </c>
      <c r="F79" s="11">
        <v>43347</v>
      </c>
      <c r="G79" s="11">
        <v>5</v>
      </c>
      <c r="H79" s="11">
        <v>12</v>
      </c>
      <c r="I79" s="11">
        <v>276727.25</v>
      </c>
      <c r="J79" s="11" t="s">
        <v>37</v>
      </c>
      <c r="K79" s="11" t="s">
        <v>33</v>
      </c>
      <c r="L79" s="14">
        <f t="shared" si="1"/>
        <v>562158</v>
      </c>
    </row>
    <row r="80" spans="1:12" x14ac:dyDescent="0.3">
      <c r="A80" s="12" t="s">
        <v>105</v>
      </c>
      <c r="B80" s="13" t="s">
        <v>28</v>
      </c>
      <c r="C80" s="13" t="s">
        <v>29</v>
      </c>
      <c r="D80" s="13" t="s">
        <v>30</v>
      </c>
      <c r="E80" s="13">
        <v>24</v>
      </c>
      <c r="F80" s="13">
        <v>44583</v>
      </c>
      <c r="G80" s="13">
        <v>0</v>
      </c>
      <c r="H80" s="13">
        <v>28</v>
      </c>
      <c r="I80" s="13">
        <v>1369589.76</v>
      </c>
      <c r="J80" s="13" t="s">
        <v>21</v>
      </c>
      <c r="K80" s="13" t="s">
        <v>33</v>
      </c>
      <c r="L80" s="15">
        <f t="shared" si="1"/>
        <v>192838</v>
      </c>
    </row>
    <row r="81" spans="1:12" x14ac:dyDescent="0.3">
      <c r="A81" s="10" t="s">
        <v>145</v>
      </c>
      <c r="B81" s="11" t="s">
        <v>28</v>
      </c>
      <c r="C81" s="11" t="s">
        <v>35</v>
      </c>
      <c r="D81" s="11" t="s">
        <v>36</v>
      </c>
      <c r="E81" s="11">
        <v>13</v>
      </c>
      <c r="F81" s="11">
        <v>7465</v>
      </c>
      <c r="G81" s="11">
        <v>5</v>
      </c>
      <c r="H81" s="11">
        <v>12</v>
      </c>
      <c r="I81" s="11">
        <v>103255.88</v>
      </c>
      <c r="J81" s="11" t="s">
        <v>37</v>
      </c>
      <c r="K81" s="11" t="s">
        <v>38</v>
      </c>
      <c r="L81" s="14">
        <f t="shared" si="1"/>
        <v>933186</v>
      </c>
    </row>
    <row r="82" spans="1:12" x14ac:dyDescent="0.3">
      <c r="A82" s="12" t="s">
        <v>99</v>
      </c>
      <c r="B82" s="13" t="s">
        <v>28</v>
      </c>
      <c r="C82" s="13" t="s">
        <v>24</v>
      </c>
      <c r="D82" s="13" t="s">
        <v>25</v>
      </c>
      <c r="E82" s="13">
        <v>38</v>
      </c>
      <c r="F82" s="13">
        <v>61161</v>
      </c>
      <c r="G82" s="13">
        <v>5</v>
      </c>
      <c r="H82" s="13">
        <v>28</v>
      </c>
      <c r="I82" s="13">
        <v>2826127.49</v>
      </c>
      <c r="J82" s="13" t="s">
        <v>37</v>
      </c>
      <c r="K82" s="13" t="s">
        <v>16</v>
      </c>
      <c r="L82" s="15">
        <f t="shared" si="1"/>
        <v>854657</v>
      </c>
    </row>
    <row r="83" spans="1:12" x14ac:dyDescent="0.3">
      <c r="A83" s="10" t="s">
        <v>230</v>
      </c>
      <c r="B83" s="11" t="s">
        <v>28</v>
      </c>
      <c r="C83" s="11" t="s">
        <v>19</v>
      </c>
      <c r="D83" s="11" t="s">
        <v>20</v>
      </c>
      <c r="E83" s="11">
        <v>25</v>
      </c>
      <c r="F83" s="11">
        <v>44755</v>
      </c>
      <c r="G83" s="11">
        <v>5</v>
      </c>
      <c r="H83" s="11">
        <v>28</v>
      </c>
      <c r="I83" s="11">
        <v>1360552</v>
      </c>
      <c r="J83" s="11" t="s">
        <v>21</v>
      </c>
      <c r="K83" s="11" t="s">
        <v>26</v>
      </c>
      <c r="L83" s="14">
        <f t="shared" si="1"/>
        <v>123712</v>
      </c>
    </row>
    <row r="84" spans="1:12" x14ac:dyDescent="0.3">
      <c r="A84" s="12" t="s">
        <v>64</v>
      </c>
      <c r="B84" s="13" t="s">
        <v>28</v>
      </c>
      <c r="C84" s="13" t="s">
        <v>35</v>
      </c>
      <c r="D84" s="13" t="s">
        <v>56</v>
      </c>
      <c r="E84" s="13">
        <v>31</v>
      </c>
      <c r="F84" s="13">
        <v>7991</v>
      </c>
      <c r="G84" s="13">
        <v>5</v>
      </c>
      <c r="H84" s="13">
        <v>18</v>
      </c>
      <c r="I84" s="13">
        <v>277695.24</v>
      </c>
      <c r="J84" s="13" t="s">
        <v>15</v>
      </c>
      <c r="K84" s="13" t="s">
        <v>26</v>
      </c>
      <c r="L84" s="15">
        <f t="shared" si="1"/>
        <v>933186</v>
      </c>
    </row>
    <row r="85" spans="1:12" x14ac:dyDescent="0.3">
      <c r="A85" s="10" t="s">
        <v>206</v>
      </c>
      <c r="B85" s="11" t="s">
        <v>28</v>
      </c>
      <c r="C85" s="11" t="s">
        <v>35</v>
      </c>
      <c r="D85" s="11" t="s">
        <v>56</v>
      </c>
      <c r="E85" s="11">
        <v>10</v>
      </c>
      <c r="F85" s="11">
        <v>1385</v>
      </c>
      <c r="G85" s="11">
        <v>10</v>
      </c>
      <c r="H85" s="11">
        <v>12</v>
      </c>
      <c r="I85" s="11">
        <v>13960.8</v>
      </c>
      <c r="J85" s="11" t="s">
        <v>21</v>
      </c>
      <c r="K85" s="11" t="s">
        <v>26</v>
      </c>
      <c r="L85" s="14">
        <f t="shared" si="1"/>
        <v>933186</v>
      </c>
    </row>
    <row r="86" spans="1:12" x14ac:dyDescent="0.3">
      <c r="A86" s="12" t="s">
        <v>108</v>
      </c>
      <c r="B86" s="13" t="s">
        <v>28</v>
      </c>
      <c r="C86" s="13" t="s">
        <v>62</v>
      </c>
      <c r="D86" s="13" t="s">
        <v>63</v>
      </c>
      <c r="E86" s="13">
        <v>8</v>
      </c>
      <c r="F86" s="13">
        <v>67550</v>
      </c>
      <c r="G86" s="13">
        <v>0</v>
      </c>
      <c r="H86" s="13">
        <v>12</v>
      </c>
      <c r="I86" s="13">
        <v>605248</v>
      </c>
      <c r="J86" s="13" t="s">
        <v>15</v>
      </c>
      <c r="K86" s="13" t="s">
        <v>26</v>
      </c>
      <c r="L86" s="15">
        <f t="shared" si="1"/>
        <v>511491</v>
      </c>
    </row>
    <row r="87" spans="1:12" x14ac:dyDescent="0.3">
      <c r="A87" s="10" t="s">
        <v>132</v>
      </c>
      <c r="B87" s="11" t="s">
        <v>28</v>
      </c>
      <c r="C87" s="11" t="s">
        <v>13</v>
      </c>
      <c r="D87" s="11" t="s">
        <v>14</v>
      </c>
      <c r="E87" s="11">
        <v>15</v>
      </c>
      <c r="F87" s="11">
        <v>36355</v>
      </c>
      <c r="G87" s="11">
        <v>12</v>
      </c>
      <c r="H87" s="11">
        <v>28</v>
      </c>
      <c r="I87" s="11">
        <v>614254.07999999996</v>
      </c>
      <c r="J87" s="11" t="s">
        <v>15</v>
      </c>
      <c r="K87" s="11" t="s">
        <v>38</v>
      </c>
      <c r="L87" s="14">
        <f t="shared" si="1"/>
        <v>562158</v>
      </c>
    </row>
    <row r="88" spans="1:12" x14ac:dyDescent="0.3">
      <c r="A88" s="12" t="s">
        <v>71</v>
      </c>
      <c r="B88" s="13" t="s">
        <v>28</v>
      </c>
      <c r="C88" s="13" t="s">
        <v>62</v>
      </c>
      <c r="D88" s="13" t="s">
        <v>63</v>
      </c>
      <c r="E88" s="13">
        <v>31</v>
      </c>
      <c r="F88" s="13">
        <v>15941</v>
      </c>
      <c r="G88" s="13">
        <v>10</v>
      </c>
      <c r="H88" s="13">
        <v>28</v>
      </c>
      <c r="I88" s="13">
        <v>569284.99</v>
      </c>
      <c r="J88" s="13" t="s">
        <v>21</v>
      </c>
      <c r="K88" s="13" t="s">
        <v>26</v>
      </c>
      <c r="L88" s="15">
        <f t="shared" si="1"/>
        <v>511491</v>
      </c>
    </row>
    <row r="89" spans="1:12" x14ac:dyDescent="0.3">
      <c r="A89" s="10" t="s">
        <v>85</v>
      </c>
      <c r="B89" s="11" t="s">
        <v>28</v>
      </c>
      <c r="C89" s="11" t="s">
        <v>44</v>
      </c>
      <c r="D89" s="11" t="s">
        <v>45</v>
      </c>
      <c r="E89" s="11">
        <v>16</v>
      </c>
      <c r="F89" s="11">
        <v>8644</v>
      </c>
      <c r="G89" s="11">
        <v>0</v>
      </c>
      <c r="H89" s="11">
        <v>12</v>
      </c>
      <c r="I89" s="11">
        <v>154900.48000000001</v>
      </c>
      <c r="J89" s="11" t="s">
        <v>15</v>
      </c>
      <c r="K89" s="11" t="s">
        <v>33</v>
      </c>
      <c r="L89" s="14">
        <f t="shared" si="1"/>
        <v>514948</v>
      </c>
    </row>
    <row r="90" spans="1:12" x14ac:dyDescent="0.3">
      <c r="A90" s="12" t="s">
        <v>190</v>
      </c>
      <c r="B90" s="13" t="s">
        <v>28</v>
      </c>
      <c r="C90" s="13" t="s">
        <v>24</v>
      </c>
      <c r="D90" s="13" t="s">
        <v>25</v>
      </c>
      <c r="E90" s="13">
        <v>23</v>
      </c>
      <c r="F90" s="13">
        <v>60890</v>
      </c>
      <c r="G90" s="13">
        <v>12</v>
      </c>
      <c r="H90" s="13">
        <v>18</v>
      </c>
      <c r="I90" s="13">
        <v>1454248.05</v>
      </c>
      <c r="J90" s="13" t="s">
        <v>37</v>
      </c>
      <c r="K90" s="13" t="s">
        <v>16</v>
      </c>
      <c r="L90" s="15">
        <f t="shared" si="1"/>
        <v>854657</v>
      </c>
    </row>
    <row r="91" spans="1:12" x14ac:dyDescent="0.3">
      <c r="A91" s="10" t="s">
        <v>105</v>
      </c>
      <c r="B91" s="11" t="s">
        <v>28</v>
      </c>
      <c r="C91" s="11" t="s">
        <v>24</v>
      </c>
      <c r="D91" s="11" t="s">
        <v>76</v>
      </c>
      <c r="E91" s="11">
        <v>23</v>
      </c>
      <c r="F91" s="11">
        <v>74261</v>
      </c>
      <c r="G91" s="11">
        <v>0</v>
      </c>
      <c r="H91" s="11">
        <v>28</v>
      </c>
      <c r="I91" s="11">
        <v>2186243.84</v>
      </c>
      <c r="J91" s="11" t="s">
        <v>21</v>
      </c>
      <c r="K91" s="11" t="s">
        <v>38</v>
      </c>
      <c r="L91" s="14">
        <f t="shared" si="1"/>
        <v>854657</v>
      </c>
    </row>
    <row r="92" spans="1:12" x14ac:dyDescent="0.3">
      <c r="A92" s="12" t="s">
        <v>83</v>
      </c>
      <c r="B92" s="13" t="s">
        <v>28</v>
      </c>
      <c r="C92" s="13" t="s">
        <v>24</v>
      </c>
      <c r="D92" s="13" t="s">
        <v>40</v>
      </c>
      <c r="E92" s="13">
        <v>35</v>
      </c>
      <c r="F92" s="13">
        <v>18786</v>
      </c>
      <c r="G92" s="13">
        <v>12</v>
      </c>
      <c r="H92" s="13">
        <v>18</v>
      </c>
      <c r="I92" s="13">
        <v>682758.38</v>
      </c>
      <c r="J92" s="13" t="s">
        <v>15</v>
      </c>
      <c r="K92" s="13" t="s">
        <v>38</v>
      </c>
      <c r="L92" s="15">
        <f t="shared" si="1"/>
        <v>854657</v>
      </c>
    </row>
    <row r="93" spans="1:12" x14ac:dyDescent="0.3">
      <c r="A93" s="10" t="s">
        <v>64</v>
      </c>
      <c r="B93" s="11" t="s">
        <v>28</v>
      </c>
      <c r="C93" s="11" t="s">
        <v>35</v>
      </c>
      <c r="D93" s="11" t="s">
        <v>56</v>
      </c>
      <c r="E93" s="11">
        <v>37</v>
      </c>
      <c r="F93" s="11">
        <v>19769</v>
      </c>
      <c r="G93" s="11">
        <v>0</v>
      </c>
      <c r="H93" s="11">
        <v>18</v>
      </c>
      <c r="I93" s="11">
        <v>863114.54</v>
      </c>
      <c r="J93" s="11" t="s">
        <v>46</v>
      </c>
      <c r="K93" s="11" t="s">
        <v>16</v>
      </c>
      <c r="L93" s="14">
        <f t="shared" si="1"/>
        <v>933186</v>
      </c>
    </row>
    <row r="94" spans="1:12" x14ac:dyDescent="0.3">
      <c r="A94" s="12" t="s">
        <v>81</v>
      </c>
      <c r="B94" s="13" t="s">
        <v>28</v>
      </c>
      <c r="C94" s="13" t="s">
        <v>44</v>
      </c>
      <c r="D94" s="13" t="s">
        <v>45</v>
      </c>
      <c r="E94" s="13">
        <v>8</v>
      </c>
      <c r="F94" s="13">
        <v>40407</v>
      </c>
      <c r="G94" s="13">
        <v>5</v>
      </c>
      <c r="H94" s="13">
        <v>28</v>
      </c>
      <c r="I94" s="13">
        <v>393079.3</v>
      </c>
      <c r="J94" s="13" t="s">
        <v>15</v>
      </c>
      <c r="K94" s="13" t="s">
        <v>38</v>
      </c>
      <c r="L94" s="15">
        <f t="shared" si="1"/>
        <v>514948</v>
      </c>
    </row>
    <row r="95" spans="1:12" x14ac:dyDescent="0.3">
      <c r="A95" s="10" t="s">
        <v>112</v>
      </c>
      <c r="B95" s="11" t="s">
        <v>28</v>
      </c>
      <c r="C95" s="11" t="s">
        <v>24</v>
      </c>
      <c r="D95" s="11" t="s">
        <v>40</v>
      </c>
      <c r="E95" s="11">
        <v>8</v>
      </c>
      <c r="F95" s="11">
        <v>15806</v>
      </c>
      <c r="G95" s="11">
        <v>10</v>
      </c>
      <c r="H95" s="11">
        <v>28</v>
      </c>
      <c r="I95" s="11">
        <v>145668.1</v>
      </c>
      <c r="J95" s="11" t="s">
        <v>21</v>
      </c>
      <c r="K95" s="11" t="s">
        <v>16</v>
      </c>
      <c r="L95" s="14">
        <f t="shared" si="1"/>
        <v>854657</v>
      </c>
    </row>
    <row r="96" spans="1:12" x14ac:dyDescent="0.3">
      <c r="A96" s="12" t="s">
        <v>106</v>
      </c>
      <c r="B96" s="13" t="s">
        <v>28</v>
      </c>
      <c r="C96" s="13" t="s">
        <v>24</v>
      </c>
      <c r="D96" s="13" t="s">
        <v>76</v>
      </c>
      <c r="E96" s="13">
        <v>28</v>
      </c>
      <c r="F96" s="13">
        <v>44368</v>
      </c>
      <c r="G96" s="13">
        <v>12</v>
      </c>
      <c r="H96" s="13">
        <v>12</v>
      </c>
      <c r="I96" s="13">
        <v>1224414.82</v>
      </c>
      <c r="J96" s="13" t="s">
        <v>46</v>
      </c>
      <c r="K96" s="13" t="s">
        <v>33</v>
      </c>
      <c r="L96" s="15">
        <f t="shared" si="1"/>
        <v>854657</v>
      </c>
    </row>
    <row r="97" spans="1:12" x14ac:dyDescent="0.3">
      <c r="A97" s="10" t="s">
        <v>221</v>
      </c>
      <c r="B97" s="11" t="s">
        <v>28</v>
      </c>
      <c r="C97" s="11" t="s">
        <v>13</v>
      </c>
      <c r="D97" s="11" t="s">
        <v>14</v>
      </c>
      <c r="E97" s="11">
        <v>35</v>
      </c>
      <c r="F97" s="11">
        <v>56764</v>
      </c>
      <c r="G97" s="11">
        <v>0</v>
      </c>
      <c r="H97" s="11">
        <v>18</v>
      </c>
      <c r="I97" s="11">
        <v>2344353.2000000002</v>
      </c>
      <c r="J97" s="11" t="s">
        <v>46</v>
      </c>
      <c r="K97" s="11" t="s">
        <v>38</v>
      </c>
      <c r="L97" s="14">
        <f t="shared" si="1"/>
        <v>562158</v>
      </c>
    </row>
    <row r="98" spans="1:12" x14ac:dyDescent="0.3">
      <c r="A98" s="12" t="s">
        <v>166</v>
      </c>
      <c r="B98" s="13" t="s">
        <v>28</v>
      </c>
      <c r="C98" s="13" t="s">
        <v>24</v>
      </c>
      <c r="D98" s="13" t="s">
        <v>40</v>
      </c>
      <c r="E98" s="13">
        <v>24</v>
      </c>
      <c r="F98" s="13">
        <v>23362</v>
      </c>
      <c r="G98" s="13">
        <v>10</v>
      </c>
      <c r="H98" s="13">
        <v>12</v>
      </c>
      <c r="I98" s="13">
        <v>565173.5</v>
      </c>
      <c r="J98" s="13" t="s">
        <v>46</v>
      </c>
      <c r="K98" s="13" t="s">
        <v>33</v>
      </c>
      <c r="L98" s="15">
        <f t="shared" si="1"/>
        <v>854657</v>
      </c>
    </row>
    <row r="99" spans="1:12" x14ac:dyDescent="0.3">
      <c r="A99" s="10" t="s">
        <v>205</v>
      </c>
      <c r="B99" s="11" t="s">
        <v>28</v>
      </c>
      <c r="C99" s="11" t="s">
        <v>24</v>
      </c>
      <c r="D99" s="11" t="s">
        <v>76</v>
      </c>
      <c r="E99" s="11">
        <v>30</v>
      </c>
      <c r="F99" s="11">
        <v>55981</v>
      </c>
      <c r="G99" s="11">
        <v>5</v>
      </c>
      <c r="H99" s="11">
        <v>12</v>
      </c>
      <c r="I99" s="11">
        <v>1786913.52</v>
      </c>
      <c r="J99" s="11" t="s">
        <v>21</v>
      </c>
      <c r="K99" s="11" t="s">
        <v>16</v>
      </c>
      <c r="L99" s="14">
        <f t="shared" si="1"/>
        <v>854657</v>
      </c>
    </row>
    <row r="100" spans="1:12" x14ac:dyDescent="0.3">
      <c r="A100" s="12" t="s">
        <v>229</v>
      </c>
      <c r="B100" s="13" t="s">
        <v>28</v>
      </c>
      <c r="C100" s="13" t="s">
        <v>35</v>
      </c>
      <c r="D100" s="13" t="s">
        <v>56</v>
      </c>
      <c r="E100" s="13">
        <v>1</v>
      </c>
      <c r="F100" s="13">
        <v>51443</v>
      </c>
      <c r="G100" s="13">
        <v>0</v>
      </c>
      <c r="H100" s="13">
        <v>28</v>
      </c>
      <c r="I100" s="13">
        <v>65847.039999999994</v>
      </c>
      <c r="J100" s="13" t="s">
        <v>21</v>
      </c>
      <c r="K100" s="13" t="s">
        <v>33</v>
      </c>
      <c r="L100" s="15">
        <f t="shared" si="1"/>
        <v>933186</v>
      </c>
    </row>
    <row r="101" spans="1:12" x14ac:dyDescent="0.3">
      <c r="A101" s="10" t="s">
        <v>161</v>
      </c>
      <c r="B101" s="11" t="s">
        <v>28</v>
      </c>
      <c r="C101" s="11" t="s">
        <v>44</v>
      </c>
      <c r="D101" s="11" t="s">
        <v>45</v>
      </c>
      <c r="E101" s="11">
        <v>25</v>
      </c>
      <c r="F101" s="11">
        <v>39538</v>
      </c>
      <c r="G101" s="11">
        <v>0</v>
      </c>
      <c r="H101" s="11">
        <v>12</v>
      </c>
      <c r="I101" s="11">
        <v>1107064</v>
      </c>
      <c r="J101" s="11" t="s">
        <v>21</v>
      </c>
      <c r="K101" s="11" t="s">
        <v>26</v>
      </c>
      <c r="L101" s="14">
        <f t="shared" si="1"/>
        <v>514948</v>
      </c>
    </row>
    <row r="102" spans="1:12" x14ac:dyDescent="0.3">
      <c r="A102" s="12" t="s">
        <v>114</v>
      </c>
      <c r="B102" s="13" t="s">
        <v>28</v>
      </c>
      <c r="C102" s="13" t="s">
        <v>13</v>
      </c>
      <c r="D102" s="13" t="s">
        <v>32</v>
      </c>
      <c r="E102" s="13">
        <v>19</v>
      </c>
      <c r="F102" s="13">
        <v>65507</v>
      </c>
      <c r="G102" s="13">
        <v>5</v>
      </c>
      <c r="H102" s="13">
        <v>12</v>
      </c>
      <c r="I102" s="13">
        <v>1324289.51</v>
      </c>
      <c r="J102" s="13" t="s">
        <v>37</v>
      </c>
      <c r="K102" s="13" t="s">
        <v>16</v>
      </c>
      <c r="L102" s="15">
        <f t="shared" si="1"/>
        <v>562158</v>
      </c>
    </row>
    <row r="103" spans="1:12" x14ac:dyDescent="0.3">
      <c r="A103" s="10" t="s">
        <v>103</v>
      </c>
      <c r="B103" s="11" t="s">
        <v>28</v>
      </c>
      <c r="C103" s="11" t="s">
        <v>24</v>
      </c>
      <c r="D103" s="11" t="s">
        <v>25</v>
      </c>
      <c r="E103" s="11">
        <v>18</v>
      </c>
      <c r="F103" s="11">
        <v>23693</v>
      </c>
      <c r="G103" s="11">
        <v>12</v>
      </c>
      <c r="H103" s="11">
        <v>28</v>
      </c>
      <c r="I103" s="11">
        <v>480380.31</v>
      </c>
      <c r="J103" s="11" t="s">
        <v>46</v>
      </c>
      <c r="K103" s="11" t="s">
        <v>16</v>
      </c>
      <c r="L103" s="14">
        <f t="shared" si="1"/>
        <v>854657</v>
      </c>
    </row>
    <row r="104" spans="1:12" x14ac:dyDescent="0.3">
      <c r="A104" s="12" t="s">
        <v>94</v>
      </c>
      <c r="B104" s="13" t="s">
        <v>28</v>
      </c>
      <c r="C104" s="13" t="s">
        <v>48</v>
      </c>
      <c r="D104" s="13" t="s">
        <v>49</v>
      </c>
      <c r="E104" s="13">
        <v>27</v>
      </c>
      <c r="F104" s="13">
        <v>25673</v>
      </c>
      <c r="G104" s="13">
        <v>12</v>
      </c>
      <c r="H104" s="13">
        <v>12</v>
      </c>
      <c r="I104" s="13">
        <v>683189.34</v>
      </c>
      <c r="J104" s="13" t="s">
        <v>21</v>
      </c>
      <c r="K104" s="13" t="s">
        <v>16</v>
      </c>
      <c r="L104" s="15">
        <f t="shared" si="1"/>
        <v>412823</v>
      </c>
    </row>
    <row r="105" spans="1:12" x14ac:dyDescent="0.3">
      <c r="A105" s="12" t="s">
        <v>94</v>
      </c>
      <c r="B105" s="13" t="s">
        <v>28</v>
      </c>
      <c r="C105" s="13" t="s">
        <v>48</v>
      </c>
      <c r="D105" s="13" t="s">
        <v>49</v>
      </c>
      <c r="E105" s="13">
        <v>27</v>
      </c>
      <c r="F105" s="13">
        <v>25673</v>
      </c>
      <c r="G105" s="13">
        <v>12</v>
      </c>
      <c r="H105" s="13">
        <v>12</v>
      </c>
      <c r="I105" s="13">
        <v>683189.34</v>
      </c>
      <c r="J105" s="13" t="s">
        <v>21</v>
      </c>
      <c r="K105" s="13" t="s">
        <v>16</v>
      </c>
      <c r="L105" s="15">
        <f t="shared" ref="L105" si="2">SUMIF(C:C,C105,F:F)</f>
        <v>412823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All_Purchases</vt:lpstr>
      <vt:lpstr>Sri Balaji Home Appliances Supp</vt:lpstr>
      <vt:lpstr>ABC Electronics Distributors</vt:lpstr>
      <vt:lpstr>Sheet1</vt:lpstr>
      <vt:lpstr>Prime Appliance Traders</vt:lpstr>
      <vt:lpstr>Global Home Tech</vt:lpstr>
      <vt:lpstr>Elite Electricals</vt:lpstr>
      <vt:lpstr>South India Appliances</vt:lpstr>
      <vt:lpstr>Sheet3</vt:lpstr>
      <vt:lpstr>Smart Living Supplies</vt:lpstr>
      <vt:lpstr>HomeZone Wholesale</vt:lpstr>
      <vt:lpstr>Future Electronics Hub</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Welcome</cp:lastModifiedBy>
  <dcterms:created xsi:type="dcterms:W3CDTF">2026-08-06T13:49:14Z</dcterms:created>
  <dcterms:modified xsi:type="dcterms:W3CDTF">2026-08-11T07:35:26Z</dcterms:modified>
</cp:coreProperties>
</file>